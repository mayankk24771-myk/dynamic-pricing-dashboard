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cleaned data\"/>
    </mc:Choice>
  </mc:AlternateContent>
  <xr:revisionPtr revIDLastSave="0" documentId="13_ncr:1_{804935BA-0113-475F-81F3-C9C22BF234B0}" xr6:coauthVersionLast="47" xr6:coauthVersionMax="47" xr10:uidLastSave="{00000000-0000-0000-0000-000000000000}"/>
  <bookViews>
    <workbookView xWindow="-108" yWindow="-108" windowWidth="23256" windowHeight="12456" activeTab="1" xr2:uid="{39807503-5ABA-4A74-B626-0513A346A81A}"/>
  </bookViews>
  <sheets>
    <sheet name="Sheet2" sheetId="2" r:id="rId1"/>
    <sheet name="Sheet3" sheetId="3" r:id="rId2"/>
    <sheet name="Sheet1" sheetId="1" r:id="rId3"/>
  </sheets>
  <calcPr calcId="191029"/>
  <pivotCaches>
    <pivotCache cacheId="3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H3" i="1" s="1"/>
  <c r="E4" i="1"/>
  <c r="H4" i="1" s="1"/>
  <c r="E5" i="1"/>
  <c r="H5" i="1" s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H27" i="1" s="1"/>
  <c r="E28" i="1"/>
  <c r="H28" i="1" s="1"/>
  <c r="E29" i="1"/>
  <c r="H29" i="1" s="1"/>
  <c r="E30" i="1"/>
  <c r="H30" i="1" s="1"/>
  <c r="E31" i="1"/>
  <c r="H31" i="1" s="1"/>
  <c r="E32" i="1"/>
  <c r="H32" i="1" s="1"/>
  <c r="E33" i="1"/>
  <c r="H33" i="1" s="1"/>
  <c r="E34" i="1"/>
  <c r="H34" i="1" s="1"/>
  <c r="E35" i="1"/>
  <c r="H35" i="1" s="1"/>
  <c r="E36" i="1"/>
  <c r="H36" i="1" s="1"/>
  <c r="E37" i="1"/>
  <c r="H37" i="1" s="1"/>
  <c r="E38" i="1"/>
  <c r="E39" i="1"/>
  <c r="H39" i="1" s="1"/>
  <c r="E40" i="1"/>
  <c r="H40" i="1" s="1"/>
  <c r="E41" i="1"/>
  <c r="H41" i="1" s="1"/>
  <c r="E42" i="1"/>
  <c r="H42" i="1" s="1"/>
  <c r="E43" i="1"/>
  <c r="H43" i="1" s="1"/>
  <c r="E44" i="1"/>
  <c r="H44" i="1" s="1"/>
  <c r="E45" i="1"/>
  <c r="H45" i="1" s="1"/>
  <c r="E46" i="1"/>
  <c r="H46" i="1" s="1"/>
  <c r="E47" i="1"/>
  <c r="H47" i="1" s="1"/>
  <c r="E48" i="1"/>
  <c r="H48" i="1" s="1"/>
  <c r="E49" i="1"/>
  <c r="H49" i="1" s="1"/>
  <c r="E50" i="1"/>
  <c r="E51" i="1"/>
  <c r="H51" i="1" s="1"/>
  <c r="E52" i="1"/>
  <c r="H52" i="1" s="1"/>
  <c r="E53" i="1"/>
  <c r="H53" i="1" s="1"/>
  <c r="E54" i="1"/>
  <c r="H54" i="1" s="1"/>
  <c r="E55" i="1"/>
  <c r="H55" i="1" s="1"/>
  <c r="E56" i="1"/>
  <c r="H56" i="1" s="1"/>
  <c r="E57" i="1"/>
  <c r="H57" i="1" s="1"/>
  <c r="E58" i="1"/>
  <c r="H58" i="1" s="1"/>
  <c r="E59" i="1"/>
  <c r="H59" i="1" s="1"/>
  <c r="E60" i="1"/>
  <c r="H60" i="1" s="1"/>
  <c r="E61" i="1"/>
  <c r="H61" i="1" s="1"/>
  <c r="E62" i="1"/>
  <c r="H62" i="1" s="1"/>
  <c r="E63" i="1"/>
  <c r="H63" i="1" s="1"/>
  <c r="E64" i="1"/>
  <c r="H64" i="1" s="1"/>
  <c r="E65" i="1"/>
  <c r="H65" i="1" s="1"/>
  <c r="E66" i="1"/>
  <c r="H66" i="1" s="1"/>
  <c r="E67" i="1"/>
  <c r="H67" i="1" s="1"/>
  <c r="E68" i="1"/>
  <c r="H68" i="1" s="1"/>
  <c r="E69" i="1"/>
  <c r="H69" i="1" s="1"/>
  <c r="E70" i="1"/>
  <c r="H70" i="1" s="1"/>
  <c r="E71" i="1"/>
  <c r="H71" i="1" s="1"/>
  <c r="E72" i="1"/>
  <c r="H72" i="1" s="1"/>
  <c r="E73" i="1"/>
  <c r="H73" i="1" s="1"/>
  <c r="E74" i="1"/>
  <c r="E75" i="1"/>
  <c r="H75" i="1" s="1"/>
  <c r="E76" i="1"/>
  <c r="H76" i="1" s="1"/>
  <c r="E77" i="1"/>
  <c r="H77" i="1" s="1"/>
  <c r="E78" i="1"/>
  <c r="H78" i="1" s="1"/>
  <c r="E79" i="1"/>
  <c r="H79" i="1" s="1"/>
  <c r="E80" i="1"/>
  <c r="H80" i="1" s="1"/>
  <c r="E81" i="1"/>
  <c r="H81" i="1" s="1"/>
  <c r="E82" i="1"/>
  <c r="H82" i="1" s="1"/>
  <c r="E83" i="1"/>
  <c r="H83" i="1" s="1"/>
  <c r="E84" i="1"/>
  <c r="H84" i="1" s="1"/>
  <c r="E85" i="1"/>
  <c r="H85" i="1" s="1"/>
  <c r="E86" i="1"/>
  <c r="H86" i="1" s="1"/>
  <c r="E87" i="1"/>
  <c r="H87" i="1" s="1"/>
  <c r="E88" i="1"/>
  <c r="H88" i="1" s="1"/>
  <c r="E89" i="1"/>
  <c r="H89" i="1" s="1"/>
  <c r="E90" i="1"/>
  <c r="H90" i="1" s="1"/>
  <c r="E91" i="1"/>
  <c r="H91" i="1" s="1"/>
  <c r="E92" i="1"/>
  <c r="H92" i="1" s="1"/>
  <c r="E93" i="1"/>
  <c r="H93" i="1" s="1"/>
  <c r="E94" i="1"/>
  <c r="H94" i="1" s="1"/>
  <c r="E95" i="1"/>
  <c r="H95" i="1" s="1"/>
  <c r="E96" i="1"/>
  <c r="H96" i="1" s="1"/>
  <c r="E97" i="1"/>
  <c r="H97" i="1" s="1"/>
  <c r="E98" i="1"/>
  <c r="H98" i="1" s="1"/>
  <c r="E99" i="1"/>
  <c r="H99" i="1" s="1"/>
  <c r="E100" i="1"/>
  <c r="H100" i="1" s="1"/>
  <c r="E101" i="1"/>
  <c r="H101" i="1" s="1"/>
  <c r="E102" i="1"/>
  <c r="H102" i="1" s="1"/>
  <c r="E103" i="1"/>
  <c r="H103" i="1" s="1"/>
  <c r="E104" i="1"/>
  <c r="H104" i="1" s="1"/>
  <c r="E105" i="1"/>
  <c r="H105" i="1" s="1"/>
  <c r="E106" i="1"/>
  <c r="H106" i="1" s="1"/>
  <c r="E107" i="1"/>
  <c r="H107" i="1" s="1"/>
  <c r="E108" i="1"/>
  <c r="H108" i="1" s="1"/>
  <c r="E109" i="1"/>
  <c r="H109" i="1" s="1"/>
  <c r="E110" i="1"/>
  <c r="H110" i="1" s="1"/>
  <c r="E111" i="1"/>
  <c r="H111" i="1" s="1"/>
  <c r="E112" i="1"/>
  <c r="H112" i="1" s="1"/>
  <c r="E113" i="1"/>
  <c r="H113" i="1" s="1"/>
  <c r="E114" i="1"/>
  <c r="H114" i="1" s="1"/>
  <c r="E115" i="1"/>
  <c r="H115" i="1" s="1"/>
  <c r="E116" i="1"/>
  <c r="H116" i="1" s="1"/>
  <c r="E117" i="1"/>
  <c r="H117" i="1" s="1"/>
  <c r="E118" i="1"/>
  <c r="H118" i="1" s="1"/>
  <c r="E119" i="1"/>
  <c r="H119" i="1" s="1"/>
  <c r="E120" i="1"/>
  <c r="H120" i="1" s="1"/>
  <c r="E121" i="1"/>
  <c r="H121" i="1" s="1"/>
  <c r="E122" i="1"/>
  <c r="E123" i="1"/>
  <c r="H123" i="1" s="1"/>
  <c r="E124" i="1"/>
  <c r="H124" i="1" s="1"/>
  <c r="E125" i="1"/>
  <c r="H125" i="1" s="1"/>
  <c r="E126" i="1"/>
  <c r="H126" i="1" s="1"/>
  <c r="E127" i="1"/>
  <c r="H127" i="1" s="1"/>
  <c r="E128" i="1"/>
  <c r="H128" i="1" s="1"/>
  <c r="E129" i="1"/>
  <c r="H129" i="1" s="1"/>
  <c r="E130" i="1"/>
  <c r="H130" i="1" s="1"/>
  <c r="E131" i="1"/>
  <c r="H131" i="1" s="1"/>
  <c r="E132" i="1"/>
  <c r="H132" i="1" s="1"/>
  <c r="E133" i="1"/>
  <c r="H133" i="1" s="1"/>
  <c r="E134" i="1"/>
  <c r="H134" i="1" s="1"/>
  <c r="E135" i="1"/>
  <c r="H135" i="1" s="1"/>
  <c r="E136" i="1"/>
  <c r="H136" i="1" s="1"/>
  <c r="E137" i="1"/>
  <c r="H137" i="1" s="1"/>
  <c r="E138" i="1"/>
  <c r="H138" i="1" s="1"/>
  <c r="E139" i="1"/>
  <c r="H139" i="1" s="1"/>
  <c r="E140" i="1"/>
  <c r="H140" i="1" s="1"/>
  <c r="E141" i="1"/>
  <c r="H141" i="1" s="1"/>
  <c r="E142" i="1"/>
  <c r="H142" i="1" s="1"/>
  <c r="E143" i="1"/>
  <c r="H143" i="1" s="1"/>
  <c r="E144" i="1"/>
  <c r="H144" i="1" s="1"/>
  <c r="E145" i="1"/>
  <c r="H145" i="1" s="1"/>
  <c r="E146" i="1"/>
  <c r="E147" i="1"/>
  <c r="H147" i="1" s="1"/>
  <c r="E148" i="1"/>
  <c r="H148" i="1" s="1"/>
  <c r="E149" i="1"/>
  <c r="H149" i="1" s="1"/>
  <c r="E150" i="1"/>
  <c r="H150" i="1" s="1"/>
  <c r="E151" i="1"/>
  <c r="H151" i="1" s="1"/>
  <c r="E152" i="1"/>
  <c r="H152" i="1" s="1"/>
  <c r="E153" i="1"/>
  <c r="H153" i="1" s="1"/>
  <c r="E154" i="1"/>
  <c r="H154" i="1" s="1"/>
  <c r="E155" i="1"/>
  <c r="H155" i="1" s="1"/>
  <c r="E156" i="1"/>
  <c r="H156" i="1" s="1"/>
  <c r="E157" i="1"/>
  <c r="H157" i="1" s="1"/>
  <c r="E158" i="1"/>
  <c r="H158" i="1" s="1"/>
  <c r="E159" i="1"/>
  <c r="H159" i="1" s="1"/>
  <c r="E160" i="1"/>
  <c r="H160" i="1" s="1"/>
  <c r="E161" i="1"/>
  <c r="H161" i="1" s="1"/>
  <c r="E162" i="1"/>
  <c r="H162" i="1" s="1"/>
  <c r="E163" i="1"/>
  <c r="H163" i="1" s="1"/>
  <c r="E164" i="1"/>
  <c r="H164" i="1" s="1"/>
  <c r="E165" i="1"/>
  <c r="H165" i="1" s="1"/>
  <c r="E166" i="1"/>
  <c r="H166" i="1" s="1"/>
  <c r="E167" i="1"/>
  <c r="H167" i="1" s="1"/>
  <c r="E168" i="1"/>
  <c r="H168" i="1" s="1"/>
  <c r="E169" i="1"/>
  <c r="H169" i="1" s="1"/>
  <c r="E170" i="1"/>
  <c r="H170" i="1" s="1"/>
  <c r="E171" i="1"/>
  <c r="H171" i="1" s="1"/>
  <c r="E172" i="1"/>
  <c r="H172" i="1" s="1"/>
  <c r="E173" i="1"/>
  <c r="H173" i="1" s="1"/>
  <c r="E174" i="1"/>
  <c r="H174" i="1" s="1"/>
  <c r="E175" i="1"/>
  <c r="H175" i="1" s="1"/>
  <c r="E176" i="1"/>
  <c r="H176" i="1" s="1"/>
  <c r="E177" i="1"/>
  <c r="H177" i="1" s="1"/>
  <c r="E178" i="1"/>
  <c r="H178" i="1" s="1"/>
  <c r="E179" i="1"/>
  <c r="H179" i="1" s="1"/>
  <c r="E180" i="1"/>
  <c r="H180" i="1" s="1"/>
  <c r="E181" i="1"/>
  <c r="H181" i="1" s="1"/>
  <c r="E182" i="1"/>
  <c r="E183" i="1"/>
  <c r="H183" i="1" s="1"/>
  <c r="E184" i="1"/>
  <c r="H184" i="1" s="1"/>
  <c r="E185" i="1"/>
  <c r="H185" i="1" s="1"/>
  <c r="E186" i="1"/>
  <c r="H186" i="1" s="1"/>
  <c r="E187" i="1"/>
  <c r="H187" i="1" s="1"/>
  <c r="E188" i="1"/>
  <c r="H188" i="1" s="1"/>
  <c r="E189" i="1"/>
  <c r="H189" i="1" s="1"/>
  <c r="E190" i="1"/>
  <c r="H190" i="1" s="1"/>
  <c r="E191" i="1"/>
  <c r="H191" i="1" s="1"/>
  <c r="E192" i="1"/>
  <c r="H192" i="1" s="1"/>
  <c r="E193" i="1"/>
  <c r="H193" i="1" s="1"/>
  <c r="E194" i="1"/>
  <c r="E195" i="1"/>
  <c r="H195" i="1" s="1"/>
  <c r="E196" i="1"/>
  <c r="H196" i="1" s="1"/>
  <c r="E197" i="1"/>
  <c r="H197" i="1" s="1"/>
  <c r="E198" i="1"/>
  <c r="H198" i="1" s="1"/>
  <c r="E199" i="1"/>
  <c r="H199" i="1" s="1"/>
  <c r="E200" i="1"/>
  <c r="H200" i="1" s="1"/>
  <c r="E201" i="1"/>
  <c r="H201" i="1" s="1"/>
  <c r="E202" i="1"/>
  <c r="H202" i="1" s="1"/>
  <c r="E203" i="1"/>
  <c r="H203" i="1" s="1"/>
  <c r="E204" i="1"/>
  <c r="H204" i="1" s="1"/>
  <c r="E205" i="1"/>
  <c r="H205" i="1" s="1"/>
  <c r="E206" i="1"/>
  <c r="H206" i="1" s="1"/>
  <c r="E207" i="1"/>
  <c r="H207" i="1" s="1"/>
  <c r="E208" i="1"/>
  <c r="H208" i="1" s="1"/>
  <c r="E209" i="1"/>
  <c r="H209" i="1" s="1"/>
  <c r="E210" i="1"/>
  <c r="H210" i="1" s="1"/>
  <c r="E211" i="1"/>
  <c r="H211" i="1" s="1"/>
  <c r="E212" i="1"/>
  <c r="H212" i="1" s="1"/>
  <c r="E213" i="1"/>
  <c r="H213" i="1" s="1"/>
  <c r="E214" i="1"/>
  <c r="H214" i="1" s="1"/>
  <c r="E215" i="1"/>
  <c r="H215" i="1" s="1"/>
  <c r="E216" i="1"/>
  <c r="H216" i="1" s="1"/>
  <c r="E217" i="1"/>
  <c r="H217" i="1" s="1"/>
  <c r="E218" i="1"/>
  <c r="E219" i="1"/>
  <c r="H219" i="1" s="1"/>
  <c r="E220" i="1"/>
  <c r="H220" i="1" s="1"/>
  <c r="E221" i="1"/>
  <c r="H221" i="1" s="1"/>
  <c r="E222" i="1"/>
  <c r="H222" i="1" s="1"/>
  <c r="E223" i="1"/>
  <c r="H223" i="1" s="1"/>
  <c r="E224" i="1"/>
  <c r="H224" i="1" s="1"/>
  <c r="E225" i="1"/>
  <c r="H225" i="1" s="1"/>
  <c r="E226" i="1"/>
  <c r="H226" i="1" s="1"/>
  <c r="E227" i="1"/>
  <c r="H227" i="1" s="1"/>
  <c r="E228" i="1"/>
  <c r="H228" i="1" s="1"/>
  <c r="E229" i="1"/>
  <c r="H229" i="1" s="1"/>
  <c r="E230" i="1"/>
  <c r="H230" i="1" s="1"/>
  <c r="E231" i="1"/>
  <c r="H231" i="1" s="1"/>
  <c r="E232" i="1"/>
  <c r="H232" i="1" s="1"/>
  <c r="E233" i="1"/>
  <c r="H233" i="1" s="1"/>
  <c r="E234" i="1"/>
  <c r="H234" i="1" s="1"/>
  <c r="E235" i="1"/>
  <c r="H235" i="1" s="1"/>
  <c r="E236" i="1"/>
  <c r="H236" i="1" s="1"/>
  <c r="E237" i="1"/>
  <c r="H237" i="1" s="1"/>
  <c r="E238" i="1"/>
  <c r="H238" i="1" s="1"/>
  <c r="E239" i="1"/>
  <c r="H239" i="1" s="1"/>
  <c r="E240" i="1"/>
  <c r="H240" i="1" s="1"/>
  <c r="E241" i="1"/>
  <c r="H241" i="1" s="1"/>
  <c r="E242" i="1"/>
  <c r="H242" i="1" s="1"/>
  <c r="E243" i="1"/>
  <c r="H243" i="1" s="1"/>
  <c r="E244" i="1"/>
  <c r="H244" i="1" s="1"/>
  <c r="E245" i="1"/>
  <c r="H245" i="1" s="1"/>
  <c r="E246" i="1"/>
  <c r="H246" i="1" s="1"/>
  <c r="E247" i="1"/>
  <c r="H247" i="1" s="1"/>
  <c r="E248" i="1"/>
  <c r="H248" i="1" s="1"/>
  <c r="E249" i="1"/>
  <c r="H249" i="1" s="1"/>
  <c r="E250" i="1"/>
  <c r="H250" i="1" s="1"/>
  <c r="E251" i="1"/>
  <c r="H251" i="1" s="1"/>
  <c r="E252" i="1"/>
  <c r="H252" i="1" s="1"/>
  <c r="E253" i="1"/>
  <c r="H253" i="1" s="1"/>
  <c r="E254" i="1"/>
  <c r="H254" i="1" s="1"/>
  <c r="E255" i="1"/>
  <c r="H255" i="1" s="1"/>
  <c r="E256" i="1"/>
  <c r="H256" i="1" s="1"/>
  <c r="E257" i="1"/>
  <c r="H257" i="1" s="1"/>
  <c r="E258" i="1"/>
  <c r="H258" i="1" s="1"/>
  <c r="E259" i="1"/>
  <c r="H259" i="1" s="1"/>
  <c r="E260" i="1"/>
  <c r="H260" i="1" s="1"/>
  <c r="E261" i="1"/>
  <c r="H261" i="1" s="1"/>
  <c r="E262" i="1"/>
  <c r="H262" i="1" s="1"/>
  <c r="E263" i="1"/>
  <c r="H263" i="1" s="1"/>
  <c r="E264" i="1"/>
  <c r="H264" i="1" s="1"/>
  <c r="E265" i="1"/>
  <c r="H265" i="1" s="1"/>
  <c r="E266" i="1"/>
  <c r="E267" i="1"/>
  <c r="H267" i="1" s="1"/>
  <c r="E268" i="1"/>
  <c r="H268" i="1" s="1"/>
  <c r="E269" i="1"/>
  <c r="H269" i="1" s="1"/>
  <c r="E270" i="1"/>
  <c r="H270" i="1" s="1"/>
  <c r="E271" i="1"/>
  <c r="H271" i="1" s="1"/>
  <c r="E272" i="1"/>
  <c r="H272" i="1" s="1"/>
  <c r="E273" i="1"/>
  <c r="H273" i="1" s="1"/>
  <c r="E274" i="1"/>
  <c r="H274" i="1" s="1"/>
  <c r="E275" i="1"/>
  <c r="H275" i="1" s="1"/>
  <c r="E276" i="1"/>
  <c r="H276" i="1" s="1"/>
  <c r="E277" i="1"/>
  <c r="H277" i="1" s="1"/>
  <c r="E278" i="1"/>
  <c r="H278" i="1" s="1"/>
  <c r="E279" i="1"/>
  <c r="H279" i="1" s="1"/>
  <c r="E280" i="1"/>
  <c r="H280" i="1" s="1"/>
  <c r="E281" i="1"/>
  <c r="H281" i="1" s="1"/>
  <c r="E282" i="1"/>
  <c r="H282" i="1" s="1"/>
  <c r="E283" i="1"/>
  <c r="H283" i="1" s="1"/>
  <c r="E284" i="1"/>
  <c r="H284" i="1" s="1"/>
  <c r="E285" i="1"/>
  <c r="H285" i="1" s="1"/>
  <c r="E286" i="1"/>
  <c r="H286" i="1" s="1"/>
  <c r="E287" i="1"/>
  <c r="H287" i="1" s="1"/>
  <c r="E288" i="1"/>
  <c r="H288" i="1" s="1"/>
  <c r="E289" i="1"/>
  <c r="H289" i="1" s="1"/>
  <c r="E290" i="1"/>
  <c r="E291" i="1"/>
  <c r="H291" i="1" s="1"/>
  <c r="E292" i="1"/>
  <c r="H292" i="1" s="1"/>
  <c r="E293" i="1"/>
  <c r="H293" i="1" s="1"/>
  <c r="E294" i="1"/>
  <c r="H294" i="1" s="1"/>
  <c r="E295" i="1"/>
  <c r="H295" i="1" s="1"/>
  <c r="E296" i="1"/>
  <c r="H296" i="1" s="1"/>
  <c r="E297" i="1"/>
  <c r="H297" i="1" s="1"/>
  <c r="E298" i="1"/>
  <c r="H298" i="1" s="1"/>
  <c r="E299" i="1"/>
  <c r="H299" i="1" s="1"/>
  <c r="E300" i="1"/>
  <c r="H300" i="1" s="1"/>
  <c r="E301" i="1"/>
  <c r="H301" i="1" s="1"/>
  <c r="E302" i="1"/>
  <c r="H302" i="1" s="1"/>
  <c r="E303" i="1"/>
  <c r="H303" i="1" s="1"/>
  <c r="E304" i="1"/>
  <c r="H304" i="1" s="1"/>
  <c r="E305" i="1"/>
  <c r="H305" i="1" s="1"/>
  <c r="E306" i="1"/>
  <c r="H306" i="1" s="1"/>
  <c r="E307" i="1"/>
  <c r="H307" i="1" s="1"/>
  <c r="E308" i="1"/>
  <c r="H308" i="1" s="1"/>
  <c r="E309" i="1"/>
  <c r="H309" i="1" s="1"/>
  <c r="E310" i="1"/>
  <c r="H310" i="1" s="1"/>
  <c r="E311" i="1"/>
  <c r="H311" i="1" s="1"/>
  <c r="E312" i="1"/>
  <c r="H312" i="1" s="1"/>
  <c r="E313" i="1"/>
  <c r="H313" i="1" s="1"/>
  <c r="E314" i="1"/>
  <c r="H314" i="1" s="1"/>
  <c r="E315" i="1"/>
  <c r="H315" i="1" s="1"/>
  <c r="E316" i="1"/>
  <c r="H316" i="1" s="1"/>
  <c r="E317" i="1"/>
  <c r="H317" i="1" s="1"/>
  <c r="E318" i="1"/>
  <c r="H318" i="1" s="1"/>
  <c r="E319" i="1"/>
  <c r="H319" i="1" s="1"/>
  <c r="E320" i="1"/>
  <c r="H320" i="1" s="1"/>
  <c r="E321" i="1"/>
  <c r="H321" i="1" s="1"/>
  <c r="E322" i="1"/>
  <c r="H322" i="1" s="1"/>
  <c r="E323" i="1"/>
  <c r="H323" i="1" s="1"/>
  <c r="E324" i="1"/>
  <c r="H324" i="1" s="1"/>
  <c r="E325" i="1"/>
  <c r="H325" i="1" s="1"/>
  <c r="E326" i="1"/>
  <c r="E327" i="1"/>
  <c r="H327" i="1" s="1"/>
  <c r="E328" i="1"/>
  <c r="H328" i="1" s="1"/>
  <c r="E329" i="1"/>
  <c r="H329" i="1" s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H336" i="1" s="1"/>
  <c r="E337" i="1"/>
  <c r="H337" i="1" s="1"/>
  <c r="E338" i="1"/>
  <c r="E339" i="1"/>
  <c r="H339" i="1" s="1"/>
  <c r="E340" i="1"/>
  <c r="H340" i="1" s="1"/>
  <c r="E341" i="1"/>
  <c r="H341" i="1" s="1"/>
  <c r="E342" i="1"/>
  <c r="H342" i="1" s="1"/>
  <c r="E343" i="1"/>
  <c r="H343" i="1" s="1"/>
  <c r="E344" i="1"/>
  <c r="H344" i="1" s="1"/>
  <c r="E345" i="1"/>
  <c r="H345" i="1" s="1"/>
  <c r="E346" i="1"/>
  <c r="H346" i="1" s="1"/>
  <c r="E347" i="1"/>
  <c r="H347" i="1" s="1"/>
  <c r="E348" i="1"/>
  <c r="H348" i="1" s="1"/>
  <c r="E349" i="1"/>
  <c r="H349" i="1" s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H360" i="1" s="1"/>
  <c r="E361" i="1"/>
  <c r="H361" i="1" s="1"/>
  <c r="E362" i="1"/>
  <c r="E363" i="1"/>
  <c r="H363" i="1" s="1"/>
  <c r="E364" i="1"/>
  <c r="H364" i="1" s="1"/>
  <c r="E365" i="1"/>
  <c r="H365" i="1" s="1"/>
  <c r="E366" i="1"/>
  <c r="H366" i="1" s="1"/>
  <c r="E367" i="1"/>
  <c r="H367" i="1" s="1"/>
  <c r="E368" i="1"/>
  <c r="H368" i="1" s="1"/>
  <c r="E369" i="1"/>
  <c r="H369" i="1" s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6" i="1"/>
  <c r="H376" i="1" s="1"/>
  <c r="E377" i="1"/>
  <c r="H377" i="1" s="1"/>
  <c r="E378" i="1"/>
  <c r="H378" i="1" s="1"/>
  <c r="E379" i="1"/>
  <c r="H379" i="1" s="1"/>
  <c r="E380" i="1"/>
  <c r="H380" i="1" s="1"/>
  <c r="E381" i="1"/>
  <c r="H381" i="1" s="1"/>
  <c r="E382" i="1"/>
  <c r="H382" i="1" s="1"/>
  <c r="E383" i="1"/>
  <c r="H383" i="1" s="1"/>
  <c r="E384" i="1"/>
  <c r="H384" i="1" s="1"/>
  <c r="E385" i="1"/>
  <c r="H385" i="1" s="1"/>
  <c r="E386" i="1"/>
  <c r="H386" i="1" s="1"/>
  <c r="E387" i="1"/>
  <c r="H387" i="1" s="1"/>
  <c r="E388" i="1"/>
  <c r="H388" i="1" s="1"/>
  <c r="E389" i="1"/>
  <c r="H389" i="1" s="1"/>
  <c r="E390" i="1"/>
  <c r="H390" i="1" s="1"/>
  <c r="E391" i="1"/>
  <c r="H391" i="1" s="1"/>
  <c r="E392" i="1"/>
  <c r="H392" i="1" s="1"/>
  <c r="E393" i="1"/>
  <c r="H393" i="1" s="1"/>
  <c r="E394" i="1"/>
  <c r="H394" i="1" s="1"/>
  <c r="E395" i="1"/>
  <c r="H395" i="1" s="1"/>
  <c r="E396" i="1"/>
  <c r="H396" i="1" s="1"/>
  <c r="E397" i="1"/>
  <c r="H397" i="1" s="1"/>
  <c r="E398" i="1"/>
  <c r="H398" i="1" s="1"/>
  <c r="E399" i="1"/>
  <c r="H399" i="1" s="1"/>
  <c r="E400" i="1"/>
  <c r="H400" i="1" s="1"/>
  <c r="E401" i="1"/>
  <c r="H401" i="1" s="1"/>
  <c r="E402" i="1"/>
  <c r="H402" i="1" s="1"/>
  <c r="E403" i="1"/>
  <c r="H403" i="1" s="1"/>
  <c r="E404" i="1"/>
  <c r="H404" i="1" s="1"/>
  <c r="E405" i="1"/>
  <c r="H405" i="1" s="1"/>
  <c r="E406" i="1"/>
  <c r="H406" i="1" s="1"/>
  <c r="E407" i="1"/>
  <c r="H407" i="1" s="1"/>
  <c r="E408" i="1"/>
  <c r="H408" i="1" s="1"/>
  <c r="E409" i="1"/>
  <c r="H409" i="1" s="1"/>
  <c r="E410" i="1"/>
  <c r="E411" i="1"/>
  <c r="H411" i="1" s="1"/>
  <c r="E412" i="1"/>
  <c r="H412" i="1" s="1"/>
  <c r="E413" i="1"/>
  <c r="H413" i="1" s="1"/>
  <c r="E414" i="1"/>
  <c r="H414" i="1" s="1"/>
  <c r="E415" i="1"/>
  <c r="H415" i="1" s="1"/>
  <c r="E416" i="1"/>
  <c r="H416" i="1" s="1"/>
  <c r="E417" i="1"/>
  <c r="H417" i="1" s="1"/>
  <c r="E418" i="1"/>
  <c r="H418" i="1" s="1"/>
  <c r="E419" i="1"/>
  <c r="H419" i="1" s="1"/>
  <c r="E420" i="1"/>
  <c r="H420" i="1" s="1"/>
  <c r="E421" i="1"/>
  <c r="H421" i="1" s="1"/>
  <c r="E422" i="1"/>
  <c r="H422" i="1" s="1"/>
  <c r="E423" i="1"/>
  <c r="H423" i="1" s="1"/>
  <c r="E424" i="1"/>
  <c r="H424" i="1" s="1"/>
  <c r="E425" i="1"/>
  <c r="H425" i="1" s="1"/>
  <c r="E426" i="1"/>
  <c r="H426" i="1" s="1"/>
  <c r="E427" i="1"/>
  <c r="H427" i="1" s="1"/>
  <c r="E428" i="1"/>
  <c r="H428" i="1" s="1"/>
  <c r="E429" i="1"/>
  <c r="H429" i="1" s="1"/>
  <c r="E430" i="1"/>
  <c r="H430" i="1" s="1"/>
  <c r="E431" i="1"/>
  <c r="H431" i="1" s="1"/>
  <c r="E432" i="1"/>
  <c r="H432" i="1" s="1"/>
  <c r="E433" i="1"/>
  <c r="H433" i="1" s="1"/>
  <c r="E434" i="1"/>
  <c r="E435" i="1"/>
  <c r="H435" i="1" s="1"/>
  <c r="E436" i="1"/>
  <c r="H436" i="1" s="1"/>
  <c r="E437" i="1"/>
  <c r="H437" i="1" s="1"/>
  <c r="E438" i="1"/>
  <c r="H438" i="1" s="1"/>
  <c r="E439" i="1"/>
  <c r="H439" i="1" s="1"/>
  <c r="E440" i="1"/>
  <c r="H440" i="1" s="1"/>
  <c r="E441" i="1"/>
  <c r="H441" i="1" s="1"/>
  <c r="E442" i="1"/>
  <c r="H442" i="1" s="1"/>
  <c r="E443" i="1"/>
  <c r="H443" i="1" s="1"/>
  <c r="E444" i="1"/>
  <c r="H444" i="1" s="1"/>
  <c r="E445" i="1"/>
  <c r="H445" i="1" s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H490" i="1" s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0" i="1"/>
  <c r="H500" i="1" s="1"/>
  <c r="E501" i="1"/>
  <c r="H501" i="1" s="1"/>
  <c r="E502" i="1"/>
  <c r="H502" i="1" s="1"/>
  <c r="E503" i="1"/>
  <c r="H503" i="1" s="1"/>
  <c r="E504" i="1"/>
  <c r="H504" i="1" s="1"/>
  <c r="E505" i="1"/>
  <c r="H505" i="1" s="1"/>
  <c r="E506" i="1"/>
  <c r="E507" i="1"/>
  <c r="H507" i="1" s="1"/>
  <c r="E508" i="1"/>
  <c r="H508" i="1" s="1"/>
  <c r="E509" i="1"/>
  <c r="H509" i="1" s="1"/>
  <c r="E510" i="1"/>
  <c r="H510" i="1" s="1"/>
  <c r="E511" i="1"/>
  <c r="H511" i="1" s="1"/>
  <c r="E512" i="1"/>
  <c r="H512" i="1" s="1"/>
  <c r="E513" i="1"/>
  <c r="H513" i="1" s="1"/>
  <c r="E514" i="1"/>
  <c r="H514" i="1" s="1"/>
  <c r="E515" i="1"/>
  <c r="H515" i="1" s="1"/>
  <c r="E516" i="1"/>
  <c r="H516" i="1" s="1"/>
  <c r="E517" i="1"/>
  <c r="H517" i="1" s="1"/>
  <c r="E518" i="1"/>
  <c r="H518" i="1" s="1"/>
  <c r="E519" i="1"/>
  <c r="H519" i="1" s="1"/>
  <c r="E520" i="1"/>
  <c r="H520" i="1" s="1"/>
  <c r="E521" i="1"/>
  <c r="H521" i="1" s="1"/>
  <c r="E522" i="1"/>
  <c r="H522" i="1" s="1"/>
  <c r="E523" i="1"/>
  <c r="H523" i="1" s="1"/>
  <c r="E524" i="1"/>
  <c r="H524" i="1" s="1"/>
  <c r="E525" i="1"/>
  <c r="H525" i="1" s="1"/>
  <c r="E526" i="1"/>
  <c r="H526" i="1" s="1"/>
  <c r="E527" i="1"/>
  <c r="H527" i="1" s="1"/>
  <c r="E528" i="1"/>
  <c r="H528" i="1" s="1"/>
  <c r="E529" i="1"/>
  <c r="H529" i="1" s="1"/>
  <c r="E530" i="1"/>
  <c r="H530" i="1" s="1"/>
  <c r="E531" i="1"/>
  <c r="H531" i="1" s="1"/>
  <c r="E532" i="1"/>
  <c r="H532" i="1" s="1"/>
  <c r="E533" i="1"/>
  <c r="H533" i="1" s="1"/>
  <c r="E534" i="1"/>
  <c r="H534" i="1" s="1"/>
  <c r="E535" i="1"/>
  <c r="H535" i="1" s="1"/>
  <c r="E536" i="1"/>
  <c r="H536" i="1" s="1"/>
  <c r="E537" i="1"/>
  <c r="H537" i="1" s="1"/>
  <c r="E538" i="1"/>
  <c r="H538" i="1" s="1"/>
  <c r="E539" i="1"/>
  <c r="H539" i="1" s="1"/>
  <c r="E540" i="1"/>
  <c r="H540" i="1" s="1"/>
  <c r="E541" i="1"/>
  <c r="H541" i="1" s="1"/>
  <c r="E542" i="1"/>
  <c r="H542" i="1" s="1"/>
  <c r="E543" i="1"/>
  <c r="H543" i="1" s="1"/>
  <c r="E544" i="1"/>
  <c r="H544" i="1" s="1"/>
  <c r="E545" i="1"/>
  <c r="H545" i="1" s="1"/>
  <c r="E546" i="1"/>
  <c r="H546" i="1" s="1"/>
  <c r="E547" i="1"/>
  <c r="H547" i="1" s="1"/>
  <c r="E548" i="1"/>
  <c r="H548" i="1" s="1"/>
  <c r="E549" i="1"/>
  <c r="H549" i="1" s="1"/>
  <c r="E550" i="1"/>
  <c r="H550" i="1" s="1"/>
  <c r="E551" i="1"/>
  <c r="H551" i="1" s="1"/>
  <c r="E552" i="1"/>
  <c r="H552" i="1" s="1"/>
  <c r="E553" i="1"/>
  <c r="H553" i="1" s="1"/>
  <c r="E554" i="1"/>
  <c r="E555" i="1"/>
  <c r="H555" i="1" s="1"/>
  <c r="E556" i="1"/>
  <c r="H556" i="1" s="1"/>
  <c r="E557" i="1"/>
  <c r="H557" i="1" s="1"/>
  <c r="E558" i="1"/>
  <c r="H558" i="1" s="1"/>
  <c r="E559" i="1"/>
  <c r="H559" i="1" s="1"/>
  <c r="E560" i="1"/>
  <c r="H560" i="1" s="1"/>
  <c r="E561" i="1"/>
  <c r="H561" i="1" s="1"/>
  <c r="E562" i="1"/>
  <c r="H562" i="1" s="1"/>
  <c r="E563" i="1"/>
  <c r="H563" i="1" s="1"/>
  <c r="E564" i="1"/>
  <c r="H564" i="1" s="1"/>
  <c r="E565" i="1"/>
  <c r="H565" i="1" s="1"/>
  <c r="E566" i="1"/>
  <c r="H566" i="1" s="1"/>
  <c r="E567" i="1"/>
  <c r="H567" i="1" s="1"/>
  <c r="E568" i="1"/>
  <c r="H568" i="1" s="1"/>
  <c r="E569" i="1"/>
  <c r="H569" i="1" s="1"/>
  <c r="E570" i="1"/>
  <c r="H570" i="1" s="1"/>
  <c r="E571" i="1"/>
  <c r="H571" i="1" s="1"/>
  <c r="E572" i="1"/>
  <c r="H572" i="1" s="1"/>
  <c r="E573" i="1"/>
  <c r="H573" i="1" s="1"/>
  <c r="E574" i="1"/>
  <c r="H574" i="1" s="1"/>
  <c r="E575" i="1"/>
  <c r="H575" i="1" s="1"/>
  <c r="E576" i="1"/>
  <c r="H576" i="1" s="1"/>
  <c r="E577" i="1"/>
  <c r="H577" i="1" s="1"/>
  <c r="E578" i="1"/>
  <c r="E579" i="1"/>
  <c r="H579" i="1" s="1"/>
  <c r="E580" i="1"/>
  <c r="H580" i="1" s="1"/>
  <c r="E581" i="1"/>
  <c r="H581" i="1" s="1"/>
  <c r="E582" i="1"/>
  <c r="H582" i="1" s="1"/>
  <c r="E583" i="1"/>
  <c r="H583" i="1" s="1"/>
  <c r="E584" i="1"/>
  <c r="H584" i="1" s="1"/>
  <c r="E585" i="1"/>
  <c r="H585" i="1" s="1"/>
  <c r="E586" i="1"/>
  <c r="H586" i="1" s="1"/>
  <c r="E587" i="1"/>
  <c r="H587" i="1" s="1"/>
  <c r="E588" i="1"/>
  <c r="H588" i="1" s="1"/>
  <c r="E589" i="1"/>
  <c r="H589" i="1" s="1"/>
  <c r="E590" i="1"/>
  <c r="H590" i="1" s="1"/>
  <c r="E591" i="1"/>
  <c r="H591" i="1" s="1"/>
  <c r="E592" i="1"/>
  <c r="H592" i="1" s="1"/>
  <c r="E593" i="1"/>
  <c r="H593" i="1" s="1"/>
  <c r="E594" i="1"/>
  <c r="H594" i="1" s="1"/>
  <c r="E595" i="1"/>
  <c r="H595" i="1" s="1"/>
  <c r="E596" i="1"/>
  <c r="H596" i="1" s="1"/>
  <c r="E597" i="1"/>
  <c r="H597" i="1" s="1"/>
  <c r="E598" i="1"/>
  <c r="H598" i="1" s="1"/>
  <c r="E599" i="1"/>
  <c r="H599" i="1" s="1"/>
  <c r="E600" i="1"/>
  <c r="H600" i="1" s="1"/>
  <c r="E601" i="1"/>
  <c r="H601" i="1" s="1"/>
  <c r="E602" i="1"/>
  <c r="H602" i="1" s="1"/>
  <c r="E603" i="1"/>
  <c r="H603" i="1" s="1"/>
  <c r="E604" i="1"/>
  <c r="H604" i="1" s="1"/>
  <c r="E605" i="1"/>
  <c r="H605" i="1" s="1"/>
  <c r="E606" i="1"/>
  <c r="H606" i="1" s="1"/>
  <c r="E607" i="1"/>
  <c r="H607" i="1" s="1"/>
  <c r="E608" i="1"/>
  <c r="H608" i="1" s="1"/>
  <c r="E609" i="1"/>
  <c r="H609" i="1" s="1"/>
  <c r="E610" i="1"/>
  <c r="H610" i="1" s="1"/>
  <c r="E611" i="1"/>
  <c r="H611" i="1" s="1"/>
  <c r="E612" i="1"/>
  <c r="H612" i="1" s="1"/>
  <c r="E613" i="1"/>
  <c r="H613" i="1" s="1"/>
  <c r="E614" i="1"/>
  <c r="E615" i="1"/>
  <c r="H615" i="1" s="1"/>
  <c r="E616" i="1"/>
  <c r="H616" i="1" s="1"/>
  <c r="E617" i="1"/>
  <c r="H617" i="1" s="1"/>
  <c r="E618" i="1"/>
  <c r="H618" i="1" s="1"/>
  <c r="E619" i="1"/>
  <c r="H619" i="1" s="1"/>
  <c r="E620" i="1"/>
  <c r="H620" i="1" s="1"/>
  <c r="E621" i="1"/>
  <c r="H621" i="1" s="1"/>
  <c r="E622" i="1"/>
  <c r="H622" i="1" s="1"/>
  <c r="E623" i="1"/>
  <c r="H623" i="1" s="1"/>
  <c r="E624" i="1"/>
  <c r="H624" i="1" s="1"/>
  <c r="E625" i="1"/>
  <c r="H625" i="1" s="1"/>
  <c r="E626" i="1"/>
  <c r="E627" i="1"/>
  <c r="H627" i="1" s="1"/>
  <c r="E628" i="1"/>
  <c r="H628" i="1" s="1"/>
  <c r="E629" i="1"/>
  <c r="H629" i="1" s="1"/>
  <c r="E630" i="1"/>
  <c r="H630" i="1" s="1"/>
  <c r="E631" i="1"/>
  <c r="H631" i="1" s="1"/>
  <c r="E632" i="1"/>
  <c r="H632" i="1" s="1"/>
  <c r="E633" i="1"/>
  <c r="H633" i="1" s="1"/>
  <c r="E634" i="1"/>
  <c r="H634" i="1" s="1"/>
  <c r="E635" i="1"/>
  <c r="H635" i="1" s="1"/>
  <c r="E636" i="1"/>
  <c r="H636" i="1" s="1"/>
  <c r="E637" i="1"/>
  <c r="H637" i="1" s="1"/>
  <c r="E638" i="1"/>
  <c r="H638" i="1" s="1"/>
  <c r="E639" i="1"/>
  <c r="H639" i="1" s="1"/>
  <c r="E640" i="1"/>
  <c r="H640" i="1" s="1"/>
  <c r="E641" i="1"/>
  <c r="H641" i="1" s="1"/>
  <c r="E642" i="1"/>
  <c r="H642" i="1" s="1"/>
  <c r="E643" i="1"/>
  <c r="H643" i="1" s="1"/>
  <c r="E644" i="1"/>
  <c r="H644" i="1" s="1"/>
  <c r="E645" i="1"/>
  <c r="H645" i="1" s="1"/>
  <c r="E646" i="1"/>
  <c r="H646" i="1" s="1"/>
  <c r="E647" i="1"/>
  <c r="H647" i="1" s="1"/>
  <c r="E648" i="1"/>
  <c r="H648" i="1" s="1"/>
  <c r="E649" i="1"/>
  <c r="H649" i="1" s="1"/>
  <c r="E650" i="1"/>
  <c r="E651" i="1"/>
  <c r="H651" i="1" s="1"/>
  <c r="E652" i="1"/>
  <c r="H652" i="1" s="1"/>
  <c r="E653" i="1"/>
  <c r="H653" i="1" s="1"/>
  <c r="E654" i="1"/>
  <c r="H654" i="1" s="1"/>
  <c r="E655" i="1"/>
  <c r="H655" i="1" s="1"/>
  <c r="E656" i="1"/>
  <c r="H656" i="1" s="1"/>
  <c r="E657" i="1"/>
  <c r="H657" i="1" s="1"/>
  <c r="E658" i="1"/>
  <c r="H658" i="1" s="1"/>
  <c r="E659" i="1"/>
  <c r="H659" i="1" s="1"/>
  <c r="E660" i="1"/>
  <c r="H660" i="1" s="1"/>
  <c r="E661" i="1"/>
  <c r="H661" i="1" s="1"/>
  <c r="E662" i="1"/>
  <c r="H662" i="1" s="1"/>
  <c r="E663" i="1"/>
  <c r="H663" i="1" s="1"/>
  <c r="E664" i="1"/>
  <c r="H664" i="1" s="1"/>
  <c r="E665" i="1"/>
  <c r="H665" i="1" s="1"/>
  <c r="E666" i="1"/>
  <c r="H666" i="1" s="1"/>
  <c r="E667" i="1"/>
  <c r="H667" i="1" s="1"/>
  <c r="E668" i="1"/>
  <c r="H668" i="1" s="1"/>
  <c r="E669" i="1"/>
  <c r="H669" i="1" s="1"/>
  <c r="E670" i="1"/>
  <c r="H670" i="1" s="1"/>
  <c r="E671" i="1"/>
  <c r="H671" i="1" s="1"/>
  <c r="E672" i="1"/>
  <c r="H672" i="1" s="1"/>
  <c r="E673" i="1"/>
  <c r="H673" i="1" s="1"/>
  <c r="E674" i="1"/>
  <c r="H674" i="1" s="1"/>
  <c r="E675" i="1"/>
  <c r="H675" i="1" s="1"/>
  <c r="E676" i="1"/>
  <c r="H676" i="1" s="1"/>
  <c r="E677" i="1"/>
  <c r="H677" i="1" s="1"/>
  <c r="E678" i="1"/>
  <c r="H678" i="1" s="1"/>
  <c r="E679" i="1"/>
  <c r="H679" i="1" s="1"/>
  <c r="E680" i="1"/>
  <c r="H680" i="1" s="1"/>
  <c r="E681" i="1"/>
  <c r="H681" i="1" s="1"/>
  <c r="E682" i="1"/>
  <c r="H682" i="1" s="1"/>
  <c r="E683" i="1"/>
  <c r="H683" i="1" s="1"/>
  <c r="E684" i="1"/>
  <c r="H684" i="1" s="1"/>
  <c r="E685" i="1"/>
  <c r="H685" i="1" s="1"/>
  <c r="E686" i="1"/>
  <c r="H686" i="1" s="1"/>
  <c r="E687" i="1"/>
  <c r="H687" i="1" s="1"/>
  <c r="E688" i="1"/>
  <c r="H688" i="1" s="1"/>
  <c r="E689" i="1"/>
  <c r="H689" i="1" s="1"/>
  <c r="E690" i="1"/>
  <c r="H690" i="1" s="1"/>
  <c r="E691" i="1"/>
  <c r="H691" i="1" s="1"/>
  <c r="E692" i="1"/>
  <c r="H692" i="1" s="1"/>
  <c r="E693" i="1"/>
  <c r="H693" i="1" s="1"/>
  <c r="E694" i="1"/>
  <c r="H694" i="1" s="1"/>
  <c r="E695" i="1"/>
  <c r="H695" i="1" s="1"/>
  <c r="E696" i="1"/>
  <c r="H696" i="1" s="1"/>
  <c r="E697" i="1"/>
  <c r="H697" i="1" s="1"/>
  <c r="E698" i="1"/>
  <c r="E699" i="1"/>
  <c r="H699" i="1" s="1"/>
  <c r="E700" i="1"/>
  <c r="H700" i="1" s="1"/>
  <c r="E701" i="1"/>
  <c r="H701" i="1" s="1"/>
  <c r="E702" i="1"/>
  <c r="H702" i="1" s="1"/>
  <c r="E703" i="1"/>
  <c r="H703" i="1" s="1"/>
  <c r="E704" i="1"/>
  <c r="H704" i="1" s="1"/>
  <c r="E705" i="1"/>
  <c r="H705" i="1" s="1"/>
  <c r="E706" i="1"/>
  <c r="H706" i="1" s="1"/>
  <c r="E707" i="1"/>
  <c r="H707" i="1" s="1"/>
  <c r="E708" i="1"/>
  <c r="H708" i="1" s="1"/>
  <c r="E709" i="1"/>
  <c r="H709" i="1" s="1"/>
  <c r="E710" i="1"/>
  <c r="H710" i="1" s="1"/>
  <c r="E711" i="1"/>
  <c r="H711" i="1" s="1"/>
  <c r="E712" i="1"/>
  <c r="H712" i="1" s="1"/>
  <c r="E713" i="1"/>
  <c r="H713" i="1" s="1"/>
  <c r="E714" i="1"/>
  <c r="H714" i="1" s="1"/>
  <c r="E715" i="1"/>
  <c r="H715" i="1" s="1"/>
  <c r="E716" i="1"/>
  <c r="H716" i="1" s="1"/>
  <c r="E717" i="1"/>
  <c r="H717" i="1" s="1"/>
  <c r="E718" i="1"/>
  <c r="H718" i="1" s="1"/>
  <c r="E719" i="1"/>
  <c r="H719" i="1" s="1"/>
  <c r="E720" i="1"/>
  <c r="H720" i="1" s="1"/>
  <c r="E721" i="1"/>
  <c r="H721" i="1" s="1"/>
  <c r="E722" i="1"/>
  <c r="E723" i="1"/>
  <c r="H723" i="1" s="1"/>
  <c r="E724" i="1"/>
  <c r="H724" i="1" s="1"/>
  <c r="E725" i="1"/>
  <c r="H725" i="1" s="1"/>
  <c r="E726" i="1"/>
  <c r="H726" i="1" s="1"/>
  <c r="E727" i="1"/>
  <c r="H727" i="1" s="1"/>
  <c r="E728" i="1"/>
  <c r="H728" i="1" s="1"/>
  <c r="E729" i="1"/>
  <c r="H729" i="1" s="1"/>
  <c r="E730" i="1"/>
  <c r="H730" i="1" s="1"/>
  <c r="E731" i="1"/>
  <c r="H731" i="1" s="1"/>
  <c r="E732" i="1"/>
  <c r="H732" i="1" s="1"/>
  <c r="E733" i="1"/>
  <c r="H733" i="1" s="1"/>
  <c r="E734" i="1"/>
  <c r="H734" i="1" s="1"/>
  <c r="E735" i="1"/>
  <c r="H735" i="1" s="1"/>
  <c r="E736" i="1"/>
  <c r="H736" i="1" s="1"/>
  <c r="E737" i="1"/>
  <c r="H737" i="1" s="1"/>
  <c r="E738" i="1"/>
  <c r="H738" i="1" s="1"/>
  <c r="E739" i="1"/>
  <c r="H739" i="1" s="1"/>
  <c r="E740" i="1"/>
  <c r="H740" i="1" s="1"/>
  <c r="E741" i="1"/>
  <c r="H741" i="1" s="1"/>
  <c r="E742" i="1"/>
  <c r="H742" i="1" s="1"/>
  <c r="E743" i="1"/>
  <c r="H743" i="1" s="1"/>
  <c r="E744" i="1"/>
  <c r="H744" i="1" s="1"/>
  <c r="E745" i="1"/>
  <c r="H745" i="1" s="1"/>
  <c r="E746" i="1"/>
  <c r="H746" i="1" s="1"/>
  <c r="E747" i="1"/>
  <c r="H747" i="1" s="1"/>
  <c r="E748" i="1"/>
  <c r="H748" i="1" s="1"/>
  <c r="E749" i="1"/>
  <c r="H749" i="1" s="1"/>
  <c r="E750" i="1"/>
  <c r="H750" i="1" s="1"/>
  <c r="E751" i="1"/>
  <c r="H751" i="1" s="1"/>
  <c r="E752" i="1"/>
  <c r="H752" i="1" s="1"/>
  <c r="E753" i="1"/>
  <c r="H753" i="1" s="1"/>
  <c r="E754" i="1"/>
  <c r="H754" i="1" s="1"/>
  <c r="E755" i="1"/>
  <c r="H755" i="1" s="1"/>
  <c r="E756" i="1"/>
  <c r="H756" i="1" s="1"/>
  <c r="E757" i="1"/>
  <c r="H757" i="1" s="1"/>
  <c r="E758" i="1"/>
  <c r="E759" i="1"/>
  <c r="H759" i="1" s="1"/>
  <c r="E760" i="1"/>
  <c r="H760" i="1" s="1"/>
  <c r="E761" i="1"/>
  <c r="H761" i="1" s="1"/>
  <c r="E762" i="1"/>
  <c r="H762" i="1" s="1"/>
  <c r="E763" i="1"/>
  <c r="H763" i="1" s="1"/>
  <c r="E764" i="1"/>
  <c r="H764" i="1" s="1"/>
  <c r="E765" i="1"/>
  <c r="H765" i="1" s="1"/>
  <c r="E766" i="1"/>
  <c r="H766" i="1" s="1"/>
  <c r="E767" i="1"/>
  <c r="H767" i="1" s="1"/>
  <c r="E768" i="1"/>
  <c r="H768" i="1" s="1"/>
  <c r="E769" i="1"/>
  <c r="H769" i="1" s="1"/>
  <c r="E770" i="1"/>
  <c r="E771" i="1"/>
  <c r="H771" i="1" s="1"/>
  <c r="E772" i="1"/>
  <c r="H772" i="1" s="1"/>
  <c r="E773" i="1"/>
  <c r="H773" i="1" s="1"/>
  <c r="E774" i="1"/>
  <c r="H774" i="1" s="1"/>
  <c r="E775" i="1"/>
  <c r="H775" i="1" s="1"/>
  <c r="E776" i="1"/>
  <c r="H776" i="1" s="1"/>
  <c r="E777" i="1"/>
  <c r="H777" i="1" s="1"/>
  <c r="E778" i="1"/>
  <c r="H778" i="1" s="1"/>
  <c r="E779" i="1"/>
  <c r="H779" i="1" s="1"/>
  <c r="E780" i="1"/>
  <c r="H780" i="1" s="1"/>
  <c r="E781" i="1"/>
  <c r="H781" i="1" s="1"/>
  <c r="E782" i="1"/>
  <c r="H782" i="1" s="1"/>
  <c r="E783" i="1"/>
  <c r="H783" i="1" s="1"/>
  <c r="E784" i="1"/>
  <c r="H784" i="1" s="1"/>
  <c r="E785" i="1"/>
  <c r="H785" i="1" s="1"/>
  <c r="E786" i="1"/>
  <c r="H786" i="1" s="1"/>
  <c r="E787" i="1"/>
  <c r="H787" i="1" s="1"/>
  <c r="E788" i="1"/>
  <c r="H788" i="1" s="1"/>
  <c r="E789" i="1"/>
  <c r="H789" i="1" s="1"/>
  <c r="E790" i="1"/>
  <c r="H790" i="1" s="1"/>
  <c r="E791" i="1"/>
  <c r="H791" i="1" s="1"/>
  <c r="E792" i="1"/>
  <c r="H792" i="1" s="1"/>
  <c r="E793" i="1"/>
  <c r="H793" i="1" s="1"/>
  <c r="E794" i="1"/>
  <c r="E795" i="1"/>
  <c r="H795" i="1" s="1"/>
  <c r="E796" i="1"/>
  <c r="H796" i="1" s="1"/>
  <c r="E797" i="1"/>
  <c r="H797" i="1" s="1"/>
  <c r="E798" i="1"/>
  <c r="H798" i="1" s="1"/>
  <c r="E799" i="1"/>
  <c r="H799" i="1" s="1"/>
  <c r="E800" i="1"/>
  <c r="H800" i="1" s="1"/>
  <c r="E801" i="1"/>
  <c r="H801" i="1" s="1"/>
  <c r="E802" i="1"/>
  <c r="H802" i="1" s="1"/>
  <c r="E803" i="1"/>
  <c r="H803" i="1" s="1"/>
  <c r="E804" i="1"/>
  <c r="H804" i="1" s="1"/>
  <c r="E805" i="1"/>
  <c r="H805" i="1" s="1"/>
  <c r="E806" i="1"/>
  <c r="E807" i="1"/>
  <c r="H807" i="1" s="1"/>
  <c r="E808" i="1"/>
  <c r="H808" i="1" s="1"/>
  <c r="E809" i="1"/>
  <c r="H809" i="1" s="1"/>
  <c r="E810" i="1"/>
  <c r="H810" i="1" s="1"/>
  <c r="E811" i="1"/>
  <c r="H811" i="1" s="1"/>
  <c r="E812" i="1"/>
  <c r="H812" i="1" s="1"/>
  <c r="E813" i="1"/>
  <c r="H813" i="1" s="1"/>
  <c r="E814" i="1"/>
  <c r="H814" i="1" s="1"/>
  <c r="E815" i="1"/>
  <c r="H815" i="1" s="1"/>
  <c r="E816" i="1"/>
  <c r="H816" i="1" s="1"/>
  <c r="E817" i="1"/>
  <c r="H817" i="1" s="1"/>
  <c r="E818" i="1"/>
  <c r="E819" i="1"/>
  <c r="H819" i="1" s="1"/>
  <c r="E820" i="1"/>
  <c r="H820" i="1" s="1"/>
  <c r="E821" i="1"/>
  <c r="H821" i="1" s="1"/>
  <c r="E822" i="1"/>
  <c r="H822" i="1" s="1"/>
  <c r="E823" i="1"/>
  <c r="H823" i="1" s="1"/>
  <c r="E824" i="1"/>
  <c r="H824" i="1" s="1"/>
  <c r="E825" i="1"/>
  <c r="H825" i="1" s="1"/>
  <c r="E826" i="1"/>
  <c r="H826" i="1" s="1"/>
  <c r="E827" i="1"/>
  <c r="H827" i="1" s="1"/>
  <c r="E828" i="1"/>
  <c r="H828" i="1" s="1"/>
  <c r="E829" i="1"/>
  <c r="H829" i="1" s="1"/>
  <c r="E830" i="1"/>
  <c r="H830" i="1" s="1"/>
  <c r="E831" i="1"/>
  <c r="H831" i="1" s="1"/>
  <c r="E832" i="1"/>
  <c r="H832" i="1" s="1"/>
  <c r="E833" i="1"/>
  <c r="H833" i="1" s="1"/>
  <c r="E834" i="1"/>
  <c r="H834" i="1" s="1"/>
  <c r="E835" i="1"/>
  <c r="H835" i="1" s="1"/>
  <c r="E836" i="1"/>
  <c r="H836" i="1" s="1"/>
  <c r="E837" i="1"/>
  <c r="H837" i="1" s="1"/>
  <c r="E838" i="1"/>
  <c r="H838" i="1" s="1"/>
  <c r="E839" i="1"/>
  <c r="H839" i="1" s="1"/>
  <c r="E840" i="1"/>
  <c r="H840" i="1" s="1"/>
  <c r="E841" i="1"/>
  <c r="H841" i="1" s="1"/>
  <c r="E842" i="1"/>
  <c r="E843" i="1"/>
  <c r="H843" i="1" s="1"/>
  <c r="E844" i="1"/>
  <c r="H844" i="1" s="1"/>
  <c r="E845" i="1"/>
  <c r="H845" i="1" s="1"/>
  <c r="E846" i="1"/>
  <c r="H846" i="1" s="1"/>
  <c r="E847" i="1"/>
  <c r="H847" i="1" s="1"/>
  <c r="E848" i="1"/>
  <c r="H848" i="1" s="1"/>
  <c r="E849" i="1"/>
  <c r="H849" i="1" s="1"/>
  <c r="E850" i="1"/>
  <c r="H850" i="1" s="1"/>
  <c r="E851" i="1"/>
  <c r="H851" i="1" s="1"/>
  <c r="E852" i="1"/>
  <c r="H852" i="1" s="1"/>
  <c r="E853" i="1"/>
  <c r="H853" i="1" s="1"/>
  <c r="E854" i="1"/>
  <c r="E855" i="1"/>
  <c r="H855" i="1" s="1"/>
  <c r="E856" i="1"/>
  <c r="H856" i="1" s="1"/>
  <c r="E857" i="1"/>
  <c r="H857" i="1" s="1"/>
  <c r="E858" i="1"/>
  <c r="H858" i="1" s="1"/>
  <c r="E859" i="1"/>
  <c r="H859" i="1" s="1"/>
  <c r="E860" i="1"/>
  <c r="H860" i="1" s="1"/>
  <c r="E861" i="1"/>
  <c r="H861" i="1" s="1"/>
  <c r="E862" i="1"/>
  <c r="H862" i="1" s="1"/>
  <c r="E863" i="1"/>
  <c r="H863" i="1" s="1"/>
  <c r="E864" i="1"/>
  <c r="H864" i="1" s="1"/>
  <c r="E865" i="1"/>
  <c r="H865" i="1" s="1"/>
  <c r="E866" i="1"/>
  <c r="E867" i="1"/>
  <c r="H867" i="1" s="1"/>
  <c r="E868" i="1"/>
  <c r="H868" i="1" s="1"/>
  <c r="E869" i="1"/>
  <c r="H869" i="1" s="1"/>
  <c r="E870" i="1"/>
  <c r="H870" i="1" s="1"/>
  <c r="E871" i="1"/>
  <c r="H871" i="1" s="1"/>
  <c r="E872" i="1"/>
  <c r="H872" i="1" s="1"/>
  <c r="E873" i="1"/>
  <c r="H873" i="1" s="1"/>
  <c r="E874" i="1"/>
  <c r="H874" i="1" s="1"/>
  <c r="E875" i="1"/>
  <c r="H875" i="1" s="1"/>
  <c r="E876" i="1"/>
  <c r="H876" i="1" s="1"/>
  <c r="E877" i="1"/>
  <c r="H877" i="1" s="1"/>
  <c r="E878" i="1"/>
  <c r="H878" i="1" s="1"/>
  <c r="E879" i="1"/>
  <c r="H879" i="1" s="1"/>
  <c r="E880" i="1"/>
  <c r="H880" i="1" s="1"/>
  <c r="E881" i="1"/>
  <c r="H881" i="1" s="1"/>
  <c r="E882" i="1"/>
  <c r="H882" i="1" s="1"/>
  <c r="E883" i="1"/>
  <c r="H883" i="1" s="1"/>
  <c r="E884" i="1"/>
  <c r="H884" i="1" s="1"/>
  <c r="E885" i="1"/>
  <c r="H885" i="1" s="1"/>
  <c r="E886" i="1"/>
  <c r="H886" i="1" s="1"/>
  <c r="E887" i="1"/>
  <c r="H887" i="1" s="1"/>
  <c r="E888" i="1"/>
  <c r="H888" i="1" s="1"/>
  <c r="E889" i="1"/>
  <c r="H889" i="1" s="1"/>
  <c r="E890" i="1"/>
  <c r="E891" i="1"/>
  <c r="H891" i="1" s="1"/>
  <c r="E892" i="1"/>
  <c r="H892" i="1" s="1"/>
  <c r="E893" i="1"/>
  <c r="H893" i="1" s="1"/>
  <c r="E894" i="1"/>
  <c r="H894" i="1" s="1"/>
  <c r="E895" i="1"/>
  <c r="H895" i="1" s="1"/>
  <c r="E896" i="1"/>
  <c r="H896" i="1" s="1"/>
  <c r="E897" i="1"/>
  <c r="H897" i="1" s="1"/>
  <c r="E898" i="1"/>
  <c r="H898" i="1" s="1"/>
  <c r="E899" i="1"/>
  <c r="H899" i="1" s="1"/>
  <c r="E900" i="1"/>
  <c r="H900" i="1" s="1"/>
  <c r="E901" i="1"/>
  <c r="H901" i="1" s="1"/>
  <c r="E902" i="1"/>
  <c r="E903" i="1"/>
  <c r="H903" i="1" s="1"/>
  <c r="E904" i="1"/>
  <c r="H904" i="1" s="1"/>
  <c r="E905" i="1"/>
  <c r="H905" i="1" s="1"/>
  <c r="E906" i="1"/>
  <c r="H906" i="1" s="1"/>
  <c r="E907" i="1"/>
  <c r="H907" i="1" s="1"/>
  <c r="E908" i="1"/>
  <c r="H908" i="1" s="1"/>
  <c r="E909" i="1"/>
  <c r="H909" i="1" s="1"/>
  <c r="E910" i="1"/>
  <c r="H910" i="1" s="1"/>
  <c r="E911" i="1"/>
  <c r="H911" i="1" s="1"/>
  <c r="E912" i="1"/>
  <c r="H912" i="1" s="1"/>
  <c r="E913" i="1"/>
  <c r="H913" i="1" s="1"/>
  <c r="E914" i="1"/>
  <c r="E915" i="1"/>
  <c r="H915" i="1" s="1"/>
  <c r="E916" i="1"/>
  <c r="H916" i="1" s="1"/>
  <c r="E917" i="1"/>
  <c r="H917" i="1" s="1"/>
  <c r="E918" i="1"/>
  <c r="H918" i="1" s="1"/>
  <c r="E919" i="1"/>
  <c r="H919" i="1" s="1"/>
  <c r="E920" i="1"/>
  <c r="H920" i="1" s="1"/>
  <c r="E921" i="1"/>
  <c r="H921" i="1" s="1"/>
  <c r="E922" i="1"/>
  <c r="H922" i="1" s="1"/>
  <c r="E923" i="1"/>
  <c r="H923" i="1" s="1"/>
  <c r="E924" i="1"/>
  <c r="H924" i="1" s="1"/>
  <c r="E925" i="1"/>
  <c r="H925" i="1" s="1"/>
  <c r="E926" i="1"/>
  <c r="H926" i="1" s="1"/>
  <c r="E927" i="1"/>
  <c r="H927" i="1" s="1"/>
  <c r="E928" i="1"/>
  <c r="H928" i="1" s="1"/>
  <c r="E929" i="1"/>
  <c r="H929" i="1" s="1"/>
  <c r="E930" i="1"/>
  <c r="H930" i="1" s="1"/>
  <c r="E931" i="1"/>
  <c r="H931" i="1" s="1"/>
  <c r="E932" i="1"/>
  <c r="H932" i="1" s="1"/>
  <c r="E933" i="1"/>
  <c r="H933" i="1" s="1"/>
  <c r="E934" i="1"/>
  <c r="H934" i="1" s="1"/>
  <c r="E935" i="1"/>
  <c r="H935" i="1" s="1"/>
  <c r="E936" i="1"/>
  <c r="H936" i="1" s="1"/>
  <c r="E937" i="1"/>
  <c r="H937" i="1" s="1"/>
  <c r="E938" i="1"/>
  <c r="E939" i="1"/>
  <c r="H939" i="1" s="1"/>
  <c r="E940" i="1"/>
  <c r="H940" i="1" s="1"/>
  <c r="E941" i="1"/>
  <c r="H941" i="1" s="1"/>
  <c r="E942" i="1"/>
  <c r="H942" i="1" s="1"/>
  <c r="E943" i="1"/>
  <c r="H943" i="1" s="1"/>
  <c r="E944" i="1"/>
  <c r="H944" i="1" s="1"/>
  <c r="E945" i="1"/>
  <c r="H945" i="1" s="1"/>
  <c r="E946" i="1"/>
  <c r="H946" i="1" s="1"/>
  <c r="E947" i="1"/>
  <c r="H947" i="1" s="1"/>
  <c r="E948" i="1"/>
  <c r="H948" i="1" s="1"/>
  <c r="E949" i="1"/>
  <c r="H949" i="1" s="1"/>
  <c r="E950" i="1"/>
  <c r="E951" i="1"/>
  <c r="H951" i="1" s="1"/>
  <c r="E952" i="1"/>
  <c r="H952" i="1" s="1"/>
  <c r="E953" i="1"/>
  <c r="H953" i="1" s="1"/>
  <c r="E954" i="1"/>
  <c r="H954" i="1" s="1"/>
  <c r="E955" i="1"/>
  <c r="H955" i="1" s="1"/>
  <c r="E956" i="1"/>
  <c r="H956" i="1" s="1"/>
  <c r="E957" i="1"/>
  <c r="H957" i="1" s="1"/>
  <c r="E958" i="1"/>
  <c r="H958" i="1" s="1"/>
  <c r="E959" i="1"/>
  <c r="H959" i="1" s="1"/>
  <c r="E960" i="1"/>
  <c r="H960" i="1" s="1"/>
  <c r="E961" i="1"/>
  <c r="H961" i="1" s="1"/>
  <c r="E962" i="1"/>
  <c r="E963" i="1"/>
  <c r="H963" i="1" s="1"/>
  <c r="E964" i="1"/>
  <c r="H964" i="1" s="1"/>
  <c r="E965" i="1"/>
  <c r="H965" i="1" s="1"/>
  <c r="E966" i="1"/>
  <c r="H966" i="1" s="1"/>
  <c r="E967" i="1"/>
  <c r="H967" i="1" s="1"/>
  <c r="E968" i="1"/>
  <c r="H968" i="1" s="1"/>
  <c r="E969" i="1"/>
  <c r="H969" i="1" s="1"/>
  <c r="E970" i="1"/>
  <c r="H970" i="1" s="1"/>
  <c r="E971" i="1"/>
  <c r="H971" i="1" s="1"/>
  <c r="E972" i="1"/>
  <c r="H972" i="1" s="1"/>
  <c r="E973" i="1"/>
  <c r="H973" i="1" s="1"/>
  <c r="E974" i="1"/>
  <c r="H974" i="1" s="1"/>
  <c r="E975" i="1"/>
  <c r="H975" i="1" s="1"/>
  <c r="E976" i="1"/>
  <c r="H976" i="1" s="1"/>
  <c r="E977" i="1"/>
  <c r="H977" i="1" s="1"/>
  <c r="E978" i="1"/>
  <c r="H978" i="1" s="1"/>
  <c r="E979" i="1"/>
  <c r="H979" i="1" s="1"/>
  <c r="E980" i="1"/>
  <c r="H980" i="1" s="1"/>
  <c r="E981" i="1"/>
  <c r="H981" i="1" s="1"/>
  <c r="E982" i="1"/>
  <c r="H982" i="1" s="1"/>
  <c r="E983" i="1"/>
  <c r="H983" i="1" s="1"/>
  <c r="E984" i="1"/>
  <c r="H984" i="1" s="1"/>
  <c r="E985" i="1"/>
  <c r="H985" i="1" s="1"/>
  <c r="E986" i="1"/>
  <c r="E987" i="1"/>
  <c r="H987" i="1" s="1"/>
  <c r="E988" i="1"/>
  <c r="H988" i="1" s="1"/>
  <c r="E989" i="1"/>
  <c r="H989" i="1" s="1"/>
  <c r="E990" i="1"/>
  <c r="H990" i="1" s="1"/>
  <c r="E991" i="1"/>
  <c r="H991" i="1" s="1"/>
  <c r="E992" i="1"/>
  <c r="H992" i="1" s="1"/>
  <c r="E993" i="1"/>
  <c r="H993" i="1" s="1"/>
  <c r="E994" i="1"/>
  <c r="H994" i="1" s="1"/>
  <c r="E995" i="1"/>
  <c r="H995" i="1" s="1"/>
  <c r="E996" i="1"/>
  <c r="H996" i="1" s="1"/>
  <c r="E997" i="1"/>
  <c r="H997" i="1" s="1"/>
  <c r="E998" i="1"/>
  <c r="E999" i="1"/>
  <c r="H999" i="1" s="1"/>
  <c r="E1000" i="1"/>
  <c r="H1000" i="1" s="1"/>
  <c r="E1001" i="1"/>
  <c r="H1001" i="1" s="1"/>
  <c r="E1002" i="1"/>
  <c r="H1002" i="1" s="1"/>
  <c r="E1003" i="1"/>
  <c r="H1003" i="1" s="1"/>
  <c r="E1004" i="1"/>
  <c r="H1004" i="1" s="1"/>
  <c r="E1005" i="1"/>
  <c r="H1005" i="1" s="1"/>
  <c r="E1006" i="1"/>
  <c r="H1006" i="1" s="1"/>
  <c r="E1007" i="1"/>
  <c r="H1007" i="1" s="1"/>
  <c r="E1008" i="1"/>
  <c r="H1008" i="1" s="1"/>
  <c r="E1009" i="1"/>
  <c r="H1009" i="1" s="1"/>
  <c r="E1010" i="1"/>
  <c r="E1011" i="1"/>
  <c r="H1011" i="1" s="1"/>
  <c r="E1012" i="1"/>
  <c r="H1012" i="1" s="1"/>
  <c r="E1013" i="1"/>
  <c r="H1013" i="1" s="1"/>
  <c r="E1014" i="1"/>
  <c r="H1014" i="1" s="1"/>
  <c r="E1015" i="1"/>
  <c r="H1015" i="1" s="1"/>
  <c r="E1016" i="1"/>
  <c r="H1016" i="1" s="1"/>
  <c r="E1017" i="1"/>
  <c r="H1017" i="1" s="1"/>
  <c r="E1018" i="1"/>
  <c r="H1018" i="1" s="1"/>
  <c r="E1019" i="1"/>
  <c r="H1019" i="1" s="1"/>
  <c r="E1020" i="1"/>
  <c r="H1020" i="1" s="1"/>
  <c r="E1021" i="1"/>
  <c r="H1021" i="1" s="1"/>
  <c r="E1022" i="1"/>
  <c r="H1022" i="1" s="1"/>
  <c r="E1023" i="1"/>
  <c r="H1023" i="1" s="1"/>
  <c r="E1024" i="1"/>
  <c r="H1024" i="1" s="1"/>
  <c r="E1025" i="1"/>
  <c r="H1025" i="1" s="1"/>
  <c r="E1026" i="1"/>
  <c r="H1026" i="1" s="1"/>
  <c r="E1027" i="1"/>
  <c r="H1027" i="1" s="1"/>
  <c r="E1028" i="1"/>
  <c r="E1029" i="1"/>
  <c r="H1029" i="1" s="1"/>
  <c r="E1030" i="1"/>
  <c r="H1030" i="1" s="1"/>
  <c r="E1031" i="1"/>
  <c r="H1031" i="1" s="1"/>
  <c r="E1032" i="1"/>
  <c r="H1032" i="1" s="1"/>
  <c r="E1033" i="1"/>
  <c r="H1033" i="1" s="1"/>
  <c r="E1034" i="1"/>
  <c r="H1034" i="1" s="1"/>
  <c r="E1035" i="1"/>
  <c r="H1035" i="1" s="1"/>
  <c r="E1036" i="1"/>
  <c r="H1036" i="1" s="1"/>
  <c r="E1037" i="1"/>
  <c r="H1037" i="1" s="1"/>
  <c r="E1038" i="1"/>
  <c r="H1038" i="1" s="1"/>
  <c r="E1039" i="1"/>
  <c r="H1039" i="1" s="1"/>
  <c r="E1040" i="1"/>
  <c r="E1041" i="1"/>
  <c r="H1041" i="1" s="1"/>
  <c r="E1042" i="1"/>
  <c r="H1042" i="1" s="1"/>
  <c r="E1043" i="1"/>
  <c r="H1043" i="1" s="1"/>
  <c r="E1044" i="1"/>
  <c r="H1044" i="1" s="1"/>
  <c r="E1045" i="1"/>
  <c r="H1045" i="1" s="1"/>
  <c r="E1046" i="1"/>
  <c r="H1046" i="1" s="1"/>
  <c r="E1047" i="1"/>
  <c r="H1047" i="1" s="1"/>
  <c r="E1048" i="1"/>
  <c r="H1048" i="1" s="1"/>
  <c r="E1049" i="1"/>
  <c r="H1049" i="1" s="1"/>
  <c r="E1050" i="1"/>
  <c r="H1050" i="1" s="1"/>
  <c r="E1051" i="1"/>
  <c r="H1051" i="1" s="1"/>
  <c r="E1052" i="1"/>
  <c r="E1053" i="1"/>
  <c r="H1053" i="1" s="1"/>
  <c r="E1054" i="1"/>
  <c r="H1054" i="1" s="1"/>
  <c r="E1055" i="1"/>
  <c r="H1055" i="1" s="1"/>
  <c r="E1056" i="1"/>
  <c r="H1056" i="1" s="1"/>
  <c r="E1057" i="1"/>
  <c r="H1057" i="1" s="1"/>
  <c r="E1058" i="1"/>
  <c r="H1058" i="1" s="1"/>
  <c r="E1059" i="1"/>
  <c r="H1059" i="1" s="1"/>
  <c r="E1060" i="1"/>
  <c r="H1060" i="1" s="1"/>
  <c r="E1061" i="1"/>
  <c r="H1061" i="1" s="1"/>
  <c r="E1062" i="1"/>
  <c r="H1062" i="1" s="1"/>
  <c r="E1063" i="1"/>
  <c r="H1063" i="1" s="1"/>
  <c r="E1064" i="1"/>
  <c r="E1065" i="1"/>
  <c r="H1065" i="1" s="1"/>
  <c r="E1066" i="1"/>
  <c r="H1066" i="1" s="1"/>
  <c r="E1067" i="1"/>
  <c r="H1067" i="1" s="1"/>
  <c r="E1068" i="1"/>
  <c r="H1068" i="1" s="1"/>
  <c r="E1069" i="1"/>
  <c r="H1069" i="1" s="1"/>
  <c r="E1070" i="1"/>
  <c r="H1070" i="1" s="1"/>
  <c r="E1071" i="1"/>
  <c r="H1071" i="1" s="1"/>
  <c r="E1072" i="1"/>
  <c r="H1072" i="1" s="1"/>
  <c r="E1073" i="1"/>
  <c r="H1073" i="1" s="1"/>
  <c r="E1074" i="1"/>
  <c r="H1074" i="1" s="1"/>
  <c r="E1075" i="1"/>
  <c r="H1075" i="1" s="1"/>
  <c r="E1076" i="1"/>
  <c r="E1077" i="1"/>
  <c r="H1077" i="1" s="1"/>
  <c r="E1078" i="1"/>
  <c r="H1078" i="1" s="1"/>
  <c r="E1079" i="1"/>
  <c r="H1079" i="1" s="1"/>
  <c r="E1080" i="1"/>
  <c r="H1080" i="1" s="1"/>
  <c r="E1081" i="1"/>
  <c r="H1081" i="1" s="1"/>
  <c r="E1082" i="1"/>
  <c r="H1082" i="1" s="1"/>
  <c r="E1083" i="1"/>
  <c r="H1083" i="1" s="1"/>
  <c r="E1084" i="1"/>
  <c r="H1084" i="1" s="1"/>
  <c r="E1085" i="1"/>
  <c r="H1085" i="1" s="1"/>
  <c r="E1086" i="1"/>
  <c r="H1086" i="1" s="1"/>
  <c r="E1087" i="1"/>
  <c r="H1087" i="1" s="1"/>
  <c r="E1088" i="1"/>
  <c r="E1089" i="1"/>
  <c r="H1089" i="1" s="1"/>
  <c r="E1090" i="1"/>
  <c r="H1090" i="1" s="1"/>
  <c r="E1091" i="1"/>
  <c r="H1091" i="1" s="1"/>
  <c r="E1092" i="1"/>
  <c r="H1092" i="1" s="1"/>
  <c r="E1093" i="1"/>
  <c r="H1093" i="1" s="1"/>
  <c r="E1094" i="1"/>
  <c r="H1094" i="1" s="1"/>
  <c r="E1095" i="1"/>
  <c r="H1095" i="1" s="1"/>
  <c r="E1096" i="1"/>
  <c r="H1096" i="1" s="1"/>
  <c r="E1097" i="1"/>
  <c r="H1097" i="1" s="1"/>
  <c r="E1098" i="1"/>
  <c r="H1098" i="1" s="1"/>
  <c r="E1099" i="1"/>
  <c r="H1099" i="1" s="1"/>
  <c r="E1100" i="1"/>
  <c r="E1101" i="1"/>
  <c r="H1101" i="1" s="1"/>
  <c r="E1102" i="1"/>
  <c r="H1102" i="1" s="1"/>
  <c r="E1103" i="1"/>
  <c r="H1103" i="1" s="1"/>
  <c r="E1104" i="1"/>
  <c r="H1104" i="1" s="1"/>
  <c r="E1105" i="1"/>
  <c r="H1105" i="1" s="1"/>
  <c r="E1106" i="1"/>
  <c r="H1106" i="1" s="1"/>
  <c r="E1107" i="1"/>
  <c r="H1107" i="1" s="1"/>
  <c r="E1108" i="1"/>
  <c r="H1108" i="1" s="1"/>
  <c r="E1109" i="1"/>
  <c r="H1109" i="1" s="1"/>
  <c r="E1110" i="1"/>
  <c r="H1110" i="1" s="1"/>
  <c r="E1111" i="1"/>
  <c r="H1111" i="1" s="1"/>
  <c r="E1112" i="1"/>
  <c r="E1113" i="1"/>
  <c r="H1113" i="1" s="1"/>
  <c r="E1114" i="1"/>
  <c r="H1114" i="1" s="1"/>
  <c r="E1115" i="1"/>
  <c r="H1115" i="1" s="1"/>
  <c r="E1116" i="1"/>
  <c r="H1116" i="1" s="1"/>
  <c r="E1117" i="1"/>
  <c r="H1117" i="1" s="1"/>
  <c r="E1118" i="1"/>
  <c r="H1118" i="1" s="1"/>
  <c r="E1119" i="1"/>
  <c r="H1119" i="1" s="1"/>
  <c r="E1120" i="1"/>
  <c r="H1120" i="1" s="1"/>
  <c r="E1121" i="1"/>
  <c r="H1121" i="1" s="1"/>
  <c r="E1122" i="1"/>
  <c r="H1122" i="1" s="1"/>
  <c r="E1123" i="1"/>
  <c r="H1123" i="1" s="1"/>
  <c r="E1124" i="1"/>
  <c r="E1125" i="1"/>
  <c r="H1125" i="1" s="1"/>
  <c r="E1126" i="1"/>
  <c r="H1126" i="1" s="1"/>
  <c r="E1127" i="1"/>
  <c r="H1127" i="1" s="1"/>
  <c r="E1128" i="1"/>
  <c r="H1128" i="1" s="1"/>
  <c r="E1129" i="1"/>
  <c r="H1129" i="1" s="1"/>
  <c r="E1130" i="1"/>
  <c r="H1130" i="1" s="1"/>
  <c r="E1131" i="1"/>
  <c r="H1131" i="1" s="1"/>
  <c r="E1132" i="1"/>
  <c r="H1132" i="1" s="1"/>
  <c r="E1133" i="1"/>
  <c r="H1133" i="1" s="1"/>
  <c r="E1134" i="1"/>
  <c r="H1134" i="1" s="1"/>
  <c r="E1135" i="1"/>
  <c r="H1135" i="1" s="1"/>
  <c r="E1136" i="1"/>
  <c r="E1137" i="1"/>
  <c r="H1137" i="1" s="1"/>
  <c r="E1138" i="1"/>
  <c r="H1138" i="1" s="1"/>
  <c r="E1139" i="1"/>
  <c r="H1139" i="1" s="1"/>
  <c r="E1140" i="1"/>
  <c r="H1140" i="1" s="1"/>
  <c r="E1141" i="1"/>
  <c r="H1141" i="1" s="1"/>
  <c r="E1142" i="1"/>
  <c r="H1142" i="1" s="1"/>
  <c r="E1143" i="1"/>
  <c r="H1143" i="1" s="1"/>
  <c r="E1144" i="1"/>
  <c r="H1144" i="1" s="1"/>
  <c r="E1145" i="1"/>
  <c r="H1145" i="1" s="1"/>
  <c r="E1146" i="1"/>
  <c r="H1146" i="1" s="1"/>
  <c r="E1147" i="1"/>
  <c r="H1147" i="1" s="1"/>
  <c r="E1148" i="1"/>
  <c r="E1149" i="1"/>
  <c r="E1150" i="1"/>
  <c r="H1150" i="1" s="1"/>
  <c r="E1151" i="1"/>
  <c r="H1151" i="1" s="1"/>
  <c r="E1152" i="1"/>
  <c r="H1152" i="1" s="1"/>
  <c r="E1153" i="1"/>
  <c r="H1153" i="1" s="1"/>
  <c r="E1154" i="1"/>
  <c r="H1154" i="1" s="1"/>
  <c r="E1155" i="1"/>
  <c r="H1155" i="1" s="1"/>
  <c r="E1156" i="1"/>
  <c r="H1156" i="1" s="1"/>
  <c r="E1157" i="1"/>
  <c r="H1157" i="1" s="1"/>
  <c r="E1158" i="1"/>
  <c r="H1158" i="1" s="1"/>
  <c r="E1159" i="1"/>
  <c r="H1159" i="1" s="1"/>
  <c r="E1160" i="1"/>
  <c r="E1161" i="1"/>
  <c r="E1162" i="1"/>
  <c r="H1162" i="1" s="1"/>
  <c r="E1163" i="1"/>
  <c r="H1163" i="1" s="1"/>
  <c r="E1164" i="1"/>
  <c r="H1164" i="1" s="1"/>
  <c r="E1165" i="1"/>
  <c r="H1165" i="1" s="1"/>
  <c r="E1166" i="1"/>
  <c r="H1166" i="1" s="1"/>
  <c r="E1167" i="1"/>
  <c r="H1167" i="1" s="1"/>
  <c r="E1168" i="1"/>
  <c r="H1168" i="1" s="1"/>
  <c r="E1169" i="1"/>
  <c r="H1169" i="1" s="1"/>
  <c r="E1170" i="1"/>
  <c r="H1170" i="1" s="1"/>
  <c r="E1171" i="1"/>
  <c r="H1171" i="1" s="1"/>
  <c r="E1172" i="1"/>
  <c r="E1173" i="1"/>
  <c r="E1174" i="1"/>
  <c r="H1174" i="1" s="1"/>
  <c r="E1175" i="1"/>
  <c r="H1175" i="1" s="1"/>
  <c r="E1176" i="1"/>
  <c r="H1176" i="1" s="1"/>
  <c r="E1177" i="1"/>
  <c r="H1177" i="1" s="1"/>
  <c r="E1178" i="1"/>
  <c r="H1178" i="1" s="1"/>
  <c r="E1179" i="1"/>
  <c r="H1179" i="1" s="1"/>
  <c r="E1180" i="1"/>
  <c r="H1180" i="1" s="1"/>
  <c r="E1181" i="1"/>
  <c r="H1181" i="1" s="1"/>
  <c r="E1182" i="1"/>
  <c r="H1182" i="1" s="1"/>
  <c r="E1183" i="1"/>
  <c r="H1183" i="1" s="1"/>
  <c r="E1184" i="1"/>
  <c r="E1185" i="1"/>
  <c r="E1186" i="1"/>
  <c r="H1186" i="1" s="1"/>
  <c r="E1187" i="1"/>
  <c r="H1187" i="1" s="1"/>
  <c r="E1188" i="1"/>
  <c r="H1188" i="1" s="1"/>
  <c r="E1189" i="1"/>
  <c r="H1189" i="1" s="1"/>
  <c r="E1190" i="1"/>
  <c r="H1190" i="1" s="1"/>
  <c r="E1191" i="1"/>
  <c r="H1191" i="1" s="1"/>
  <c r="E1192" i="1"/>
  <c r="H1192" i="1" s="1"/>
  <c r="E1193" i="1"/>
  <c r="H1193" i="1" s="1"/>
  <c r="E1194" i="1"/>
  <c r="H1194" i="1" s="1"/>
  <c r="E1195" i="1"/>
  <c r="H1195" i="1" s="1"/>
  <c r="E1196" i="1"/>
  <c r="E1197" i="1"/>
  <c r="E1198" i="1"/>
  <c r="H1198" i="1" s="1"/>
  <c r="E1199" i="1"/>
  <c r="H1199" i="1" s="1"/>
  <c r="E1200" i="1"/>
  <c r="H1200" i="1" s="1"/>
  <c r="E1201" i="1"/>
  <c r="H1201" i="1" s="1"/>
  <c r="E1202" i="1"/>
  <c r="H1202" i="1" s="1"/>
  <c r="E1203" i="1"/>
  <c r="H1203" i="1" s="1"/>
  <c r="E1204" i="1"/>
  <c r="H1204" i="1" s="1"/>
  <c r="E1205" i="1"/>
  <c r="H1205" i="1" s="1"/>
  <c r="E1206" i="1"/>
  <c r="H1206" i="1" s="1"/>
  <c r="E1207" i="1"/>
  <c r="H1207" i="1" s="1"/>
  <c r="E1208" i="1"/>
  <c r="E1209" i="1"/>
  <c r="E1210" i="1"/>
  <c r="H1210" i="1" s="1"/>
  <c r="E1211" i="1"/>
  <c r="H1211" i="1" s="1"/>
  <c r="E1212" i="1"/>
  <c r="H1212" i="1" s="1"/>
  <c r="E1213" i="1"/>
  <c r="H1213" i="1" s="1"/>
  <c r="E1214" i="1"/>
  <c r="H1214" i="1" s="1"/>
  <c r="E1215" i="1"/>
  <c r="H1215" i="1" s="1"/>
  <c r="E1216" i="1"/>
  <c r="H1216" i="1" s="1"/>
  <c r="E1217" i="1"/>
  <c r="H1217" i="1" s="1"/>
  <c r="E1218" i="1"/>
  <c r="H1218" i="1" s="1"/>
  <c r="E1219" i="1"/>
  <c r="H1219" i="1" s="1"/>
  <c r="E1220" i="1"/>
  <c r="E1221" i="1"/>
  <c r="E1222" i="1"/>
  <c r="H1222" i="1" s="1"/>
  <c r="E1223" i="1"/>
  <c r="H1223" i="1" s="1"/>
  <c r="E1224" i="1"/>
  <c r="H1224" i="1" s="1"/>
  <c r="E1225" i="1"/>
  <c r="H1225" i="1" s="1"/>
  <c r="E1226" i="1"/>
  <c r="H1226" i="1" s="1"/>
  <c r="E1227" i="1"/>
  <c r="H1227" i="1" s="1"/>
  <c r="E1228" i="1"/>
  <c r="H1228" i="1" s="1"/>
  <c r="E1229" i="1"/>
  <c r="H1229" i="1" s="1"/>
  <c r="E1230" i="1"/>
  <c r="H1230" i="1" s="1"/>
  <c r="E1231" i="1"/>
  <c r="H1231" i="1" s="1"/>
  <c r="E1232" i="1"/>
  <c r="E1233" i="1"/>
  <c r="E1234" i="1"/>
  <c r="H1234" i="1" s="1"/>
  <c r="E1235" i="1"/>
  <c r="H1235" i="1" s="1"/>
  <c r="E1236" i="1"/>
  <c r="H1236" i="1" s="1"/>
  <c r="E1237" i="1"/>
  <c r="H1237" i="1" s="1"/>
  <c r="E1238" i="1"/>
  <c r="H1238" i="1" s="1"/>
  <c r="E1239" i="1"/>
  <c r="H1239" i="1" s="1"/>
  <c r="E1240" i="1"/>
  <c r="H1240" i="1" s="1"/>
  <c r="E1241" i="1"/>
  <c r="H1241" i="1" s="1"/>
  <c r="E1242" i="1"/>
  <c r="H1242" i="1" s="1"/>
  <c r="E1243" i="1"/>
  <c r="E1244" i="1"/>
  <c r="E1245" i="1"/>
  <c r="E1246" i="1"/>
  <c r="H1246" i="1" s="1"/>
  <c r="E1247" i="1"/>
  <c r="H1247" i="1" s="1"/>
  <c r="E1248" i="1"/>
  <c r="H1248" i="1" s="1"/>
  <c r="E1249" i="1"/>
  <c r="H1249" i="1" s="1"/>
  <c r="E1250" i="1"/>
  <c r="H1250" i="1" s="1"/>
  <c r="E1251" i="1"/>
  <c r="H1251" i="1" s="1"/>
  <c r="E1252" i="1"/>
  <c r="H1252" i="1" s="1"/>
  <c r="E1253" i="1"/>
  <c r="H1253" i="1" s="1"/>
  <c r="E1254" i="1"/>
  <c r="H1254" i="1" s="1"/>
  <c r="E1255" i="1"/>
  <c r="H1255" i="1" s="1"/>
  <c r="E1256" i="1"/>
  <c r="E1257" i="1"/>
  <c r="E1258" i="1"/>
  <c r="H1258" i="1" s="1"/>
  <c r="E1259" i="1"/>
  <c r="H1259" i="1" s="1"/>
  <c r="E1260" i="1"/>
  <c r="H1260" i="1" s="1"/>
  <c r="E1261" i="1"/>
  <c r="H1261" i="1" s="1"/>
  <c r="E1262" i="1"/>
  <c r="H1262" i="1" s="1"/>
  <c r="E1263" i="1"/>
  <c r="H1263" i="1" s="1"/>
  <c r="E1264" i="1"/>
  <c r="H1264" i="1" s="1"/>
  <c r="E1265" i="1"/>
  <c r="H1265" i="1" s="1"/>
  <c r="E1266" i="1"/>
  <c r="H1266" i="1" s="1"/>
  <c r="E1267" i="1"/>
  <c r="H1267" i="1" s="1"/>
  <c r="E1268" i="1"/>
  <c r="E1269" i="1"/>
  <c r="E1270" i="1"/>
  <c r="H1270" i="1" s="1"/>
  <c r="E1271" i="1"/>
  <c r="H1271" i="1" s="1"/>
  <c r="E1272" i="1"/>
  <c r="H1272" i="1" s="1"/>
  <c r="E1273" i="1"/>
  <c r="H1273" i="1" s="1"/>
  <c r="E1274" i="1"/>
  <c r="H1274" i="1" s="1"/>
  <c r="E1275" i="1"/>
  <c r="H1275" i="1" s="1"/>
  <c r="E1276" i="1"/>
  <c r="H1276" i="1" s="1"/>
  <c r="E1277" i="1"/>
  <c r="H1277" i="1" s="1"/>
  <c r="E1278" i="1"/>
  <c r="H1278" i="1" s="1"/>
  <c r="E1279" i="1"/>
  <c r="H1279" i="1" s="1"/>
  <c r="E1280" i="1"/>
  <c r="E1281" i="1"/>
  <c r="H1281" i="1" s="1"/>
  <c r="E1282" i="1"/>
  <c r="H1282" i="1" s="1"/>
  <c r="E1283" i="1"/>
  <c r="H1283" i="1" s="1"/>
  <c r="E1284" i="1"/>
  <c r="H1284" i="1" s="1"/>
  <c r="E1285" i="1"/>
  <c r="H1285" i="1" s="1"/>
  <c r="E1286" i="1"/>
  <c r="H1286" i="1" s="1"/>
  <c r="E1287" i="1"/>
  <c r="H1287" i="1" s="1"/>
  <c r="E1288" i="1"/>
  <c r="H1288" i="1" s="1"/>
  <c r="E1289" i="1"/>
  <c r="H1289" i="1" s="1"/>
  <c r="E1290" i="1"/>
  <c r="H1290" i="1" s="1"/>
  <c r="E1291" i="1"/>
  <c r="H1291" i="1" s="1"/>
  <c r="E1292" i="1"/>
  <c r="E1293" i="1"/>
  <c r="H1293" i="1" s="1"/>
  <c r="E1294" i="1"/>
  <c r="H1294" i="1" s="1"/>
  <c r="E1295" i="1"/>
  <c r="H1295" i="1" s="1"/>
  <c r="E1296" i="1"/>
  <c r="H1296" i="1" s="1"/>
  <c r="E1297" i="1"/>
  <c r="H1297" i="1" s="1"/>
  <c r="E1298" i="1"/>
  <c r="H1298" i="1" s="1"/>
  <c r="E1299" i="1"/>
  <c r="H1299" i="1" s="1"/>
  <c r="E1300" i="1"/>
  <c r="H1300" i="1" s="1"/>
  <c r="E1301" i="1"/>
  <c r="H1301" i="1" s="1"/>
  <c r="E1302" i="1"/>
  <c r="H1302" i="1" s="1"/>
  <c r="E1303" i="1"/>
  <c r="H1303" i="1" s="1"/>
  <c r="E1304" i="1"/>
  <c r="E1305" i="1"/>
  <c r="H1305" i="1" s="1"/>
  <c r="E1306" i="1"/>
  <c r="H1306" i="1" s="1"/>
  <c r="E1307" i="1"/>
  <c r="H1307" i="1" s="1"/>
  <c r="E1308" i="1"/>
  <c r="H1308" i="1" s="1"/>
  <c r="E1309" i="1"/>
  <c r="H1309" i="1" s="1"/>
  <c r="E1310" i="1"/>
  <c r="H1310" i="1" s="1"/>
  <c r="E1311" i="1"/>
  <c r="H1311" i="1" s="1"/>
  <c r="E1312" i="1"/>
  <c r="H1312" i="1" s="1"/>
  <c r="E1313" i="1"/>
  <c r="H1313" i="1" s="1"/>
  <c r="E1314" i="1"/>
  <c r="H1314" i="1" s="1"/>
  <c r="E1315" i="1"/>
  <c r="H1315" i="1" s="1"/>
  <c r="E1316" i="1"/>
  <c r="E1317" i="1"/>
  <c r="H1317" i="1" s="1"/>
  <c r="E1318" i="1"/>
  <c r="H1318" i="1" s="1"/>
  <c r="E1319" i="1"/>
  <c r="H1319" i="1" s="1"/>
  <c r="E1320" i="1"/>
  <c r="H1320" i="1" s="1"/>
  <c r="E1321" i="1"/>
  <c r="H1321" i="1" s="1"/>
  <c r="E1322" i="1"/>
  <c r="H1322" i="1" s="1"/>
  <c r="E1323" i="1"/>
  <c r="H1323" i="1" s="1"/>
  <c r="E1324" i="1"/>
  <c r="H1324" i="1" s="1"/>
  <c r="E1325" i="1"/>
  <c r="H1325" i="1" s="1"/>
  <c r="E1326" i="1"/>
  <c r="H1326" i="1" s="1"/>
  <c r="E1327" i="1"/>
  <c r="H1327" i="1" s="1"/>
  <c r="E1328" i="1"/>
  <c r="E1329" i="1"/>
  <c r="H1329" i="1" s="1"/>
  <c r="E1330" i="1"/>
  <c r="H1330" i="1" s="1"/>
  <c r="E1331" i="1"/>
  <c r="H1331" i="1" s="1"/>
  <c r="E1332" i="1"/>
  <c r="H1332" i="1" s="1"/>
  <c r="E1333" i="1"/>
  <c r="H1333" i="1" s="1"/>
  <c r="E1334" i="1"/>
  <c r="H1334" i="1" s="1"/>
  <c r="E1335" i="1"/>
  <c r="H1335" i="1" s="1"/>
  <c r="E1336" i="1"/>
  <c r="H1336" i="1" s="1"/>
  <c r="E1337" i="1"/>
  <c r="H1337" i="1" s="1"/>
  <c r="E1338" i="1"/>
  <c r="H1338" i="1" s="1"/>
  <c r="E1339" i="1"/>
  <c r="H1339" i="1" s="1"/>
  <c r="E1340" i="1"/>
  <c r="E1341" i="1"/>
  <c r="H1341" i="1" s="1"/>
  <c r="E1342" i="1"/>
  <c r="H1342" i="1" s="1"/>
  <c r="E1343" i="1"/>
  <c r="H1343" i="1" s="1"/>
  <c r="E1344" i="1"/>
  <c r="H1344" i="1" s="1"/>
  <c r="E1345" i="1"/>
  <c r="H1345" i="1" s="1"/>
  <c r="E1346" i="1"/>
  <c r="H1346" i="1" s="1"/>
  <c r="E1347" i="1"/>
  <c r="H1347" i="1" s="1"/>
  <c r="E1348" i="1"/>
  <c r="H1348" i="1" s="1"/>
  <c r="E1349" i="1"/>
  <c r="H1349" i="1" s="1"/>
  <c r="E1350" i="1"/>
  <c r="H1350" i="1" s="1"/>
  <c r="E1351" i="1"/>
  <c r="H1351" i="1" s="1"/>
  <c r="E1352" i="1"/>
  <c r="E1353" i="1"/>
  <c r="H1353" i="1" s="1"/>
  <c r="E1354" i="1"/>
  <c r="H1354" i="1" s="1"/>
  <c r="E1355" i="1"/>
  <c r="H1355" i="1" s="1"/>
  <c r="E1356" i="1"/>
  <c r="H1356" i="1" s="1"/>
  <c r="E1357" i="1"/>
  <c r="H1357" i="1" s="1"/>
  <c r="E1358" i="1"/>
  <c r="H1358" i="1" s="1"/>
  <c r="E1359" i="1"/>
  <c r="H1359" i="1" s="1"/>
  <c r="E1360" i="1"/>
  <c r="H1360" i="1" s="1"/>
  <c r="E1361" i="1"/>
  <c r="H1361" i="1" s="1"/>
  <c r="E1362" i="1"/>
  <c r="H1362" i="1" s="1"/>
  <c r="E1363" i="1"/>
  <c r="H1363" i="1" s="1"/>
  <c r="E1364" i="1"/>
  <c r="E1365" i="1"/>
  <c r="H1365" i="1" s="1"/>
  <c r="E1366" i="1"/>
  <c r="H1366" i="1" s="1"/>
  <c r="E1367" i="1"/>
  <c r="E1368" i="1"/>
  <c r="H1368" i="1" s="1"/>
  <c r="E1369" i="1"/>
  <c r="H1369" i="1" s="1"/>
  <c r="E1370" i="1"/>
  <c r="H1370" i="1" s="1"/>
  <c r="E1371" i="1"/>
  <c r="H1371" i="1" s="1"/>
  <c r="E1372" i="1"/>
  <c r="H1372" i="1" s="1"/>
  <c r="E1373" i="1"/>
  <c r="H1373" i="1" s="1"/>
  <c r="E1374" i="1"/>
  <c r="H1374" i="1" s="1"/>
  <c r="E1375" i="1"/>
  <c r="H1375" i="1" s="1"/>
  <c r="E1376" i="1"/>
  <c r="E1377" i="1"/>
  <c r="H1377" i="1" s="1"/>
  <c r="E1378" i="1"/>
  <c r="H1378" i="1" s="1"/>
  <c r="E1379" i="1"/>
  <c r="H1379" i="1" s="1"/>
  <c r="E1380" i="1"/>
  <c r="H1380" i="1" s="1"/>
  <c r="E1381" i="1"/>
  <c r="H1381" i="1" s="1"/>
  <c r="E1382" i="1"/>
  <c r="H1382" i="1" s="1"/>
  <c r="E1383" i="1"/>
  <c r="H1383" i="1" s="1"/>
  <c r="E1384" i="1"/>
  <c r="H1384" i="1" s="1"/>
  <c r="E1385" i="1"/>
  <c r="H1385" i="1" s="1"/>
  <c r="E1386" i="1"/>
  <c r="H1386" i="1" s="1"/>
  <c r="E1387" i="1"/>
  <c r="H1387" i="1" s="1"/>
  <c r="E1388" i="1"/>
  <c r="E1389" i="1"/>
  <c r="H1389" i="1" s="1"/>
  <c r="E1390" i="1"/>
  <c r="H1390" i="1" s="1"/>
  <c r="E1391" i="1"/>
  <c r="E1392" i="1"/>
  <c r="H1392" i="1" s="1"/>
  <c r="E1393" i="1"/>
  <c r="H1393" i="1" s="1"/>
  <c r="E1394" i="1"/>
  <c r="H1394" i="1" s="1"/>
  <c r="E1395" i="1"/>
  <c r="H1395" i="1" s="1"/>
  <c r="E1396" i="1"/>
  <c r="H1396" i="1" s="1"/>
  <c r="E1397" i="1"/>
  <c r="H1397" i="1" s="1"/>
  <c r="E1398" i="1"/>
  <c r="H1398" i="1" s="1"/>
  <c r="E1399" i="1"/>
  <c r="H1399" i="1" s="1"/>
  <c r="E1400" i="1"/>
  <c r="E1401" i="1"/>
  <c r="H1401" i="1" s="1"/>
  <c r="E1402" i="1"/>
  <c r="H1402" i="1" s="1"/>
  <c r="E1403" i="1"/>
  <c r="H1403" i="1" s="1"/>
  <c r="E1404" i="1"/>
  <c r="H1404" i="1" s="1"/>
  <c r="E1405" i="1"/>
  <c r="H1405" i="1" s="1"/>
  <c r="E1406" i="1"/>
  <c r="H1406" i="1" s="1"/>
  <c r="E1407" i="1"/>
  <c r="H1407" i="1" s="1"/>
  <c r="E1408" i="1"/>
  <c r="H1408" i="1" s="1"/>
  <c r="E1409" i="1"/>
  <c r="H1409" i="1" s="1"/>
  <c r="E1410" i="1"/>
  <c r="H1410" i="1" s="1"/>
  <c r="E1411" i="1"/>
  <c r="H1411" i="1" s="1"/>
  <c r="E1412" i="1"/>
  <c r="E1413" i="1"/>
  <c r="H1413" i="1" s="1"/>
  <c r="E1414" i="1"/>
  <c r="E1415" i="1"/>
  <c r="H1415" i="1" s="1"/>
  <c r="E1416" i="1"/>
  <c r="H1416" i="1" s="1"/>
  <c r="E1417" i="1"/>
  <c r="H1417" i="1" s="1"/>
  <c r="E1418" i="1"/>
  <c r="H1418" i="1" s="1"/>
  <c r="E1419" i="1"/>
  <c r="H1419" i="1" s="1"/>
  <c r="E1420" i="1"/>
  <c r="H1420" i="1" s="1"/>
  <c r="E1421" i="1"/>
  <c r="H1421" i="1" s="1"/>
  <c r="E1422" i="1"/>
  <c r="H1422" i="1" s="1"/>
  <c r="E1423" i="1"/>
  <c r="H1423" i="1" s="1"/>
  <c r="E1424" i="1"/>
  <c r="E1425" i="1"/>
  <c r="H1425" i="1" s="1"/>
  <c r="E1426" i="1"/>
  <c r="H1426" i="1" s="1"/>
  <c r="E1427" i="1"/>
  <c r="H1427" i="1" s="1"/>
  <c r="E1428" i="1"/>
  <c r="H1428" i="1" s="1"/>
  <c r="E1429" i="1"/>
  <c r="H1429" i="1" s="1"/>
  <c r="E1430" i="1"/>
  <c r="H1430" i="1" s="1"/>
  <c r="E1431" i="1"/>
  <c r="H1431" i="1" s="1"/>
  <c r="E1432" i="1"/>
  <c r="H1432" i="1" s="1"/>
  <c r="E1433" i="1"/>
  <c r="H1433" i="1" s="1"/>
  <c r="E1434" i="1"/>
  <c r="H1434" i="1" s="1"/>
  <c r="E1435" i="1"/>
  <c r="H1435" i="1" s="1"/>
  <c r="E1436" i="1"/>
  <c r="E1437" i="1"/>
  <c r="H1437" i="1" s="1"/>
  <c r="E1438" i="1"/>
  <c r="H1438" i="1" s="1"/>
  <c r="E1439" i="1"/>
  <c r="H1439" i="1" s="1"/>
  <c r="E1440" i="1"/>
  <c r="H1440" i="1" s="1"/>
  <c r="E1441" i="1"/>
  <c r="H1441" i="1" s="1"/>
  <c r="E1442" i="1"/>
  <c r="H1442" i="1" s="1"/>
  <c r="E1443" i="1"/>
  <c r="H1443" i="1" s="1"/>
  <c r="E1444" i="1"/>
  <c r="H1444" i="1" s="1"/>
  <c r="E1445" i="1"/>
  <c r="H1445" i="1" s="1"/>
  <c r="E1446" i="1"/>
  <c r="H1446" i="1" s="1"/>
  <c r="E1447" i="1"/>
  <c r="H1447" i="1" s="1"/>
  <c r="E1448" i="1"/>
  <c r="E1449" i="1"/>
  <c r="H1449" i="1" s="1"/>
  <c r="E1450" i="1"/>
  <c r="E1451" i="1"/>
  <c r="E1452" i="1"/>
  <c r="H1452" i="1" s="1"/>
  <c r="E1453" i="1"/>
  <c r="H1453" i="1" s="1"/>
  <c r="E1454" i="1"/>
  <c r="H1454" i="1" s="1"/>
  <c r="E1455" i="1"/>
  <c r="H1455" i="1" s="1"/>
  <c r="E1456" i="1"/>
  <c r="H1456" i="1" s="1"/>
  <c r="E1457" i="1"/>
  <c r="H1457" i="1" s="1"/>
  <c r="E1458" i="1"/>
  <c r="H1458" i="1" s="1"/>
  <c r="E1459" i="1"/>
  <c r="H1459" i="1" s="1"/>
  <c r="E1460" i="1"/>
  <c r="E1461" i="1"/>
  <c r="H1461" i="1" s="1"/>
  <c r="E1462" i="1"/>
  <c r="H1462" i="1" s="1"/>
  <c r="E1463" i="1"/>
  <c r="H1463" i="1" s="1"/>
  <c r="E1464" i="1"/>
  <c r="H1464" i="1" s="1"/>
  <c r="E1465" i="1"/>
  <c r="H1465" i="1" s="1"/>
  <c r="E1466" i="1"/>
  <c r="H1466" i="1" s="1"/>
  <c r="E1467" i="1"/>
  <c r="H1467" i="1" s="1"/>
  <c r="E1468" i="1"/>
  <c r="H1468" i="1" s="1"/>
  <c r="E1469" i="1"/>
  <c r="H1469" i="1" s="1"/>
  <c r="E1470" i="1"/>
  <c r="H1470" i="1" s="1"/>
  <c r="E1471" i="1"/>
  <c r="H1471" i="1" s="1"/>
  <c r="E1472" i="1"/>
  <c r="E1473" i="1"/>
  <c r="E1474" i="1"/>
  <c r="H1474" i="1" s="1"/>
  <c r="E1475" i="1"/>
  <c r="E1476" i="1"/>
  <c r="H1476" i="1" s="1"/>
  <c r="E1477" i="1"/>
  <c r="H1477" i="1" s="1"/>
  <c r="E1478" i="1"/>
  <c r="H1478" i="1" s="1"/>
  <c r="E1479" i="1"/>
  <c r="H1479" i="1" s="1"/>
  <c r="E1480" i="1"/>
  <c r="H1480" i="1" s="1"/>
  <c r="E1481" i="1"/>
  <c r="H1481" i="1" s="1"/>
  <c r="E1482" i="1"/>
  <c r="H1482" i="1" s="1"/>
  <c r="E1483" i="1"/>
  <c r="H1483" i="1" s="1"/>
  <c r="E1484" i="1"/>
  <c r="E1485" i="1"/>
  <c r="H1485" i="1" s="1"/>
  <c r="E1486" i="1"/>
  <c r="H1486" i="1" s="1"/>
  <c r="E1487" i="1"/>
  <c r="H1487" i="1" s="1"/>
  <c r="E1488" i="1"/>
  <c r="H1488" i="1" s="1"/>
  <c r="E1489" i="1"/>
  <c r="H1489" i="1" s="1"/>
  <c r="E1490" i="1"/>
  <c r="H1490" i="1" s="1"/>
  <c r="E1491" i="1"/>
  <c r="H1491" i="1" s="1"/>
  <c r="E1492" i="1"/>
  <c r="H1492" i="1" s="1"/>
  <c r="E1493" i="1"/>
  <c r="H1493" i="1" s="1"/>
  <c r="E1494" i="1"/>
  <c r="H1494" i="1" s="1"/>
  <c r="E1495" i="1"/>
  <c r="H1495" i="1" s="1"/>
  <c r="E1496" i="1"/>
  <c r="E1497" i="1"/>
  <c r="E1498" i="1"/>
  <c r="H1498" i="1" s="1"/>
  <c r="E1499" i="1"/>
  <c r="H1499" i="1" s="1"/>
  <c r="E1500" i="1"/>
  <c r="H1500" i="1" s="1"/>
  <c r="E1501" i="1"/>
  <c r="H1501" i="1" s="1"/>
  <c r="E1502" i="1"/>
  <c r="H1502" i="1" s="1"/>
  <c r="E1503" i="1"/>
  <c r="H1503" i="1" s="1"/>
  <c r="E1504" i="1"/>
  <c r="H1504" i="1" s="1"/>
  <c r="E1505" i="1"/>
  <c r="H1505" i="1" s="1"/>
  <c r="E1506" i="1"/>
  <c r="H1506" i="1" s="1"/>
  <c r="E1507" i="1"/>
  <c r="H1507" i="1" s="1"/>
  <c r="E1508" i="1"/>
  <c r="H1508" i="1" s="1"/>
  <c r="E1509" i="1"/>
  <c r="H1509" i="1" s="1"/>
  <c r="E1510" i="1"/>
  <c r="H1510" i="1" s="1"/>
  <c r="E1511" i="1"/>
  <c r="E1512" i="1"/>
  <c r="H1512" i="1" s="1"/>
  <c r="E1513" i="1"/>
  <c r="H1513" i="1" s="1"/>
  <c r="E1514" i="1"/>
  <c r="H1514" i="1" s="1"/>
  <c r="E1515" i="1"/>
  <c r="H1515" i="1" s="1"/>
  <c r="E1516" i="1"/>
  <c r="H1516" i="1" s="1"/>
  <c r="E1517" i="1"/>
  <c r="H1517" i="1" s="1"/>
  <c r="E1518" i="1"/>
  <c r="H1518" i="1" s="1"/>
  <c r="E1519" i="1"/>
  <c r="E1520" i="1"/>
  <c r="H1520" i="1" s="1"/>
  <c r="E1521" i="1"/>
  <c r="H1521" i="1" s="1"/>
  <c r="E1522" i="1"/>
  <c r="H1522" i="1" s="1"/>
  <c r="E1523" i="1"/>
  <c r="H1523" i="1" s="1"/>
  <c r="E1524" i="1"/>
  <c r="H1524" i="1" s="1"/>
  <c r="E1525" i="1"/>
  <c r="H1525" i="1" s="1"/>
  <c r="E1526" i="1"/>
  <c r="H1526" i="1" s="1"/>
  <c r="E1527" i="1"/>
  <c r="H1527" i="1" s="1"/>
  <c r="E1528" i="1"/>
  <c r="H1528" i="1" s="1"/>
  <c r="E1529" i="1"/>
  <c r="H1529" i="1" s="1"/>
  <c r="E1530" i="1"/>
  <c r="H1530" i="1" s="1"/>
  <c r="E1531" i="1"/>
  <c r="H1531" i="1" s="1"/>
  <c r="E1532" i="1"/>
  <c r="H1532" i="1" s="1"/>
  <c r="E1533" i="1"/>
  <c r="E1534" i="1"/>
  <c r="E1535" i="1"/>
  <c r="H1535" i="1" s="1"/>
  <c r="E1536" i="1"/>
  <c r="H1536" i="1" s="1"/>
  <c r="E1537" i="1"/>
  <c r="H1537" i="1" s="1"/>
  <c r="E1538" i="1"/>
  <c r="H1538" i="1" s="1"/>
  <c r="E1539" i="1"/>
  <c r="H1539" i="1" s="1"/>
  <c r="E1540" i="1"/>
  <c r="H1540" i="1" s="1"/>
  <c r="E1541" i="1"/>
  <c r="H1541" i="1" s="1"/>
  <c r="E1542" i="1"/>
  <c r="H1542" i="1" s="1"/>
  <c r="E1543" i="1"/>
  <c r="H1543" i="1" s="1"/>
  <c r="E1544" i="1"/>
  <c r="H1544" i="1" s="1"/>
  <c r="E1545" i="1"/>
  <c r="H1545" i="1" s="1"/>
  <c r="E1546" i="1"/>
  <c r="H1546" i="1" s="1"/>
  <c r="E1547" i="1"/>
  <c r="H1547" i="1" s="1"/>
  <c r="E1548" i="1"/>
  <c r="H1548" i="1" s="1"/>
  <c r="E1549" i="1"/>
  <c r="H1549" i="1" s="1"/>
  <c r="E1550" i="1"/>
  <c r="H1550" i="1" s="1"/>
  <c r="E1551" i="1"/>
  <c r="H1551" i="1" s="1"/>
  <c r="E1552" i="1"/>
  <c r="H1552" i="1" s="1"/>
  <c r="E1553" i="1"/>
  <c r="H1553" i="1" s="1"/>
  <c r="E1554" i="1"/>
  <c r="H1554" i="1" s="1"/>
  <c r="E1555" i="1"/>
  <c r="E1556" i="1"/>
  <c r="E1557" i="1"/>
  <c r="H1557" i="1" s="1"/>
  <c r="E1558" i="1"/>
  <c r="E1559" i="1"/>
  <c r="H1559" i="1" s="1"/>
  <c r="E1560" i="1"/>
  <c r="H1560" i="1" s="1"/>
  <c r="E1561" i="1"/>
  <c r="H1561" i="1" s="1"/>
  <c r="E1562" i="1"/>
  <c r="H1562" i="1" s="1"/>
  <c r="E1563" i="1"/>
  <c r="H1563" i="1" s="1"/>
  <c r="E1564" i="1"/>
  <c r="H1564" i="1" s="1"/>
  <c r="E1565" i="1"/>
  <c r="H1565" i="1" s="1"/>
  <c r="E1566" i="1"/>
  <c r="H1566" i="1" s="1"/>
  <c r="E1567" i="1"/>
  <c r="H1567" i="1" s="1"/>
  <c r="E1568" i="1"/>
  <c r="H1568" i="1" s="1"/>
  <c r="E1569" i="1"/>
  <c r="H1569" i="1" s="1"/>
  <c r="E1570" i="1"/>
  <c r="H1570" i="1" s="1"/>
  <c r="E1571" i="1"/>
  <c r="H1571" i="1" s="1"/>
  <c r="E1572" i="1"/>
  <c r="H1572" i="1" s="1"/>
  <c r="E1573" i="1"/>
  <c r="H1573" i="1" s="1"/>
  <c r="E1574" i="1"/>
  <c r="H1574" i="1" s="1"/>
  <c r="E1575" i="1"/>
  <c r="H1575" i="1" s="1"/>
  <c r="E1576" i="1"/>
  <c r="H1576" i="1" s="1"/>
  <c r="E1577" i="1"/>
  <c r="H1577" i="1" s="1"/>
  <c r="E1578" i="1"/>
  <c r="H1578" i="1" s="1"/>
  <c r="E1579" i="1"/>
  <c r="H1579" i="1" s="1"/>
  <c r="E1580" i="1"/>
  <c r="E1581" i="1"/>
  <c r="H1581" i="1" s="1"/>
  <c r="E1582" i="1"/>
  <c r="H1582" i="1" s="1"/>
  <c r="E1583" i="1"/>
  <c r="H1583" i="1" s="1"/>
  <c r="E1584" i="1"/>
  <c r="H1584" i="1" s="1"/>
  <c r="E1585" i="1"/>
  <c r="H1585" i="1" s="1"/>
  <c r="E1586" i="1"/>
  <c r="H1586" i="1" s="1"/>
  <c r="E1587" i="1"/>
  <c r="H1587" i="1" s="1"/>
  <c r="E1588" i="1"/>
  <c r="H1588" i="1" s="1"/>
  <c r="E1589" i="1"/>
  <c r="H1589" i="1" s="1"/>
  <c r="E1590" i="1"/>
  <c r="H1590" i="1" s="1"/>
  <c r="E1591" i="1"/>
  <c r="H1591" i="1" s="1"/>
  <c r="E1592" i="1"/>
  <c r="H1592" i="1" s="1"/>
  <c r="E1593" i="1"/>
  <c r="H1593" i="1" s="1"/>
  <c r="E1594" i="1"/>
  <c r="E1595" i="1"/>
  <c r="E1596" i="1"/>
  <c r="H1596" i="1" s="1"/>
  <c r="E1597" i="1"/>
  <c r="H1597" i="1" s="1"/>
  <c r="E1598" i="1"/>
  <c r="H1598" i="1" s="1"/>
  <c r="E1599" i="1"/>
  <c r="H1599" i="1" s="1"/>
  <c r="E1600" i="1"/>
  <c r="H1600" i="1" s="1"/>
  <c r="E1601" i="1"/>
  <c r="E1602" i="1"/>
  <c r="H1602" i="1" s="1"/>
  <c r="E1603" i="1"/>
  <c r="H1603" i="1" s="1"/>
  <c r="E1604" i="1"/>
  <c r="H1604" i="1" s="1"/>
  <c r="E1605" i="1"/>
  <c r="H1605" i="1" s="1"/>
  <c r="E1606" i="1"/>
  <c r="H1606" i="1" s="1"/>
  <c r="E1607" i="1"/>
  <c r="H1607" i="1" s="1"/>
  <c r="E1608" i="1"/>
  <c r="H1608" i="1" s="1"/>
  <c r="E1609" i="1"/>
  <c r="H1609" i="1" s="1"/>
  <c r="E1610" i="1"/>
  <c r="H1610" i="1" s="1"/>
  <c r="E1611" i="1"/>
  <c r="H1611" i="1" s="1"/>
  <c r="E1612" i="1"/>
  <c r="H1612" i="1" s="1"/>
  <c r="E1613" i="1"/>
  <c r="H1613" i="1" s="1"/>
  <c r="E1614" i="1"/>
  <c r="H1614" i="1" s="1"/>
  <c r="E1615" i="1"/>
  <c r="H1615" i="1" s="1"/>
  <c r="E1616" i="1"/>
  <c r="E1617" i="1"/>
  <c r="E1618" i="1"/>
  <c r="H1618" i="1" s="1"/>
  <c r="E1619" i="1"/>
  <c r="E1620" i="1"/>
  <c r="H1620" i="1" s="1"/>
  <c r="E1621" i="1"/>
  <c r="H1621" i="1" s="1"/>
  <c r="E1622" i="1"/>
  <c r="H1622" i="1" s="1"/>
  <c r="E1623" i="1"/>
  <c r="H1623" i="1" s="1"/>
  <c r="E1624" i="1"/>
  <c r="H1624" i="1" s="1"/>
  <c r="E1625" i="1"/>
  <c r="H1625" i="1" s="1"/>
  <c r="E1626" i="1"/>
  <c r="H1626" i="1" s="1"/>
  <c r="E1627" i="1"/>
  <c r="H1627" i="1" s="1"/>
  <c r="E1628" i="1"/>
  <c r="H1628" i="1" s="1"/>
  <c r="E1629" i="1"/>
  <c r="H1629" i="1" s="1"/>
  <c r="E1630" i="1"/>
  <c r="H1630" i="1" s="1"/>
  <c r="E1631" i="1"/>
  <c r="H1631" i="1" s="1"/>
  <c r="E1632" i="1"/>
  <c r="H1632" i="1" s="1"/>
  <c r="E1633" i="1"/>
  <c r="H1633" i="1" s="1"/>
  <c r="E1634" i="1"/>
  <c r="H1634" i="1" s="1"/>
  <c r="E1635" i="1"/>
  <c r="H1635" i="1" s="1"/>
  <c r="E1636" i="1"/>
  <c r="H1636" i="1" s="1"/>
  <c r="E1637" i="1"/>
  <c r="E1638" i="1"/>
  <c r="H1638" i="1" s="1"/>
  <c r="E1639" i="1"/>
  <c r="E1640" i="1"/>
  <c r="H1640" i="1" s="1"/>
  <c r="E1641" i="1"/>
  <c r="E1642" i="1"/>
  <c r="H1642" i="1" s="1"/>
  <c r="E1643" i="1"/>
  <c r="H1643" i="1" s="1"/>
  <c r="E1644" i="1"/>
  <c r="H1644" i="1" s="1"/>
  <c r="E1645" i="1"/>
  <c r="H1645" i="1" s="1"/>
  <c r="E1646" i="1"/>
  <c r="H1646" i="1" s="1"/>
  <c r="E1647" i="1"/>
  <c r="H1647" i="1" s="1"/>
  <c r="E1648" i="1"/>
  <c r="H1648" i="1" s="1"/>
  <c r="E1649" i="1"/>
  <c r="H1649" i="1" s="1"/>
  <c r="E1650" i="1"/>
  <c r="H1650" i="1" s="1"/>
  <c r="E1651" i="1"/>
  <c r="H1651" i="1" s="1"/>
  <c r="E1652" i="1"/>
  <c r="H1652" i="1" s="1"/>
  <c r="E1653" i="1"/>
  <c r="H1653" i="1" s="1"/>
  <c r="E1654" i="1"/>
  <c r="H1654" i="1" s="1"/>
  <c r="E1655" i="1"/>
  <c r="E1656" i="1"/>
  <c r="H1656" i="1" s="1"/>
  <c r="E1657" i="1"/>
  <c r="H1657" i="1" s="1"/>
  <c r="E1658" i="1"/>
  <c r="H1658" i="1" s="1"/>
  <c r="E1659" i="1"/>
  <c r="H1659" i="1" s="1"/>
  <c r="E1660" i="1"/>
  <c r="H1660" i="1" s="1"/>
  <c r="E1661" i="1"/>
  <c r="H1661" i="1" s="1"/>
  <c r="E1662" i="1"/>
  <c r="H1662" i="1" s="1"/>
  <c r="E1663" i="1"/>
  <c r="E1664" i="1"/>
  <c r="H1664" i="1" s="1"/>
  <c r="E1665" i="1"/>
  <c r="H1665" i="1" s="1"/>
  <c r="E1666" i="1"/>
  <c r="H1666" i="1" s="1"/>
  <c r="E1667" i="1"/>
  <c r="H1667" i="1" s="1"/>
  <c r="E1668" i="1"/>
  <c r="H1668" i="1" s="1"/>
  <c r="E1669" i="1"/>
  <c r="H1669" i="1" s="1"/>
  <c r="E1670" i="1"/>
  <c r="H1670" i="1" s="1"/>
  <c r="E1671" i="1"/>
  <c r="H1671" i="1" s="1"/>
  <c r="E1672" i="1"/>
  <c r="H1672" i="1" s="1"/>
  <c r="E1673" i="1"/>
  <c r="H1673" i="1" s="1"/>
  <c r="E1674" i="1"/>
  <c r="H1674" i="1" s="1"/>
  <c r="E1675" i="1"/>
  <c r="H1675" i="1" s="1"/>
  <c r="E1676" i="1"/>
  <c r="H1676" i="1" s="1"/>
  <c r="E1677" i="1"/>
  <c r="E1678" i="1"/>
  <c r="E1679" i="1"/>
  <c r="H1679" i="1" s="1"/>
  <c r="E1680" i="1"/>
  <c r="H1680" i="1" s="1"/>
  <c r="E1681" i="1"/>
  <c r="H1681" i="1" s="1"/>
  <c r="E1682" i="1"/>
  <c r="H1682" i="1" s="1"/>
  <c r="E1683" i="1"/>
  <c r="H1683" i="1" s="1"/>
  <c r="E1684" i="1"/>
  <c r="H1684" i="1" s="1"/>
  <c r="E1685" i="1"/>
  <c r="H1685" i="1" s="1"/>
  <c r="E1686" i="1"/>
  <c r="H1686" i="1" s="1"/>
  <c r="E1687" i="1"/>
  <c r="H1687" i="1" s="1"/>
  <c r="E1688" i="1"/>
  <c r="H1688" i="1" s="1"/>
  <c r="E1689" i="1"/>
  <c r="H1689" i="1" s="1"/>
  <c r="E1690" i="1"/>
  <c r="H1690" i="1" s="1"/>
  <c r="E1691" i="1"/>
  <c r="H1691" i="1" s="1"/>
  <c r="E1692" i="1"/>
  <c r="H1692" i="1" s="1"/>
  <c r="E1693" i="1"/>
  <c r="H1693" i="1" s="1"/>
  <c r="E1694" i="1"/>
  <c r="H1694" i="1" s="1"/>
  <c r="E1695" i="1"/>
  <c r="H1695" i="1" s="1"/>
  <c r="E1696" i="1"/>
  <c r="H1696" i="1" s="1"/>
  <c r="E1697" i="1"/>
  <c r="H1697" i="1" s="1"/>
  <c r="E1698" i="1"/>
  <c r="E1699" i="1"/>
  <c r="E1700" i="1"/>
  <c r="H1700" i="1" s="1"/>
  <c r="E1701" i="1"/>
  <c r="E1702" i="1"/>
  <c r="H1702" i="1" s="1"/>
  <c r="E1703" i="1"/>
  <c r="H1703" i="1" s="1"/>
  <c r="E1704" i="1"/>
  <c r="H1704" i="1" s="1"/>
  <c r="E1705" i="1"/>
  <c r="H1705" i="1" s="1"/>
  <c r="E1706" i="1"/>
  <c r="H1706" i="1" s="1"/>
  <c r="E1707" i="1"/>
  <c r="H1707" i="1" s="1"/>
  <c r="E1708" i="1"/>
  <c r="H1708" i="1" s="1"/>
  <c r="E1709" i="1"/>
  <c r="H1709" i="1" s="1"/>
  <c r="E1710" i="1"/>
  <c r="E1711" i="1"/>
  <c r="H1711" i="1" s="1"/>
  <c r="E1712" i="1"/>
  <c r="H1712" i="1" s="1"/>
  <c r="E1713" i="1"/>
  <c r="H1713" i="1" s="1"/>
  <c r="E1714" i="1"/>
  <c r="E1715" i="1"/>
  <c r="E1716" i="1"/>
  <c r="H1716" i="1" s="1"/>
  <c r="E1717" i="1"/>
  <c r="H1717" i="1" s="1"/>
  <c r="E1718" i="1"/>
  <c r="H1718" i="1" s="1"/>
  <c r="E1719" i="1"/>
  <c r="H1719" i="1" s="1"/>
  <c r="E1720" i="1"/>
  <c r="H1720" i="1" s="1"/>
  <c r="E1721" i="1"/>
  <c r="E1722" i="1"/>
  <c r="E1723" i="1"/>
  <c r="H1723" i="1" s="1"/>
  <c r="E1724" i="1"/>
  <c r="H1724" i="1" s="1"/>
  <c r="E1725" i="1"/>
  <c r="H1725" i="1" s="1"/>
  <c r="E1726" i="1"/>
  <c r="H1726" i="1" s="1"/>
  <c r="E1727" i="1"/>
  <c r="H1727" i="1" s="1"/>
  <c r="E1728" i="1"/>
  <c r="H1728" i="1" s="1"/>
  <c r="E1729" i="1"/>
  <c r="H1729" i="1" s="1"/>
  <c r="E1730" i="1"/>
  <c r="H1730" i="1" s="1"/>
  <c r="E1731" i="1"/>
  <c r="H1731" i="1" s="1"/>
  <c r="E1732" i="1"/>
  <c r="H1732" i="1" s="1"/>
  <c r="E1733" i="1"/>
  <c r="H1733" i="1" s="1"/>
  <c r="E1734" i="1"/>
  <c r="E1735" i="1"/>
  <c r="E1736" i="1"/>
  <c r="H1736" i="1" s="1"/>
  <c r="E1737" i="1"/>
  <c r="E1738" i="1"/>
  <c r="H1738" i="1" s="1"/>
  <c r="E1739" i="1"/>
  <c r="H1739" i="1" s="1"/>
  <c r="E1740" i="1"/>
  <c r="H1740" i="1" s="1"/>
  <c r="E1741" i="1"/>
  <c r="H1741" i="1" s="1"/>
  <c r="E1742" i="1"/>
  <c r="H1742" i="1" s="1"/>
  <c r="E1743" i="1"/>
  <c r="H1743" i="1" s="1"/>
  <c r="E1744" i="1"/>
  <c r="H1744" i="1" s="1"/>
  <c r="E1745" i="1"/>
  <c r="H1745" i="1" s="1"/>
  <c r="E1746" i="1"/>
  <c r="H1746" i="1" s="1"/>
  <c r="E1747" i="1"/>
  <c r="H1747" i="1" s="1"/>
  <c r="E1748" i="1"/>
  <c r="H1748" i="1" s="1"/>
  <c r="E1749" i="1"/>
  <c r="H1749" i="1" s="1"/>
  <c r="E1750" i="1"/>
  <c r="E1751" i="1"/>
  <c r="E1752" i="1"/>
  <c r="H1752" i="1" s="1"/>
  <c r="E1753" i="1"/>
  <c r="H1753" i="1" s="1"/>
  <c r="E1754" i="1"/>
  <c r="H1754" i="1" s="1"/>
  <c r="E1755" i="1"/>
  <c r="H1755" i="1" s="1"/>
  <c r="E1756" i="1"/>
  <c r="H1756" i="1" s="1"/>
  <c r="E1757" i="1"/>
  <c r="E1758" i="1"/>
  <c r="H1758" i="1" s="1"/>
  <c r="E1759" i="1"/>
  <c r="H1759" i="1" s="1"/>
  <c r="E1760" i="1"/>
  <c r="H1760" i="1" s="1"/>
  <c r="E1761" i="1"/>
  <c r="H1761" i="1" s="1"/>
  <c r="E1762" i="1"/>
  <c r="H1762" i="1" s="1"/>
  <c r="E1763" i="1"/>
  <c r="H1763" i="1" s="1"/>
  <c r="E1764" i="1"/>
  <c r="H1764" i="1" s="1"/>
  <c r="E1765" i="1"/>
  <c r="H1765" i="1" s="1"/>
  <c r="E1766" i="1"/>
  <c r="H1766" i="1" s="1"/>
  <c r="E1767" i="1"/>
  <c r="H1767" i="1" s="1"/>
  <c r="E1768" i="1"/>
  <c r="H1768" i="1" s="1"/>
  <c r="E1769" i="1"/>
  <c r="H1769" i="1" s="1"/>
  <c r="E1770" i="1"/>
  <c r="E1771" i="1"/>
  <c r="E1772" i="1"/>
  <c r="H1772" i="1" s="1"/>
  <c r="E1773" i="1"/>
  <c r="E1774" i="1"/>
  <c r="H1774" i="1" s="1"/>
  <c r="E1775" i="1"/>
  <c r="H1775" i="1" s="1"/>
  <c r="E1776" i="1"/>
  <c r="H1776" i="1" s="1"/>
  <c r="E1777" i="1"/>
  <c r="H1777" i="1" s="1"/>
  <c r="E1778" i="1"/>
  <c r="H1778" i="1" s="1"/>
  <c r="E1779" i="1"/>
  <c r="H1779" i="1" s="1"/>
  <c r="E1780" i="1"/>
  <c r="H1780" i="1" s="1"/>
  <c r="E1781" i="1"/>
  <c r="H1781" i="1" s="1"/>
  <c r="E1782" i="1"/>
  <c r="H1782" i="1" s="1"/>
  <c r="E1783" i="1"/>
  <c r="H1783" i="1" s="1"/>
  <c r="E1784" i="1"/>
  <c r="H1784" i="1" s="1"/>
  <c r="E1785" i="1"/>
  <c r="H1785" i="1" s="1"/>
  <c r="E1786" i="1"/>
  <c r="E1787" i="1"/>
  <c r="E1788" i="1"/>
  <c r="H1788" i="1" s="1"/>
  <c r="E1789" i="1"/>
  <c r="H1789" i="1" s="1"/>
  <c r="E1790" i="1"/>
  <c r="E1791" i="1"/>
  <c r="H1791" i="1" s="1"/>
  <c r="E1792" i="1"/>
  <c r="H1792" i="1" s="1"/>
  <c r="E1793" i="1"/>
  <c r="H1793" i="1" s="1"/>
  <c r="E1794" i="1"/>
  <c r="H1794" i="1" s="1"/>
  <c r="E1795" i="1"/>
  <c r="H1795" i="1" s="1"/>
  <c r="E1796" i="1"/>
  <c r="H1796" i="1" s="1"/>
  <c r="E1797" i="1"/>
  <c r="H1797" i="1" s="1"/>
  <c r="E1798" i="1"/>
  <c r="H1798" i="1" s="1"/>
  <c r="E1799" i="1"/>
  <c r="H1799" i="1" s="1"/>
  <c r="E1800" i="1"/>
  <c r="H1800" i="1" s="1"/>
  <c r="E1801" i="1"/>
  <c r="H1801" i="1" s="1"/>
  <c r="E1802" i="1"/>
  <c r="E1803" i="1"/>
  <c r="H1803" i="1" s="1"/>
  <c r="E1804" i="1"/>
  <c r="H1804" i="1" s="1"/>
  <c r="E1805" i="1"/>
  <c r="E1806" i="1"/>
  <c r="H1806" i="1" s="1"/>
  <c r="E1807" i="1"/>
  <c r="E1808" i="1"/>
  <c r="H1808" i="1" s="1"/>
  <c r="E1809" i="1"/>
  <c r="H1809" i="1" s="1"/>
  <c r="E1810" i="1"/>
  <c r="H1810" i="1" s="1"/>
  <c r="E1811" i="1"/>
  <c r="H1811" i="1" s="1"/>
  <c r="E1812" i="1"/>
  <c r="H1812" i="1" s="1"/>
  <c r="E1813" i="1"/>
  <c r="H1813" i="1" s="1"/>
  <c r="E1814" i="1"/>
  <c r="H1814" i="1" s="1"/>
  <c r="E1815" i="1"/>
  <c r="H1815" i="1" s="1"/>
  <c r="E1816" i="1"/>
  <c r="H1816" i="1" s="1"/>
  <c r="E1817" i="1"/>
  <c r="H1817" i="1" s="1"/>
  <c r="E1818" i="1"/>
  <c r="H1818" i="1" s="1"/>
  <c r="E1819" i="1"/>
  <c r="E1820" i="1"/>
  <c r="E1821" i="1"/>
  <c r="H1821" i="1" s="1"/>
  <c r="E1822" i="1"/>
  <c r="E1823" i="1"/>
  <c r="H1823" i="1" s="1"/>
  <c r="E1824" i="1"/>
  <c r="H1824" i="1" s="1"/>
  <c r="E1825" i="1"/>
  <c r="H1825" i="1" s="1"/>
  <c r="E1826" i="1"/>
  <c r="H1826" i="1" s="1"/>
  <c r="E1827" i="1"/>
  <c r="H1827" i="1" s="1"/>
  <c r="E1828" i="1"/>
  <c r="H1828" i="1" s="1"/>
  <c r="E1829" i="1"/>
  <c r="H1829" i="1" s="1"/>
  <c r="E1830" i="1"/>
  <c r="H1830" i="1" s="1"/>
  <c r="E1831" i="1"/>
  <c r="H1831" i="1" s="1"/>
  <c r="E1832" i="1"/>
  <c r="H1832" i="1" s="1"/>
  <c r="E1833" i="1"/>
  <c r="H1833" i="1" s="1"/>
  <c r="E1834" i="1"/>
  <c r="E1835" i="1"/>
  <c r="E1836" i="1"/>
  <c r="H1836" i="1" s="1"/>
  <c r="E1837" i="1"/>
  <c r="H1837" i="1" s="1"/>
  <c r="E1838" i="1"/>
  <c r="E1839" i="1"/>
  <c r="H1839" i="1" s="1"/>
  <c r="E1840" i="1"/>
  <c r="H1840" i="1" s="1"/>
  <c r="E1841" i="1"/>
  <c r="H1841" i="1" s="1"/>
  <c r="E1842" i="1"/>
  <c r="H1842" i="1" s="1"/>
  <c r="E1843" i="1"/>
  <c r="H1843" i="1" s="1"/>
  <c r="E1844" i="1"/>
  <c r="H1844" i="1" s="1"/>
  <c r="E1845" i="1"/>
  <c r="H1845" i="1" s="1"/>
  <c r="E1846" i="1"/>
  <c r="H1846" i="1" s="1"/>
  <c r="E1847" i="1"/>
  <c r="H1847" i="1" s="1"/>
  <c r="E1848" i="1"/>
  <c r="H1848" i="1" s="1"/>
  <c r="E1849" i="1"/>
  <c r="H1849" i="1" s="1"/>
  <c r="E1850" i="1"/>
  <c r="E1851" i="1"/>
  <c r="H1851" i="1" s="1"/>
  <c r="E1852" i="1"/>
  <c r="H1852" i="1" s="1"/>
  <c r="E1853" i="1"/>
  <c r="E1854" i="1"/>
  <c r="H1854" i="1" s="1"/>
  <c r="E1855" i="1"/>
  <c r="E1856" i="1"/>
  <c r="H1856" i="1" s="1"/>
  <c r="E1857" i="1"/>
  <c r="H1857" i="1" s="1"/>
  <c r="E1858" i="1"/>
  <c r="H1858" i="1" s="1"/>
  <c r="E1859" i="1"/>
  <c r="H1859" i="1" s="1"/>
  <c r="E1860" i="1"/>
  <c r="H1860" i="1" s="1"/>
  <c r="E1861" i="1"/>
  <c r="H1861" i="1" s="1"/>
  <c r="E1862" i="1"/>
  <c r="H1862" i="1" s="1"/>
  <c r="E1863" i="1"/>
  <c r="H1863" i="1" s="1"/>
  <c r="E1864" i="1"/>
  <c r="H1864" i="1" s="1"/>
  <c r="E1865" i="1"/>
  <c r="H1865" i="1" s="1"/>
  <c r="E1866" i="1"/>
  <c r="H1866" i="1" s="1"/>
  <c r="E1867" i="1"/>
  <c r="E1868" i="1"/>
  <c r="E1869" i="1"/>
  <c r="H1869" i="1" s="1"/>
  <c r="E1870" i="1"/>
  <c r="E1871" i="1"/>
  <c r="H1871" i="1" s="1"/>
  <c r="E1872" i="1"/>
  <c r="H1872" i="1" s="1"/>
  <c r="E1873" i="1"/>
  <c r="H1873" i="1" s="1"/>
  <c r="E1874" i="1"/>
  <c r="H1874" i="1" s="1"/>
  <c r="E1875" i="1"/>
  <c r="H1875" i="1" s="1"/>
  <c r="E1876" i="1"/>
  <c r="H1876" i="1" s="1"/>
  <c r="E1877" i="1"/>
  <c r="H1877" i="1" s="1"/>
  <c r="E1878" i="1"/>
  <c r="H1878" i="1" s="1"/>
  <c r="E1879" i="1"/>
  <c r="E1880" i="1"/>
  <c r="E1881" i="1"/>
  <c r="H1881" i="1" s="1"/>
  <c r="E1882" i="1"/>
  <c r="E1883" i="1"/>
  <c r="H1883" i="1" s="1"/>
  <c r="E1884" i="1"/>
  <c r="H1884" i="1" s="1"/>
  <c r="E1885" i="1"/>
  <c r="H1885" i="1" s="1"/>
  <c r="E1886" i="1"/>
  <c r="H1886" i="1" s="1"/>
  <c r="E1887" i="1"/>
  <c r="H1887" i="1" s="1"/>
  <c r="E1888" i="1"/>
  <c r="H1888" i="1" s="1"/>
  <c r="E1889" i="1"/>
  <c r="H1889" i="1" s="1"/>
  <c r="E1890" i="1"/>
  <c r="H1890" i="1" s="1"/>
  <c r="E1891" i="1"/>
  <c r="E1892" i="1"/>
  <c r="E1893" i="1"/>
  <c r="H1893" i="1" s="1"/>
  <c r="E1894" i="1"/>
  <c r="E1895" i="1"/>
  <c r="H1895" i="1" s="1"/>
  <c r="E1896" i="1"/>
  <c r="H1896" i="1" s="1"/>
  <c r="E1897" i="1"/>
  <c r="H1897" i="1" s="1"/>
  <c r="E1898" i="1"/>
  <c r="H1898" i="1" s="1"/>
  <c r="E1899" i="1"/>
  <c r="H1899" i="1" s="1"/>
  <c r="E1900" i="1"/>
  <c r="H1900" i="1" s="1"/>
  <c r="E1901" i="1"/>
  <c r="H1901" i="1" s="1"/>
  <c r="E1902" i="1"/>
  <c r="H1902" i="1" s="1"/>
  <c r="E1903" i="1"/>
  <c r="E1904" i="1"/>
  <c r="E1905" i="1"/>
  <c r="H1905" i="1" s="1"/>
  <c r="E1906" i="1"/>
  <c r="E1907" i="1"/>
  <c r="H1907" i="1" s="1"/>
  <c r="E1908" i="1"/>
  <c r="H1908" i="1" s="1"/>
  <c r="E1909" i="1"/>
  <c r="H1909" i="1" s="1"/>
  <c r="E1910" i="1"/>
  <c r="H1910" i="1" s="1"/>
  <c r="E1911" i="1"/>
  <c r="H1911" i="1" s="1"/>
  <c r="E1912" i="1"/>
  <c r="H1912" i="1" s="1"/>
  <c r="E1913" i="1"/>
  <c r="H1913" i="1" s="1"/>
  <c r="E1914" i="1"/>
  <c r="H1914" i="1" s="1"/>
  <c r="E1915" i="1"/>
  <c r="E1916" i="1"/>
  <c r="E1917" i="1"/>
  <c r="H1917" i="1" s="1"/>
  <c r="E1918" i="1"/>
  <c r="E1919" i="1"/>
  <c r="H1919" i="1" s="1"/>
  <c r="E1920" i="1"/>
  <c r="H1920" i="1" s="1"/>
  <c r="E1921" i="1"/>
  <c r="H1921" i="1" s="1"/>
  <c r="E1922" i="1"/>
  <c r="H1922" i="1" s="1"/>
  <c r="E1923" i="1"/>
  <c r="H1923" i="1" s="1"/>
  <c r="E1924" i="1"/>
  <c r="H1924" i="1" s="1"/>
  <c r="E1925" i="1"/>
  <c r="H1925" i="1" s="1"/>
  <c r="E1926" i="1"/>
  <c r="H1926" i="1" s="1"/>
  <c r="E1927" i="1"/>
  <c r="E1928" i="1"/>
  <c r="E1929" i="1"/>
  <c r="H1929" i="1" s="1"/>
  <c r="E1930" i="1"/>
  <c r="E1931" i="1"/>
  <c r="H1931" i="1" s="1"/>
  <c r="E1932" i="1"/>
  <c r="H1932" i="1" s="1"/>
  <c r="E1933" i="1"/>
  <c r="H1933" i="1" s="1"/>
  <c r="E1934" i="1"/>
  <c r="H1934" i="1" s="1"/>
  <c r="E1935" i="1"/>
  <c r="H1935" i="1" s="1"/>
  <c r="E1936" i="1"/>
  <c r="H1936" i="1" s="1"/>
  <c r="E1937" i="1"/>
  <c r="H1937" i="1" s="1"/>
  <c r="E1938" i="1"/>
  <c r="H1938" i="1" s="1"/>
  <c r="E1939" i="1"/>
  <c r="E1940" i="1"/>
  <c r="E1941" i="1"/>
  <c r="H1941" i="1" s="1"/>
  <c r="E1942" i="1"/>
  <c r="E1943" i="1"/>
  <c r="H1943" i="1" s="1"/>
  <c r="E1944" i="1"/>
  <c r="H1944" i="1" s="1"/>
  <c r="E1945" i="1"/>
  <c r="H1945" i="1" s="1"/>
  <c r="E1946" i="1"/>
  <c r="H1946" i="1" s="1"/>
  <c r="E1947" i="1"/>
  <c r="H1947" i="1" s="1"/>
  <c r="E1948" i="1"/>
  <c r="H1948" i="1" s="1"/>
  <c r="E1949" i="1"/>
  <c r="H1949" i="1" s="1"/>
  <c r="E1950" i="1"/>
  <c r="H1950" i="1" s="1"/>
  <c r="E1951" i="1"/>
  <c r="E1952" i="1"/>
  <c r="E1953" i="1"/>
  <c r="H1953" i="1" s="1"/>
  <c r="E1954" i="1"/>
  <c r="E1955" i="1"/>
  <c r="H1955" i="1" s="1"/>
  <c r="E1956" i="1"/>
  <c r="H1956" i="1" s="1"/>
  <c r="E1957" i="1"/>
  <c r="H1957" i="1" s="1"/>
  <c r="E1958" i="1"/>
  <c r="H1958" i="1" s="1"/>
  <c r="E1959" i="1"/>
  <c r="H1959" i="1" s="1"/>
  <c r="E1960" i="1"/>
  <c r="H1960" i="1" s="1"/>
  <c r="E1961" i="1"/>
  <c r="H1961" i="1" s="1"/>
  <c r="E1962" i="1"/>
  <c r="H1962" i="1" s="1"/>
  <c r="E1963" i="1"/>
  <c r="E1964" i="1"/>
  <c r="E1965" i="1"/>
  <c r="H1965" i="1" s="1"/>
  <c r="E1966" i="1"/>
  <c r="E1967" i="1"/>
  <c r="H1967" i="1" s="1"/>
  <c r="E1968" i="1"/>
  <c r="H1968" i="1" s="1"/>
  <c r="E1969" i="1"/>
  <c r="H1969" i="1" s="1"/>
  <c r="E1970" i="1"/>
  <c r="H1970" i="1" s="1"/>
  <c r="E1971" i="1"/>
  <c r="H1971" i="1" s="1"/>
  <c r="E1972" i="1"/>
  <c r="H1972" i="1" s="1"/>
  <c r="E1973" i="1"/>
  <c r="H1973" i="1" s="1"/>
  <c r="E1974" i="1"/>
  <c r="H1974" i="1" s="1"/>
  <c r="E1975" i="1"/>
  <c r="E1976" i="1"/>
  <c r="E1977" i="1"/>
  <c r="H1977" i="1" s="1"/>
  <c r="E1978" i="1"/>
  <c r="E1979" i="1"/>
  <c r="H1979" i="1" s="1"/>
  <c r="E1980" i="1"/>
  <c r="H1980" i="1" s="1"/>
  <c r="E1981" i="1"/>
  <c r="H1981" i="1" s="1"/>
  <c r="E1982" i="1"/>
  <c r="H1982" i="1" s="1"/>
  <c r="E1983" i="1"/>
  <c r="H1983" i="1" s="1"/>
  <c r="E1984" i="1"/>
  <c r="H1984" i="1" s="1"/>
  <c r="E1985" i="1"/>
  <c r="H1985" i="1" s="1"/>
  <c r="E1986" i="1"/>
  <c r="H1986" i="1" s="1"/>
  <c r="E1987" i="1"/>
  <c r="E1988" i="1"/>
  <c r="E1989" i="1"/>
  <c r="H1989" i="1" s="1"/>
  <c r="E1990" i="1"/>
  <c r="E1991" i="1"/>
  <c r="H1991" i="1" s="1"/>
  <c r="E1992" i="1"/>
  <c r="H1992" i="1" s="1"/>
  <c r="E1993" i="1"/>
  <c r="H1993" i="1" s="1"/>
  <c r="E1994" i="1"/>
  <c r="H1994" i="1" s="1"/>
  <c r="E1995" i="1"/>
  <c r="H1995" i="1" s="1"/>
  <c r="E1996" i="1"/>
  <c r="H1996" i="1" s="1"/>
  <c r="E1997" i="1"/>
  <c r="H1997" i="1" s="1"/>
  <c r="E1998" i="1"/>
  <c r="H1998" i="1" s="1"/>
  <c r="E1999" i="1"/>
  <c r="E2000" i="1"/>
  <c r="E2001" i="1"/>
  <c r="H2001" i="1" s="1"/>
  <c r="E2" i="1"/>
  <c r="F854" i="1" l="1"/>
  <c r="H854" i="1"/>
  <c r="F482" i="1"/>
  <c r="H482" i="1"/>
  <c r="F182" i="1"/>
  <c r="H182" i="1"/>
  <c r="F38" i="1"/>
  <c r="H38" i="1"/>
  <c r="F1802" i="1"/>
  <c r="H1802" i="1"/>
  <c r="F998" i="1"/>
  <c r="H998" i="1"/>
  <c r="F902" i="1"/>
  <c r="H902" i="1"/>
  <c r="F722" i="1"/>
  <c r="H722" i="1"/>
  <c r="F650" i="1"/>
  <c r="H650" i="1"/>
  <c r="F434" i="1"/>
  <c r="H434" i="1"/>
  <c r="F362" i="1"/>
  <c r="H362" i="1"/>
  <c r="F290" i="1"/>
  <c r="H290" i="1"/>
  <c r="F218" i="1"/>
  <c r="H218" i="1"/>
  <c r="F914" i="1"/>
  <c r="H914" i="1"/>
  <c r="F842" i="1"/>
  <c r="H842" i="1"/>
  <c r="F614" i="1"/>
  <c r="H614" i="1"/>
  <c r="F1835" i="1"/>
  <c r="H1835" i="1"/>
  <c r="F1787" i="1"/>
  <c r="H1787" i="1"/>
  <c r="F1751" i="1"/>
  <c r="H1751" i="1"/>
  <c r="F1715" i="1"/>
  <c r="H1715" i="1"/>
  <c r="F1655" i="1"/>
  <c r="H1655" i="1"/>
  <c r="F1619" i="1"/>
  <c r="H1619" i="1"/>
  <c r="F1595" i="1"/>
  <c r="H1595" i="1"/>
  <c r="F1511" i="1"/>
  <c r="H1511" i="1"/>
  <c r="F1475" i="1"/>
  <c r="H1475" i="1"/>
  <c r="F1451" i="1"/>
  <c r="H1451" i="1"/>
  <c r="F1391" i="1"/>
  <c r="H1391" i="1"/>
  <c r="F1367" i="1"/>
  <c r="H1367" i="1"/>
  <c r="F938" i="1"/>
  <c r="H938" i="1"/>
  <c r="F890" i="1"/>
  <c r="H890" i="1"/>
  <c r="F818" i="1"/>
  <c r="H818" i="1"/>
  <c r="F50" i="1"/>
  <c r="H50" i="1"/>
  <c r="F1954" i="1"/>
  <c r="H1954" i="1"/>
  <c r="F1786" i="1"/>
  <c r="H1786" i="1"/>
  <c r="F1714" i="1"/>
  <c r="H1714" i="1"/>
  <c r="F1594" i="1"/>
  <c r="H1594" i="1"/>
  <c r="F1558" i="1"/>
  <c r="H1558" i="1"/>
  <c r="F1534" i="1"/>
  <c r="H1534" i="1"/>
  <c r="F1450" i="1"/>
  <c r="H1450" i="1"/>
  <c r="F1414" i="1"/>
  <c r="H1414" i="1"/>
  <c r="F962" i="1"/>
  <c r="H962" i="1"/>
  <c r="F866" i="1"/>
  <c r="H866" i="1"/>
  <c r="F806" i="1"/>
  <c r="H806" i="1"/>
  <c r="F758" i="1"/>
  <c r="H758" i="1"/>
  <c r="F698" i="1"/>
  <c r="H698" i="1"/>
  <c r="F266" i="1"/>
  <c r="H266" i="1"/>
  <c r="F122" i="1"/>
  <c r="H122" i="1"/>
  <c r="F74" i="1"/>
  <c r="H74" i="1"/>
  <c r="F1918" i="1"/>
  <c r="H1918" i="1"/>
  <c r="F1677" i="1"/>
  <c r="H1677" i="1"/>
  <c r="F1641" i="1"/>
  <c r="H1641" i="1"/>
  <c r="F1533" i="1"/>
  <c r="H1533" i="1"/>
  <c r="F1497" i="1"/>
  <c r="H1497" i="1"/>
  <c r="F1473" i="1"/>
  <c r="H1473" i="1"/>
  <c r="F1269" i="1"/>
  <c r="H1269" i="1"/>
  <c r="F1245" i="1"/>
  <c r="H1245" i="1"/>
  <c r="F1221" i="1"/>
  <c r="H1221" i="1"/>
  <c r="F1197" i="1"/>
  <c r="H1197" i="1"/>
  <c r="F1173" i="1"/>
  <c r="H1173" i="1"/>
  <c r="F1161" i="1"/>
  <c r="H1161" i="1"/>
  <c r="F1149" i="1"/>
  <c r="H1149" i="1"/>
  <c r="F794" i="1"/>
  <c r="H794" i="1"/>
  <c r="F578" i="1"/>
  <c r="H578" i="1"/>
  <c r="F554" i="1"/>
  <c r="H554" i="1"/>
  <c r="F506" i="1"/>
  <c r="H506" i="1"/>
  <c r="F470" i="1"/>
  <c r="H470" i="1"/>
  <c r="F410" i="1"/>
  <c r="H410" i="1"/>
  <c r="F326" i="1"/>
  <c r="H326" i="1"/>
  <c r="F194" i="1"/>
  <c r="H194" i="1"/>
  <c r="F146" i="1"/>
  <c r="H146" i="1"/>
  <c r="F1990" i="1"/>
  <c r="H1990" i="1"/>
  <c r="F1966" i="1"/>
  <c r="H1966" i="1"/>
  <c r="F1942" i="1"/>
  <c r="H1942" i="1"/>
  <c r="F1906" i="1"/>
  <c r="H1906" i="1"/>
  <c r="F1894" i="1"/>
  <c r="H1894" i="1"/>
  <c r="F1882" i="1"/>
  <c r="H1882" i="1"/>
  <c r="F1870" i="1"/>
  <c r="H1870" i="1"/>
  <c r="F1834" i="1"/>
  <c r="H1834" i="1"/>
  <c r="F1750" i="1"/>
  <c r="H1750" i="1"/>
  <c r="F1773" i="1"/>
  <c r="H1773" i="1"/>
  <c r="F1737" i="1"/>
  <c r="H1737" i="1"/>
  <c r="F1701" i="1"/>
  <c r="H1701" i="1"/>
  <c r="F1617" i="1"/>
  <c r="H1617" i="1"/>
  <c r="F1257" i="1"/>
  <c r="H1257" i="1"/>
  <c r="F1233" i="1"/>
  <c r="H1233" i="1"/>
  <c r="F1209" i="1"/>
  <c r="H1209" i="1"/>
  <c r="F1185" i="1"/>
  <c r="H1185" i="1"/>
  <c r="F2000" i="1"/>
  <c r="H2000" i="1"/>
  <c r="F1988" i="1"/>
  <c r="H1988" i="1"/>
  <c r="F1976" i="1"/>
  <c r="H1976" i="1"/>
  <c r="F1964" i="1"/>
  <c r="H1964" i="1"/>
  <c r="F1952" i="1"/>
  <c r="H1952" i="1"/>
  <c r="F1940" i="1"/>
  <c r="H1940" i="1"/>
  <c r="F1928" i="1"/>
  <c r="H1928" i="1"/>
  <c r="F1916" i="1"/>
  <c r="H1916" i="1"/>
  <c r="F1904" i="1"/>
  <c r="H1904" i="1"/>
  <c r="F1892" i="1"/>
  <c r="H1892" i="1"/>
  <c r="F1880" i="1"/>
  <c r="H1880" i="1"/>
  <c r="F1868" i="1"/>
  <c r="H1868" i="1"/>
  <c r="F1820" i="1"/>
  <c r="H1820" i="1"/>
  <c r="F1616" i="1"/>
  <c r="H1616" i="1"/>
  <c r="F1580" i="1"/>
  <c r="H1580" i="1"/>
  <c r="F1556" i="1"/>
  <c r="H1556" i="1"/>
  <c r="F1496" i="1"/>
  <c r="H1496" i="1"/>
  <c r="F1484" i="1"/>
  <c r="H1484" i="1"/>
  <c r="F1472" i="1"/>
  <c r="H1472" i="1"/>
  <c r="F1460" i="1"/>
  <c r="H1460" i="1"/>
  <c r="F1448" i="1"/>
  <c r="H1448" i="1"/>
  <c r="F1436" i="1"/>
  <c r="H1436" i="1"/>
  <c r="F1424" i="1"/>
  <c r="H1424" i="1"/>
  <c r="F1412" i="1"/>
  <c r="H1412" i="1"/>
  <c r="F1400" i="1"/>
  <c r="H1400" i="1"/>
  <c r="F1388" i="1"/>
  <c r="H1388" i="1"/>
  <c r="F1376" i="1"/>
  <c r="H1376" i="1"/>
  <c r="F1364" i="1"/>
  <c r="H1364" i="1"/>
  <c r="F1352" i="1"/>
  <c r="H1352" i="1"/>
  <c r="F1340" i="1"/>
  <c r="H1340" i="1"/>
  <c r="F1328" i="1"/>
  <c r="H1328" i="1"/>
  <c r="F1316" i="1"/>
  <c r="H1316" i="1"/>
  <c r="F1304" i="1"/>
  <c r="H1304" i="1"/>
  <c r="F1292" i="1"/>
  <c r="H1292" i="1"/>
  <c r="F1280" i="1"/>
  <c r="H1280" i="1"/>
  <c r="F1268" i="1"/>
  <c r="H1268" i="1"/>
  <c r="F1256" i="1"/>
  <c r="H1256" i="1"/>
  <c r="F1244" i="1"/>
  <c r="H1244" i="1"/>
  <c r="F1232" i="1"/>
  <c r="H1232" i="1"/>
  <c r="F1220" i="1"/>
  <c r="H1220" i="1"/>
  <c r="F1208" i="1"/>
  <c r="H1208" i="1"/>
  <c r="F1196" i="1"/>
  <c r="H1196" i="1"/>
  <c r="F1184" i="1"/>
  <c r="H1184" i="1"/>
  <c r="F1172" i="1"/>
  <c r="H1172" i="1"/>
  <c r="F1160" i="1"/>
  <c r="H1160" i="1"/>
  <c r="F1148" i="1"/>
  <c r="H1148" i="1"/>
  <c r="F1136" i="1"/>
  <c r="H1136" i="1"/>
  <c r="F1124" i="1"/>
  <c r="H1124" i="1"/>
  <c r="F1112" i="1"/>
  <c r="H1112" i="1"/>
  <c r="F1100" i="1"/>
  <c r="H1100" i="1"/>
  <c r="F1088" i="1"/>
  <c r="H1088" i="1"/>
  <c r="F1076" i="1"/>
  <c r="H1076" i="1"/>
  <c r="F1064" i="1"/>
  <c r="H1064" i="1"/>
  <c r="F1052" i="1"/>
  <c r="H1052" i="1"/>
  <c r="F1040" i="1"/>
  <c r="H1040" i="1"/>
  <c r="F1028" i="1"/>
  <c r="H1028" i="1"/>
  <c r="F950" i="1"/>
  <c r="H950" i="1"/>
  <c r="F770" i="1"/>
  <c r="H770" i="1"/>
  <c r="F626" i="1"/>
  <c r="H626" i="1"/>
  <c r="F338" i="1"/>
  <c r="H338" i="1"/>
  <c r="F1978" i="1"/>
  <c r="H1978" i="1"/>
  <c r="F1930" i="1"/>
  <c r="H1930" i="1"/>
  <c r="F1822" i="1"/>
  <c r="H1822" i="1"/>
  <c r="F1678" i="1"/>
  <c r="H1678" i="1"/>
  <c r="F1999" i="1"/>
  <c r="H1999" i="1"/>
  <c r="F1987" i="1"/>
  <c r="H1987" i="1"/>
  <c r="F1975" i="1"/>
  <c r="H1975" i="1"/>
  <c r="F1963" i="1"/>
  <c r="H1963" i="1"/>
  <c r="F1951" i="1"/>
  <c r="H1951" i="1"/>
  <c r="F1939" i="1"/>
  <c r="H1939" i="1"/>
  <c r="F1927" i="1"/>
  <c r="H1927" i="1"/>
  <c r="F1915" i="1"/>
  <c r="H1915" i="1"/>
  <c r="F1903" i="1"/>
  <c r="H1903" i="1"/>
  <c r="F1891" i="1"/>
  <c r="H1891" i="1"/>
  <c r="F1879" i="1"/>
  <c r="H1879" i="1"/>
  <c r="F1867" i="1"/>
  <c r="H1867" i="1"/>
  <c r="F1855" i="1"/>
  <c r="H1855" i="1"/>
  <c r="F1819" i="1"/>
  <c r="H1819" i="1"/>
  <c r="F1807" i="1"/>
  <c r="H1807" i="1"/>
  <c r="F1771" i="1"/>
  <c r="H1771" i="1"/>
  <c r="F1735" i="1"/>
  <c r="H1735" i="1"/>
  <c r="F1699" i="1"/>
  <c r="H1699" i="1"/>
  <c r="F1663" i="1"/>
  <c r="H1663" i="1"/>
  <c r="F1639" i="1"/>
  <c r="H1639" i="1"/>
  <c r="F1555" i="1"/>
  <c r="H1555" i="1"/>
  <c r="F1519" i="1"/>
  <c r="H1519" i="1"/>
  <c r="G1243" i="1"/>
  <c r="H1243" i="1"/>
  <c r="F986" i="1"/>
  <c r="H986" i="1"/>
  <c r="F1722" i="1"/>
  <c r="H1722" i="1"/>
  <c r="F1710" i="1"/>
  <c r="H1710" i="1"/>
  <c r="F1698" i="1"/>
  <c r="H1698" i="1"/>
  <c r="F1838" i="1"/>
  <c r="H1838" i="1"/>
  <c r="F1790" i="1"/>
  <c r="H1790" i="1"/>
  <c r="F1010" i="1"/>
  <c r="H1010" i="1"/>
  <c r="F1770" i="1"/>
  <c r="H1770" i="1"/>
  <c r="F1734" i="1"/>
  <c r="H1734" i="1"/>
  <c r="F1853" i="1"/>
  <c r="H1853" i="1"/>
  <c r="F1805" i="1"/>
  <c r="H1805" i="1"/>
  <c r="F1757" i="1"/>
  <c r="H1757" i="1"/>
  <c r="F1721" i="1"/>
  <c r="H1721" i="1"/>
  <c r="F1637" i="1"/>
  <c r="H1637" i="1"/>
  <c r="F1601" i="1"/>
  <c r="H1601" i="1"/>
  <c r="F1850" i="1"/>
  <c r="H1850" i="1"/>
  <c r="F2" i="1"/>
  <c r="H2" i="1"/>
  <c r="F1435" i="1"/>
  <c r="F1291" i="1"/>
  <c r="F1159" i="1"/>
  <c r="F1495" i="1"/>
  <c r="F1351" i="1"/>
  <c r="F1219" i="1"/>
  <c r="F1075" i="1"/>
  <c r="F1457" i="1"/>
  <c r="F1433" i="1"/>
  <c r="F377" i="1"/>
  <c r="F329" i="1"/>
  <c r="F281" i="1"/>
  <c r="F233" i="1"/>
  <c r="F185" i="1"/>
  <c r="F137" i="1"/>
  <c r="F89" i="1"/>
  <c r="F41" i="1"/>
  <c r="F1375" i="1"/>
  <c r="F1207" i="1"/>
  <c r="F1471" i="1"/>
  <c r="F1387" i="1"/>
  <c r="F1279" i="1"/>
  <c r="F1135" i="1"/>
  <c r="F1051" i="1"/>
  <c r="F1577" i="1"/>
  <c r="F1493" i="1"/>
  <c r="F746" i="1"/>
  <c r="F710" i="1"/>
  <c r="F674" i="1"/>
  <c r="F662" i="1"/>
  <c r="F602" i="1"/>
  <c r="F566" i="1"/>
  <c r="F530" i="1"/>
  <c r="F518" i="1"/>
  <c r="F458" i="1"/>
  <c r="F422" i="1"/>
  <c r="F386" i="1"/>
  <c r="F374" i="1"/>
  <c r="F314" i="1"/>
  <c r="F278" i="1"/>
  <c r="F242" i="1"/>
  <c r="F230" i="1"/>
  <c r="F170" i="1"/>
  <c r="F134" i="1"/>
  <c r="F98" i="1"/>
  <c r="F86" i="1"/>
  <c r="F26" i="1"/>
  <c r="G1495" i="1"/>
  <c r="F1459" i="1"/>
  <c r="F1399" i="1"/>
  <c r="F1315" i="1"/>
  <c r="F1267" i="1"/>
  <c r="F1183" i="1"/>
  <c r="F1111" i="1"/>
  <c r="F1027" i="1"/>
  <c r="F1447" i="1"/>
  <c r="F1303" i="1"/>
  <c r="F1195" i="1"/>
  <c r="F1123" i="1"/>
  <c r="F1039" i="1"/>
  <c r="F1573" i="1"/>
  <c r="F1483" i="1"/>
  <c r="F1363" i="1"/>
  <c r="F1231" i="1"/>
  <c r="F1087" i="1"/>
  <c r="F1657" i="1"/>
  <c r="F1513" i="1"/>
  <c r="F1411" i="1"/>
  <c r="F1327" i="1"/>
  <c r="F1243" i="1"/>
  <c r="F1147" i="1"/>
  <c r="F1063" i="1"/>
  <c r="F1537" i="1"/>
  <c r="F1018" i="1"/>
  <c r="F994" i="1"/>
  <c r="F970" i="1"/>
  <c r="F946" i="1"/>
  <c r="F922" i="1"/>
  <c r="F898" i="1"/>
  <c r="F874" i="1"/>
  <c r="F850" i="1"/>
  <c r="F826" i="1"/>
  <c r="F802" i="1"/>
  <c r="F778" i="1"/>
  <c r="F754" i="1"/>
  <c r="F730" i="1"/>
  <c r="F706" i="1"/>
  <c r="F682" i="1"/>
  <c r="F658" i="1"/>
  <c r="F634" i="1"/>
  <c r="F610" i="1"/>
  <c r="F586" i="1"/>
  <c r="F562" i="1"/>
  <c r="F538" i="1"/>
  <c r="F514" i="1"/>
  <c r="F490" i="1"/>
  <c r="F466" i="1"/>
  <c r="F442" i="1"/>
  <c r="F418" i="1"/>
  <c r="F394" i="1"/>
  <c r="F370" i="1"/>
  <c r="F346" i="1"/>
  <c r="F322" i="1"/>
  <c r="F298" i="1"/>
  <c r="F274" i="1"/>
  <c r="F250" i="1"/>
  <c r="F226" i="1"/>
  <c r="F202" i="1"/>
  <c r="F178" i="1"/>
  <c r="F154" i="1"/>
  <c r="F130" i="1"/>
  <c r="F106" i="1"/>
  <c r="F82" i="1"/>
  <c r="F58" i="1"/>
  <c r="F34" i="1"/>
  <c r="F10" i="1"/>
  <c r="F1423" i="1"/>
  <c r="F1255" i="1"/>
  <c r="F1099" i="1"/>
  <c r="F1681" i="1"/>
  <c r="F1137" i="1"/>
  <c r="F1125" i="1"/>
  <c r="F1113" i="1"/>
  <c r="F1101" i="1"/>
  <c r="F1089" i="1"/>
  <c r="F1077" i="1"/>
  <c r="F1065" i="1"/>
  <c r="F1053" i="1"/>
  <c r="F1041" i="1"/>
  <c r="F1029" i="1"/>
  <c r="F1339" i="1"/>
  <c r="F1171" i="1"/>
  <c r="F1429" i="1"/>
  <c r="G1367" i="1"/>
  <c r="G1099" i="1"/>
  <c r="G850" i="1"/>
  <c r="G770" i="1"/>
  <c r="G754" i="1"/>
  <c r="G466" i="1"/>
  <c r="G1838" i="1"/>
  <c r="G386" i="1"/>
  <c r="G1771" i="1"/>
  <c r="G370" i="1"/>
  <c r="G1537" i="1"/>
  <c r="G82" i="1"/>
  <c r="G1534" i="1"/>
  <c r="G1773" i="1"/>
  <c r="G1533" i="1"/>
  <c r="G1363" i="1"/>
  <c r="G1219" i="1"/>
  <c r="G1075" i="1"/>
  <c r="G758" i="1"/>
  <c r="G374" i="1"/>
  <c r="G1076" i="1"/>
  <c r="G1770" i="1"/>
  <c r="G1472" i="1"/>
  <c r="G1339" i="1"/>
  <c r="G1195" i="1"/>
  <c r="G1051" i="1"/>
  <c r="G674" i="1"/>
  <c r="G290" i="1"/>
  <c r="G1701" i="1"/>
  <c r="G1457" i="1"/>
  <c r="G1316" i="1"/>
  <c r="G1172" i="1"/>
  <c r="G1028" i="1"/>
  <c r="G662" i="1"/>
  <c r="G278" i="1"/>
  <c r="G1699" i="1"/>
  <c r="G1436" i="1"/>
  <c r="G1315" i="1"/>
  <c r="G1171" i="1"/>
  <c r="G1027" i="1"/>
  <c r="G658" i="1"/>
  <c r="G274" i="1"/>
  <c r="G1340" i="1"/>
  <c r="G1990" i="1"/>
  <c r="G1698" i="1"/>
  <c r="G1429" i="1"/>
  <c r="G1292" i="1"/>
  <c r="G1148" i="1"/>
  <c r="G962" i="1"/>
  <c r="G578" i="1"/>
  <c r="G194" i="1"/>
  <c r="G1220" i="1"/>
  <c r="G1196" i="1"/>
  <c r="G1988" i="1"/>
  <c r="G1677" i="1"/>
  <c r="G1412" i="1"/>
  <c r="G1291" i="1"/>
  <c r="G1147" i="1"/>
  <c r="G950" i="1"/>
  <c r="G566" i="1"/>
  <c r="G182" i="1"/>
  <c r="G1364" i="1"/>
  <c r="G1052" i="1"/>
  <c r="G1942" i="1"/>
  <c r="G1619" i="1"/>
  <c r="G1411" i="1"/>
  <c r="G1268" i="1"/>
  <c r="G1124" i="1"/>
  <c r="G946" i="1"/>
  <c r="G562" i="1"/>
  <c r="G178" i="1"/>
  <c r="G1940" i="1"/>
  <c r="G1617" i="1"/>
  <c r="G1388" i="1"/>
  <c r="G1267" i="1"/>
  <c r="G1123" i="1"/>
  <c r="G866" i="1"/>
  <c r="G482" i="1"/>
  <c r="G98" i="1"/>
  <c r="G1894" i="1"/>
  <c r="G1616" i="1"/>
  <c r="G1387" i="1"/>
  <c r="G1244" i="1"/>
  <c r="G1100" i="1"/>
  <c r="G854" i="1"/>
  <c r="G470" i="1"/>
  <c r="G86" i="1"/>
  <c r="G1892" i="1"/>
  <c r="F1968" i="1"/>
  <c r="G1968" i="1"/>
  <c r="F1920" i="1"/>
  <c r="G1920" i="1"/>
  <c r="F1836" i="1"/>
  <c r="G1836" i="1"/>
  <c r="F1740" i="1"/>
  <c r="G1740" i="1"/>
  <c r="F1668" i="1"/>
  <c r="G1668" i="1"/>
  <c r="F1584" i="1"/>
  <c r="G1584" i="1"/>
  <c r="F1476" i="1"/>
  <c r="G1476" i="1"/>
  <c r="F1344" i="1"/>
  <c r="G1344" i="1"/>
  <c r="F1248" i="1"/>
  <c r="G1248" i="1"/>
  <c r="F1200" i="1"/>
  <c r="G1200" i="1"/>
  <c r="F1092" i="1"/>
  <c r="G1092" i="1"/>
  <c r="F984" i="1"/>
  <c r="G984" i="1"/>
  <c r="F876" i="1"/>
  <c r="G876" i="1"/>
  <c r="F756" i="1"/>
  <c r="G756" i="1"/>
  <c r="F648" i="1"/>
  <c r="G648" i="1"/>
  <c r="F552" i="1"/>
  <c r="G552" i="1"/>
  <c r="F408" i="1"/>
  <c r="G408" i="1"/>
  <c r="F240" i="1"/>
  <c r="G240" i="1"/>
  <c r="F12" i="1"/>
  <c r="G12" i="1"/>
  <c r="F1931" i="1"/>
  <c r="G1931" i="1"/>
  <c r="F1859" i="1"/>
  <c r="G1859" i="1"/>
  <c r="F1559" i="1"/>
  <c r="G1559" i="1"/>
  <c r="F1499" i="1"/>
  <c r="G1499" i="1"/>
  <c r="F1439" i="1"/>
  <c r="G1439" i="1"/>
  <c r="F1403" i="1"/>
  <c r="G1403" i="1"/>
  <c r="F1355" i="1"/>
  <c r="G1355" i="1"/>
  <c r="F1283" i="1"/>
  <c r="G1283" i="1"/>
  <c r="F1199" i="1"/>
  <c r="G1199" i="1"/>
  <c r="F1127" i="1"/>
  <c r="G1127" i="1"/>
  <c r="F1067" i="1"/>
  <c r="G1067" i="1"/>
  <c r="F1031" i="1"/>
  <c r="G1031" i="1"/>
  <c r="F959" i="1"/>
  <c r="G959" i="1"/>
  <c r="F863" i="1"/>
  <c r="G863" i="1"/>
  <c r="F827" i="1"/>
  <c r="G827" i="1"/>
  <c r="F767" i="1"/>
  <c r="G767" i="1"/>
  <c r="F707" i="1"/>
  <c r="G707" i="1"/>
  <c r="F647" i="1"/>
  <c r="G647" i="1"/>
  <c r="F611" i="1"/>
  <c r="G611" i="1"/>
  <c r="F515" i="1"/>
  <c r="G515" i="1"/>
  <c r="F419" i="1"/>
  <c r="G419" i="1"/>
  <c r="F347" i="1"/>
  <c r="G347" i="1"/>
  <c r="F299" i="1"/>
  <c r="G299" i="1"/>
  <c r="F215" i="1"/>
  <c r="G215" i="1"/>
  <c r="F1810" i="1"/>
  <c r="G1810" i="1"/>
  <c r="F1738" i="1"/>
  <c r="G1738" i="1"/>
  <c r="F1654" i="1"/>
  <c r="G1654" i="1"/>
  <c r="F1546" i="1"/>
  <c r="G1546" i="1"/>
  <c r="F1522" i="1"/>
  <c r="G1522" i="1"/>
  <c r="F1474" i="1"/>
  <c r="G1474" i="1"/>
  <c r="F1426" i="1"/>
  <c r="G1426" i="1"/>
  <c r="F1378" i="1"/>
  <c r="G1378" i="1"/>
  <c r="F1354" i="1"/>
  <c r="G1354" i="1"/>
  <c r="F1330" i="1"/>
  <c r="G1330" i="1"/>
  <c r="G1939" i="1"/>
  <c r="G1891" i="1"/>
  <c r="G1450" i="1"/>
  <c r="F2001" i="1"/>
  <c r="G2001" i="1"/>
  <c r="F1989" i="1"/>
  <c r="G1989" i="1"/>
  <c r="F1977" i="1"/>
  <c r="G1977" i="1"/>
  <c r="F1965" i="1"/>
  <c r="G1965" i="1"/>
  <c r="F1953" i="1"/>
  <c r="G1953" i="1"/>
  <c r="F1941" i="1"/>
  <c r="G1941" i="1"/>
  <c r="F1929" i="1"/>
  <c r="G1929" i="1"/>
  <c r="F1917" i="1"/>
  <c r="G1917" i="1"/>
  <c r="F1905" i="1"/>
  <c r="G1905" i="1"/>
  <c r="F1893" i="1"/>
  <c r="G1893" i="1"/>
  <c r="F1881" i="1"/>
  <c r="G1881" i="1"/>
  <c r="F1869" i="1"/>
  <c r="G1869" i="1"/>
  <c r="F1857" i="1"/>
  <c r="G1857" i="1"/>
  <c r="F1845" i="1"/>
  <c r="G1845" i="1"/>
  <c r="F1833" i="1"/>
  <c r="G1833" i="1"/>
  <c r="F1821" i="1"/>
  <c r="G1821" i="1"/>
  <c r="F1809" i="1"/>
  <c r="G1809" i="1"/>
  <c r="F1797" i="1"/>
  <c r="G1797" i="1"/>
  <c r="F1785" i="1"/>
  <c r="G1785" i="1"/>
  <c r="F1761" i="1"/>
  <c r="G1761" i="1"/>
  <c r="F1749" i="1"/>
  <c r="G1749" i="1"/>
  <c r="F1725" i="1"/>
  <c r="G1725" i="1"/>
  <c r="F1713" i="1"/>
  <c r="G1713" i="1"/>
  <c r="F1689" i="1"/>
  <c r="G1689" i="1"/>
  <c r="F1665" i="1"/>
  <c r="G1665" i="1"/>
  <c r="F1653" i="1"/>
  <c r="G1653" i="1"/>
  <c r="F1629" i="1"/>
  <c r="G1629" i="1"/>
  <c r="F1605" i="1"/>
  <c r="G1605" i="1"/>
  <c r="F1593" i="1"/>
  <c r="G1593" i="1"/>
  <c r="F1581" i="1"/>
  <c r="G1581" i="1"/>
  <c r="F1569" i="1"/>
  <c r="G1569" i="1"/>
  <c r="F1557" i="1"/>
  <c r="G1557" i="1"/>
  <c r="F1545" i="1"/>
  <c r="G1545" i="1"/>
  <c r="F1521" i="1"/>
  <c r="G1521" i="1"/>
  <c r="F1509" i="1"/>
  <c r="G1509" i="1"/>
  <c r="F1485" i="1"/>
  <c r="G1485" i="1"/>
  <c r="F1461" i="1"/>
  <c r="G1461" i="1"/>
  <c r="F1449" i="1"/>
  <c r="G1449" i="1"/>
  <c r="F1437" i="1"/>
  <c r="G1437" i="1"/>
  <c r="F1425" i="1"/>
  <c r="G1425" i="1"/>
  <c r="F1413" i="1"/>
  <c r="G1413" i="1"/>
  <c r="F1401" i="1"/>
  <c r="G1401" i="1"/>
  <c r="F1389" i="1"/>
  <c r="G1389" i="1"/>
  <c r="F1377" i="1"/>
  <c r="G1377" i="1"/>
  <c r="F1365" i="1"/>
  <c r="G1365" i="1"/>
  <c r="F1353" i="1"/>
  <c r="G1353" i="1"/>
  <c r="F1341" i="1"/>
  <c r="G1341" i="1"/>
  <c r="F1329" i="1"/>
  <c r="G1329" i="1"/>
  <c r="F1317" i="1"/>
  <c r="G1317" i="1"/>
  <c r="F1305" i="1"/>
  <c r="G1305" i="1"/>
  <c r="F1293" i="1"/>
  <c r="G1293" i="1"/>
  <c r="F1281" i="1"/>
  <c r="G1281" i="1"/>
  <c r="G1978" i="1"/>
  <c r="G1930" i="1"/>
  <c r="G1882" i="1"/>
  <c r="G1822" i="1"/>
  <c r="G1757" i="1"/>
  <c r="G1681" i="1"/>
  <c r="G1601" i="1"/>
  <c r="G1519" i="1"/>
  <c r="F1992" i="1"/>
  <c r="G1992" i="1"/>
  <c r="F1884" i="1"/>
  <c r="G1884" i="1"/>
  <c r="F1800" i="1"/>
  <c r="G1800" i="1"/>
  <c r="F1692" i="1"/>
  <c r="G1692" i="1"/>
  <c r="F1572" i="1"/>
  <c r="G1572" i="1"/>
  <c r="F1464" i="1"/>
  <c r="G1464" i="1"/>
  <c r="F1320" i="1"/>
  <c r="G1320" i="1"/>
  <c r="F1188" i="1"/>
  <c r="G1188" i="1"/>
  <c r="F1056" i="1"/>
  <c r="G1056" i="1"/>
  <c r="F972" i="1"/>
  <c r="G972" i="1"/>
  <c r="F888" i="1"/>
  <c r="G888" i="1"/>
  <c r="F852" i="1"/>
  <c r="G852" i="1"/>
  <c r="F768" i="1"/>
  <c r="G768" i="1"/>
  <c r="F672" i="1"/>
  <c r="G672" i="1"/>
  <c r="F576" i="1"/>
  <c r="G576" i="1"/>
  <c r="F456" i="1"/>
  <c r="G456" i="1"/>
  <c r="F288" i="1"/>
  <c r="G288" i="1"/>
  <c r="F24" i="1"/>
  <c r="G24" i="1"/>
  <c r="F1967" i="1"/>
  <c r="G1967" i="1"/>
  <c r="F1895" i="1"/>
  <c r="G1895" i="1"/>
  <c r="F1775" i="1"/>
  <c r="G1775" i="1"/>
  <c r="F1667" i="1"/>
  <c r="G1667" i="1"/>
  <c r="F1571" i="1"/>
  <c r="G1571" i="1"/>
  <c r="F1343" i="1"/>
  <c r="G1343" i="1"/>
  <c r="F1247" i="1"/>
  <c r="G1247" i="1"/>
  <c r="F1163" i="1"/>
  <c r="G1163" i="1"/>
  <c r="F1055" i="1"/>
  <c r="G1055" i="1"/>
  <c r="F935" i="1"/>
  <c r="G935" i="1"/>
  <c r="F803" i="1"/>
  <c r="G803" i="1"/>
  <c r="F683" i="1"/>
  <c r="G683" i="1"/>
  <c r="F551" i="1"/>
  <c r="G551" i="1"/>
  <c r="F431" i="1"/>
  <c r="G431" i="1"/>
  <c r="F251" i="1"/>
  <c r="G251" i="1"/>
  <c r="F1702" i="1"/>
  <c r="G1702" i="1"/>
  <c r="F1666" i="1"/>
  <c r="G1666" i="1"/>
  <c r="F1630" i="1"/>
  <c r="G1630" i="1"/>
  <c r="F1606" i="1"/>
  <c r="G1606" i="1"/>
  <c r="F1570" i="1"/>
  <c r="G1570" i="1"/>
  <c r="F1486" i="1"/>
  <c r="G1486" i="1"/>
  <c r="F1438" i="1"/>
  <c r="G1438" i="1"/>
  <c r="F1390" i="1"/>
  <c r="G1390" i="1"/>
  <c r="F1366" i="1"/>
  <c r="G1366" i="1"/>
  <c r="F1342" i="1"/>
  <c r="G1342" i="1"/>
  <c r="G1987" i="1"/>
  <c r="G1834" i="1"/>
  <c r="F1856" i="1"/>
  <c r="G1856" i="1"/>
  <c r="F1844" i="1"/>
  <c r="G1844" i="1"/>
  <c r="F1832" i="1"/>
  <c r="G1832" i="1"/>
  <c r="F1808" i="1"/>
  <c r="G1808" i="1"/>
  <c r="F1796" i="1"/>
  <c r="G1796" i="1"/>
  <c r="F1784" i="1"/>
  <c r="G1784" i="1"/>
  <c r="F1772" i="1"/>
  <c r="G1772" i="1"/>
  <c r="F1760" i="1"/>
  <c r="G1760" i="1"/>
  <c r="F1748" i="1"/>
  <c r="G1748" i="1"/>
  <c r="F1736" i="1"/>
  <c r="G1736" i="1"/>
  <c r="F1724" i="1"/>
  <c r="G1724" i="1"/>
  <c r="F1712" i="1"/>
  <c r="G1712" i="1"/>
  <c r="F1700" i="1"/>
  <c r="G1700" i="1"/>
  <c r="F1688" i="1"/>
  <c r="G1688" i="1"/>
  <c r="F1676" i="1"/>
  <c r="G1676" i="1"/>
  <c r="F1664" i="1"/>
  <c r="G1664" i="1"/>
  <c r="F1652" i="1"/>
  <c r="G1652" i="1"/>
  <c r="F1640" i="1"/>
  <c r="G1640" i="1"/>
  <c r="F1628" i="1"/>
  <c r="G1628" i="1"/>
  <c r="F1604" i="1"/>
  <c r="G1604" i="1"/>
  <c r="F1592" i="1"/>
  <c r="G1592" i="1"/>
  <c r="F1568" i="1"/>
  <c r="G1568" i="1"/>
  <c r="F1544" i="1"/>
  <c r="G1544" i="1"/>
  <c r="F1532" i="1"/>
  <c r="G1532" i="1"/>
  <c r="F1520" i="1"/>
  <c r="G1520" i="1"/>
  <c r="F1508" i="1"/>
  <c r="G1508" i="1"/>
  <c r="G1976" i="1"/>
  <c r="G1928" i="1"/>
  <c r="G1880" i="1"/>
  <c r="G1820" i="1"/>
  <c r="G1751" i="1"/>
  <c r="G1678" i="1"/>
  <c r="G1595" i="1"/>
  <c r="G1513" i="1"/>
  <c r="G1433" i="1"/>
  <c r="F1116" i="1"/>
  <c r="G1116" i="1"/>
  <c r="F1872" i="1"/>
  <c r="G1872" i="1"/>
  <c r="F1776" i="1"/>
  <c r="G1776" i="1"/>
  <c r="F1620" i="1"/>
  <c r="G1620" i="1"/>
  <c r="F1512" i="1"/>
  <c r="G1512" i="1"/>
  <c r="F1404" i="1"/>
  <c r="G1404" i="1"/>
  <c r="F1296" i="1"/>
  <c r="G1296" i="1"/>
  <c r="F1164" i="1"/>
  <c r="G1164" i="1"/>
  <c r="F1032" i="1"/>
  <c r="G1032" i="1"/>
  <c r="F936" i="1"/>
  <c r="G936" i="1"/>
  <c r="F840" i="1"/>
  <c r="G840" i="1"/>
  <c r="F732" i="1"/>
  <c r="G732" i="1"/>
  <c r="F612" i="1"/>
  <c r="G612" i="1"/>
  <c r="F492" i="1"/>
  <c r="G492" i="1"/>
  <c r="F372" i="1"/>
  <c r="G372" i="1"/>
  <c r="F252" i="1"/>
  <c r="G252" i="1"/>
  <c r="F180" i="1"/>
  <c r="G180" i="1"/>
  <c r="F108" i="1"/>
  <c r="G108" i="1"/>
  <c r="F60" i="1"/>
  <c r="G60" i="1"/>
  <c r="F1955" i="1"/>
  <c r="G1955" i="1"/>
  <c r="F1607" i="1"/>
  <c r="G1607" i="1"/>
  <c r="F1307" i="1"/>
  <c r="G1307" i="1"/>
  <c r="F1187" i="1"/>
  <c r="G1187" i="1"/>
  <c r="F1091" i="1"/>
  <c r="G1091" i="1"/>
  <c r="F971" i="1"/>
  <c r="G971" i="1"/>
  <c r="F851" i="1"/>
  <c r="G851" i="1"/>
  <c r="F731" i="1"/>
  <c r="G731" i="1"/>
  <c r="F623" i="1"/>
  <c r="G623" i="1"/>
  <c r="F503" i="1"/>
  <c r="G503" i="1"/>
  <c r="F395" i="1"/>
  <c r="G395" i="1"/>
  <c r="F275" i="1"/>
  <c r="G275" i="1"/>
  <c r="F1858" i="1"/>
  <c r="G1858" i="1"/>
  <c r="F1510" i="1"/>
  <c r="G1510" i="1"/>
  <c r="F1783" i="1"/>
  <c r="G1783" i="1"/>
  <c r="F1711" i="1"/>
  <c r="G1711" i="1"/>
  <c r="F1687" i="1"/>
  <c r="G1687" i="1"/>
  <c r="F1675" i="1"/>
  <c r="G1675" i="1"/>
  <c r="F1651" i="1"/>
  <c r="G1651" i="1"/>
  <c r="F1615" i="1"/>
  <c r="G1615" i="1"/>
  <c r="F1591" i="1"/>
  <c r="G1591" i="1"/>
  <c r="F1543" i="1"/>
  <c r="G1543" i="1"/>
  <c r="F1531" i="1"/>
  <c r="G1531" i="1"/>
  <c r="F1507" i="1"/>
  <c r="G1507" i="1"/>
  <c r="G1975" i="1"/>
  <c r="G1927" i="1"/>
  <c r="G1879" i="1"/>
  <c r="G1819" i="1"/>
  <c r="G1750" i="1"/>
  <c r="G1594" i="1"/>
  <c r="G1511" i="1"/>
  <c r="F1998" i="1"/>
  <c r="G1998" i="1"/>
  <c r="F1986" i="1"/>
  <c r="G1986" i="1"/>
  <c r="F1974" i="1"/>
  <c r="G1974" i="1"/>
  <c r="F1962" i="1"/>
  <c r="G1962" i="1"/>
  <c r="F1950" i="1"/>
  <c r="G1950" i="1"/>
  <c r="F1938" i="1"/>
  <c r="G1938" i="1"/>
  <c r="F1926" i="1"/>
  <c r="G1926" i="1"/>
  <c r="F1914" i="1"/>
  <c r="G1914" i="1"/>
  <c r="F1902" i="1"/>
  <c r="G1902" i="1"/>
  <c r="F1890" i="1"/>
  <c r="G1890" i="1"/>
  <c r="F1878" i="1"/>
  <c r="G1878" i="1"/>
  <c r="F1866" i="1"/>
  <c r="G1866" i="1"/>
  <c r="F1854" i="1"/>
  <c r="G1854" i="1"/>
  <c r="F1842" i="1"/>
  <c r="G1842" i="1"/>
  <c r="F1830" i="1"/>
  <c r="G1830" i="1"/>
  <c r="F1818" i="1"/>
  <c r="G1818" i="1"/>
  <c r="F1806" i="1"/>
  <c r="G1806" i="1"/>
  <c r="F1794" i="1"/>
  <c r="G1794" i="1"/>
  <c r="F1782" i="1"/>
  <c r="G1782" i="1"/>
  <c r="F1758" i="1"/>
  <c r="G1758" i="1"/>
  <c r="F1746" i="1"/>
  <c r="G1746" i="1"/>
  <c r="G1966" i="1"/>
  <c r="G1918" i="1"/>
  <c r="G1870" i="1"/>
  <c r="G1807" i="1"/>
  <c r="G1737" i="1"/>
  <c r="G1663" i="1"/>
  <c r="G1580" i="1"/>
  <c r="G1497" i="1"/>
  <c r="G1414" i="1"/>
  <c r="F1980" i="1"/>
  <c r="G1980" i="1"/>
  <c r="F1860" i="1"/>
  <c r="G1860" i="1"/>
  <c r="F1764" i="1"/>
  <c r="G1764" i="1"/>
  <c r="F1632" i="1"/>
  <c r="G1632" i="1"/>
  <c r="F1524" i="1"/>
  <c r="G1524" i="1"/>
  <c r="F1452" i="1"/>
  <c r="G1452" i="1"/>
  <c r="F1332" i="1"/>
  <c r="G1332" i="1"/>
  <c r="F1236" i="1"/>
  <c r="G1236" i="1"/>
  <c r="F1128" i="1"/>
  <c r="G1128" i="1"/>
  <c r="F1020" i="1"/>
  <c r="G1020" i="1"/>
  <c r="F912" i="1"/>
  <c r="G912" i="1"/>
  <c r="F816" i="1"/>
  <c r="G816" i="1"/>
  <c r="F708" i="1"/>
  <c r="G708" i="1"/>
  <c r="F624" i="1"/>
  <c r="G624" i="1"/>
  <c r="F528" i="1"/>
  <c r="G528" i="1"/>
  <c r="F468" i="1"/>
  <c r="G468" i="1"/>
  <c r="F396" i="1"/>
  <c r="G396" i="1"/>
  <c r="F312" i="1"/>
  <c r="G312" i="1"/>
  <c r="F204" i="1"/>
  <c r="G204" i="1"/>
  <c r="F132" i="1"/>
  <c r="G132" i="1"/>
  <c r="F1811" i="1"/>
  <c r="G1811" i="1"/>
  <c r="F1739" i="1"/>
  <c r="G1739" i="1"/>
  <c r="F1523" i="1"/>
  <c r="G1523" i="1"/>
  <c r="F1427" i="1"/>
  <c r="G1427" i="1"/>
  <c r="F1295" i="1"/>
  <c r="G1295" i="1"/>
  <c r="F1175" i="1"/>
  <c r="G1175" i="1"/>
  <c r="F1079" i="1"/>
  <c r="G1079" i="1"/>
  <c r="F983" i="1"/>
  <c r="G983" i="1"/>
  <c r="F887" i="1"/>
  <c r="G887" i="1"/>
  <c r="F791" i="1"/>
  <c r="G791" i="1"/>
  <c r="F659" i="1"/>
  <c r="G659" i="1"/>
  <c r="F563" i="1"/>
  <c r="G563" i="1"/>
  <c r="F455" i="1"/>
  <c r="G455" i="1"/>
  <c r="F335" i="1"/>
  <c r="G335" i="1"/>
  <c r="F203" i="1"/>
  <c r="G203" i="1"/>
  <c r="F1726" i="1"/>
  <c r="G1726" i="1"/>
  <c r="F1618" i="1"/>
  <c r="G1618" i="1"/>
  <c r="F1462" i="1"/>
  <c r="G1462" i="1"/>
  <c r="F1747" i="1"/>
  <c r="G1747" i="1"/>
  <c r="F1627" i="1"/>
  <c r="G1627" i="1"/>
  <c r="F1985" i="1"/>
  <c r="G1985" i="1"/>
  <c r="F1961" i="1"/>
  <c r="G1961" i="1"/>
  <c r="F1937" i="1"/>
  <c r="G1937" i="1"/>
  <c r="F1913" i="1"/>
  <c r="G1913" i="1"/>
  <c r="F1889" i="1"/>
  <c r="G1889" i="1"/>
  <c r="F1829" i="1"/>
  <c r="G1829" i="1"/>
  <c r="F1817" i="1"/>
  <c r="G1817" i="1"/>
  <c r="F1793" i="1"/>
  <c r="G1793" i="1"/>
  <c r="F1769" i="1"/>
  <c r="G1769" i="1"/>
  <c r="F1745" i="1"/>
  <c r="G1745" i="1"/>
  <c r="F1733" i="1"/>
  <c r="G1733" i="1"/>
  <c r="F1709" i="1"/>
  <c r="G1709" i="1"/>
  <c r="F1673" i="1"/>
  <c r="G1673" i="1"/>
  <c r="F1613" i="1"/>
  <c r="G1613" i="1"/>
  <c r="F1589" i="1"/>
  <c r="G1589" i="1"/>
  <c r="F1553" i="1"/>
  <c r="G1553" i="1"/>
  <c r="F1529" i="1"/>
  <c r="G1529" i="1"/>
  <c r="F1505" i="1"/>
  <c r="G1505" i="1"/>
  <c r="F1481" i="1"/>
  <c r="G1481" i="1"/>
  <c r="F1469" i="1"/>
  <c r="G1469" i="1"/>
  <c r="F1409" i="1"/>
  <c r="G1409" i="1"/>
  <c r="F1385" i="1"/>
  <c r="G1385" i="1"/>
  <c r="F1361" i="1"/>
  <c r="G1361" i="1"/>
  <c r="F1337" i="1"/>
  <c r="G1337" i="1"/>
  <c r="F1313" i="1"/>
  <c r="G1313" i="1"/>
  <c r="F1289" i="1"/>
  <c r="G1289" i="1"/>
  <c r="F1265" i="1"/>
  <c r="G1265" i="1"/>
  <c r="F1241" i="1"/>
  <c r="G1241" i="1"/>
  <c r="F1217" i="1"/>
  <c r="G1217" i="1"/>
  <c r="F1193" i="1"/>
  <c r="G1193" i="1"/>
  <c r="F1169" i="1"/>
  <c r="G1169" i="1"/>
  <c r="F1157" i="1"/>
  <c r="G1157" i="1"/>
  <c r="F1145" i="1"/>
  <c r="G1145" i="1"/>
  <c r="F1121" i="1"/>
  <c r="G1121" i="1"/>
  <c r="F1109" i="1"/>
  <c r="G1109" i="1"/>
  <c r="F1097" i="1"/>
  <c r="G1097" i="1"/>
  <c r="F1085" i="1"/>
  <c r="G1085" i="1"/>
  <c r="F1073" i="1"/>
  <c r="G1073" i="1"/>
  <c r="F1061" i="1"/>
  <c r="G1061" i="1"/>
  <c r="F1049" i="1"/>
  <c r="G1049" i="1"/>
  <c r="F1037" i="1"/>
  <c r="G1037" i="1"/>
  <c r="F1025" i="1"/>
  <c r="G1025" i="1"/>
  <c r="F1013" i="1"/>
  <c r="G1013" i="1"/>
  <c r="F1001" i="1"/>
  <c r="G1001" i="1"/>
  <c r="F989" i="1"/>
  <c r="G989" i="1"/>
  <c r="F977" i="1"/>
  <c r="G977" i="1"/>
  <c r="F965" i="1"/>
  <c r="G965" i="1"/>
  <c r="F953" i="1"/>
  <c r="G953" i="1"/>
  <c r="F941" i="1"/>
  <c r="G941" i="1"/>
  <c r="F929" i="1"/>
  <c r="G929" i="1"/>
  <c r="F917" i="1"/>
  <c r="G917" i="1"/>
  <c r="F905" i="1"/>
  <c r="G905" i="1"/>
  <c r="F893" i="1"/>
  <c r="G893" i="1"/>
  <c r="F881" i="1"/>
  <c r="G881" i="1"/>
  <c r="F857" i="1"/>
  <c r="G857" i="1"/>
  <c r="F845" i="1"/>
  <c r="G845" i="1"/>
  <c r="F833" i="1"/>
  <c r="G833" i="1"/>
  <c r="F821" i="1"/>
  <c r="G821" i="1"/>
  <c r="F809" i="1"/>
  <c r="G809" i="1"/>
  <c r="F797" i="1"/>
  <c r="G797" i="1"/>
  <c r="F785" i="1"/>
  <c r="G785" i="1"/>
  <c r="F773" i="1"/>
  <c r="G773" i="1"/>
  <c r="F761" i="1"/>
  <c r="G761" i="1"/>
  <c r="F749" i="1"/>
  <c r="G749" i="1"/>
  <c r="F737" i="1"/>
  <c r="G737" i="1"/>
  <c r="F725" i="1"/>
  <c r="G725" i="1"/>
  <c r="F713" i="1"/>
  <c r="G713" i="1"/>
  <c r="F701" i="1"/>
  <c r="G701" i="1"/>
  <c r="F689" i="1"/>
  <c r="G689" i="1"/>
  <c r="F677" i="1"/>
  <c r="G677" i="1"/>
  <c r="F665" i="1"/>
  <c r="G665" i="1"/>
  <c r="F653" i="1"/>
  <c r="G653" i="1"/>
  <c r="F641" i="1"/>
  <c r="G641" i="1"/>
  <c r="F629" i="1"/>
  <c r="G629" i="1"/>
  <c r="F617" i="1"/>
  <c r="G617" i="1"/>
  <c r="F605" i="1"/>
  <c r="G605" i="1"/>
  <c r="F593" i="1"/>
  <c r="G593" i="1"/>
  <c r="F581" i="1"/>
  <c r="G581" i="1"/>
  <c r="F569" i="1"/>
  <c r="G569" i="1"/>
  <c r="F557" i="1"/>
  <c r="G557" i="1"/>
  <c r="F545" i="1"/>
  <c r="G545" i="1"/>
  <c r="F533" i="1"/>
  <c r="G533" i="1"/>
  <c r="F521" i="1"/>
  <c r="G521" i="1"/>
  <c r="F509" i="1"/>
  <c r="G509" i="1"/>
  <c r="F497" i="1"/>
  <c r="G497" i="1"/>
  <c r="F485" i="1"/>
  <c r="G485" i="1"/>
  <c r="F473" i="1"/>
  <c r="G473" i="1"/>
  <c r="F461" i="1"/>
  <c r="G461" i="1"/>
  <c r="F449" i="1"/>
  <c r="G449" i="1"/>
  <c r="F437" i="1"/>
  <c r="G437" i="1"/>
  <c r="F425" i="1"/>
  <c r="G425" i="1"/>
  <c r="F413" i="1"/>
  <c r="G413" i="1"/>
  <c r="F401" i="1"/>
  <c r="G401" i="1"/>
  <c r="F389" i="1"/>
  <c r="G389" i="1"/>
  <c r="G1964" i="1"/>
  <c r="G1916" i="1"/>
  <c r="G1868" i="1"/>
  <c r="G1805" i="1"/>
  <c r="G1735" i="1"/>
  <c r="G1657" i="1"/>
  <c r="G1577" i="1"/>
  <c r="F1896" i="1"/>
  <c r="G1896" i="1"/>
  <c r="F1788" i="1"/>
  <c r="G1788" i="1"/>
  <c r="F1680" i="1"/>
  <c r="G1680" i="1"/>
  <c r="F1560" i="1"/>
  <c r="G1560" i="1"/>
  <c r="F1428" i="1"/>
  <c r="G1428" i="1"/>
  <c r="F1368" i="1"/>
  <c r="G1368" i="1"/>
  <c r="F1284" i="1"/>
  <c r="G1284" i="1"/>
  <c r="F1212" i="1"/>
  <c r="G1212" i="1"/>
  <c r="F1104" i="1"/>
  <c r="G1104" i="1"/>
  <c r="F996" i="1"/>
  <c r="G996" i="1"/>
  <c r="F900" i="1"/>
  <c r="G900" i="1"/>
  <c r="F792" i="1"/>
  <c r="G792" i="1"/>
  <c r="F684" i="1"/>
  <c r="G684" i="1"/>
  <c r="F588" i="1"/>
  <c r="G588" i="1"/>
  <c r="F504" i="1"/>
  <c r="G504" i="1"/>
  <c r="F420" i="1"/>
  <c r="G420" i="1"/>
  <c r="F360" i="1"/>
  <c r="G360" i="1"/>
  <c r="F300" i="1"/>
  <c r="G300" i="1"/>
  <c r="F216" i="1"/>
  <c r="G216" i="1"/>
  <c r="F156" i="1"/>
  <c r="G156" i="1"/>
  <c r="F1907" i="1"/>
  <c r="G1907" i="1"/>
  <c r="F1823" i="1"/>
  <c r="G1823" i="1"/>
  <c r="F1727" i="1"/>
  <c r="G1727" i="1"/>
  <c r="F1631" i="1"/>
  <c r="G1631" i="1"/>
  <c r="F1535" i="1"/>
  <c r="G1535" i="1"/>
  <c r="F1235" i="1"/>
  <c r="G1235" i="1"/>
  <c r="F1115" i="1"/>
  <c r="G1115" i="1"/>
  <c r="F1007" i="1"/>
  <c r="G1007" i="1"/>
  <c r="F899" i="1"/>
  <c r="G899" i="1"/>
  <c r="F743" i="1"/>
  <c r="G743" i="1"/>
  <c r="F599" i="1"/>
  <c r="G599" i="1"/>
  <c r="F491" i="1"/>
  <c r="G491" i="1"/>
  <c r="F383" i="1"/>
  <c r="G383" i="1"/>
  <c r="F287" i="1"/>
  <c r="G287" i="1"/>
  <c r="F191" i="1"/>
  <c r="G191" i="1"/>
  <c r="G1451" i="1"/>
  <c r="F1798" i="1"/>
  <c r="G1798" i="1"/>
  <c r="F1582" i="1"/>
  <c r="G1582" i="1"/>
  <c r="F1843" i="1"/>
  <c r="G1843" i="1"/>
  <c r="F1759" i="1"/>
  <c r="G1759" i="1"/>
  <c r="F1603" i="1"/>
  <c r="G1603" i="1"/>
  <c r="F1997" i="1"/>
  <c r="G1997" i="1"/>
  <c r="F1973" i="1"/>
  <c r="G1973" i="1"/>
  <c r="F1949" i="1"/>
  <c r="G1949" i="1"/>
  <c r="F1925" i="1"/>
  <c r="G1925" i="1"/>
  <c r="F1901" i="1"/>
  <c r="G1901" i="1"/>
  <c r="F1877" i="1"/>
  <c r="G1877" i="1"/>
  <c r="F1865" i="1"/>
  <c r="G1865" i="1"/>
  <c r="F1841" i="1"/>
  <c r="G1841" i="1"/>
  <c r="F1781" i="1"/>
  <c r="G1781" i="1"/>
  <c r="F1697" i="1"/>
  <c r="G1697" i="1"/>
  <c r="F1685" i="1"/>
  <c r="G1685" i="1"/>
  <c r="F1661" i="1"/>
  <c r="G1661" i="1"/>
  <c r="F1649" i="1"/>
  <c r="G1649" i="1"/>
  <c r="F1625" i="1"/>
  <c r="G1625" i="1"/>
  <c r="F1565" i="1"/>
  <c r="G1565" i="1"/>
  <c r="F1541" i="1"/>
  <c r="G1541" i="1"/>
  <c r="F1517" i="1"/>
  <c r="G1517" i="1"/>
  <c r="F1445" i="1"/>
  <c r="G1445" i="1"/>
  <c r="F1421" i="1"/>
  <c r="G1421" i="1"/>
  <c r="F1397" i="1"/>
  <c r="G1397" i="1"/>
  <c r="F1373" i="1"/>
  <c r="G1373" i="1"/>
  <c r="F1349" i="1"/>
  <c r="G1349" i="1"/>
  <c r="F1325" i="1"/>
  <c r="G1325" i="1"/>
  <c r="F1301" i="1"/>
  <c r="G1301" i="1"/>
  <c r="F1277" i="1"/>
  <c r="G1277" i="1"/>
  <c r="F1253" i="1"/>
  <c r="G1253" i="1"/>
  <c r="F1229" i="1"/>
  <c r="G1229" i="1"/>
  <c r="F1205" i="1"/>
  <c r="G1205" i="1"/>
  <c r="F1181" i="1"/>
  <c r="G1181" i="1"/>
  <c r="F1133" i="1"/>
  <c r="G1133" i="1"/>
  <c r="F869" i="1"/>
  <c r="G869" i="1"/>
  <c r="F1996" i="1"/>
  <c r="G1996" i="1"/>
  <c r="F1984" i="1"/>
  <c r="G1984" i="1"/>
  <c r="F1972" i="1"/>
  <c r="G1972" i="1"/>
  <c r="F1960" i="1"/>
  <c r="G1960" i="1"/>
  <c r="F1948" i="1"/>
  <c r="G1948" i="1"/>
  <c r="F1936" i="1"/>
  <c r="G1936" i="1"/>
  <c r="F1924" i="1"/>
  <c r="G1924" i="1"/>
  <c r="F1912" i="1"/>
  <c r="G1912" i="1"/>
  <c r="F1900" i="1"/>
  <c r="G1900" i="1"/>
  <c r="F1888" i="1"/>
  <c r="G1888" i="1"/>
  <c r="F1876" i="1"/>
  <c r="G1876" i="1"/>
  <c r="F1864" i="1"/>
  <c r="G1864" i="1"/>
  <c r="F1852" i="1"/>
  <c r="G1852" i="1"/>
  <c r="F1840" i="1"/>
  <c r="G1840" i="1"/>
  <c r="F1828" i="1"/>
  <c r="G1828" i="1"/>
  <c r="F1816" i="1"/>
  <c r="G1816" i="1"/>
  <c r="F1804" i="1"/>
  <c r="G1804" i="1"/>
  <c r="F1792" i="1"/>
  <c r="G1792" i="1"/>
  <c r="F1780" i="1"/>
  <c r="G1780" i="1"/>
  <c r="F1768" i="1"/>
  <c r="G1768" i="1"/>
  <c r="G1963" i="1"/>
  <c r="G1915" i="1"/>
  <c r="G1867" i="1"/>
  <c r="G1802" i="1"/>
  <c r="G1734" i="1"/>
  <c r="G1655" i="1"/>
  <c r="G1573" i="1"/>
  <c r="G1493" i="1"/>
  <c r="F1956" i="1"/>
  <c r="G1956" i="1"/>
  <c r="F1908" i="1"/>
  <c r="G1908" i="1"/>
  <c r="F1848" i="1"/>
  <c r="G1848" i="1"/>
  <c r="F1752" i="1"/>
  <c r="G1752" i="1"/>
  <c r="F1608" i="1"/>
  <c r="G1608" i="1"/>
  <c r="F1500" i="1"/>
  <c r="G1500" i="1"/>
  <c r="F1392" i="1"/>
  <c r="G1392" i="1"/>
  <c r="F1260" i="1"/>
  <c r="G1260" i="1"/>
  <c r="F1152" i="1"/>
  <c r="G1152" i="1"/>
  <c r="F1068" i="1"/>
  <c r="G1068" i="1"/>
  <c r="F960" i="1"/>
  <c r="G960" i="1"/>
  <c r="F864" i="1"/>
  <c r="G864" i="1"/>
  <c r="F744" i="1"/>
  <c r="G744" i="1"/>
  <c r="F660" i="1"/>
  <c r="G660" i="1"/>
  <c r="F564" i="1"/>
  <c r="G564" i="1"/>
  <c r="F432" i="1"/>
  <c r="G432" i="1"/>
  <c r="F264" i="1"/>
  <c r="G264" i="1"/>
  <c r="F1991" i="1"/>
  <c r="G1991" i="1"/>
  <c r="F1919" i="1"/>
  <c r="G1919" i="1"/>
  <c r="F1847" i="1"/>
  <c r="G1847" i="1"/>
  <c r="F1763" i="1"/>
  <c r="G1763" i="1"/>
  <c r="F1679" i="1"/>
  <c r="G1679" i="1"/>
  <c r="F1463" i="1"/>
  <c r="G1463" i="1"/>
  <c r="F1415" i="1"/>
  <c r="G1415" i="1"/>
  <c r="F1379" i="1"/>
  <c r="G1379" i="1"/>
  <c r="F1319" i="1"/>
  <c r="G1319" i="1"/>
  <c r="F1259" i="1"/>
  <c r="G1259" i="1"/>
  <c r="F1211" i="1"/>
  <c r="G1211" i="1"/>
  <c r="F1151" i="1"/>
  <c r="G1151" i="1"/>
  <c r="F1043" i="1"/>
  <c r="G1043" i="1"/>
  <c r="F947" i="1"/>
  <c r="G947" i="1"/>
  <c r="F875" i="1"/>
  <c r="G875" i="1"/>
  <c r="F839" i="1"/>
  <c r="G839" i="1"/>
  <c r="F779" i="1"/>
  <c r="G779" i="1"/>
  <c r="F719" i="1"/>
  <c r="G719" i="1"/>
  <c r="F671" i="1"/>
  <c r="G671" i="1"/>
  <c r="F635" i="1"/>
  <c r="G635" i="1"/>
  <c r="F587" i="1"/>
  <c r="G587" i="1"/>
  <c r="F527" i="1"/>
  <c r="G527" i="1"/>
  <c r="F443" i="1"/>
  <c r="G443" i="1"/>
  <c r="F371" i="1"/>
  <c r="G371" i="1"/>
  <c r="F311" i="1"/>
  <c r="G311" i="1"/>
  <c r="F239" i="1"/>
  <c r="G239" i="1"/>
  <c r="F1774" i="1"/>
  <c r="G1774" i="1"/>
  <c r="F1498" i="1"/>
  <c r="G1498" i="1"/>
  <c r="F1831" i="1"/>
  <c r="G1831" i="1"/>
  <c r="F1723" i="1"/>
  <c r="G1723" i="1"/>
  <c r="F1567" i="1"/>
  <c r="G1567" i="1"/>
  <c r="F1971" i="1"/>
  <c r="G1971" i="1"/>
  <c r="F1947" i="1"/>
  <c r="G1947" i="1"/>
  <c r="F1923" i="1"/>
  <c r="G1923" i="1"/>
  <c r="F1899" i="1"/>
  <c r="G1899" i="1"/>
  <c r="F1875" i="1"/>
  <c r="G1875" i="1"/>
  <c r="F1851" i="1"/>
  <c r="G1851" i="1"/>
  <c r="F1827" i="1"/>
  <c r="G1827" i="1"/>
  <c r="F1803" i="1"/>
  <c r="G1803" i="1"/>
  <c r="F1779" i="1"/>
  <c r="G1779" i="1"/>
  <c r="F1755" i="1"/>
  <c r="G1755" i="1"/>
  <c r="F1719" i="1"/>
  <c r="G1719" i="1"/>
  <c r="F1683" i="1"/>
  <c r="G1683" i="1"/>
  <c r="F1647" i="1"/>
  <c r="G1647" i="1"/>
  <c r="F1623" i="1"/>
  <c r="G1623" i="1"/>
  <c r="F1599" i="1"/>
  <c r="G1599" i="1"/>
  <c r="F1575" i="1"/>
  <c r="G1575" i="1"/>
  <c r="F1527" i="1"/>
  <c r="G1527" i="1"/>
  <c r="F1503" i="1"/>
  <c r="G1503" i="1"/>
  <c r="F1479" i="1"/>
  <c r="G1479" i="1"/>
  <c r="F1455" i="1"/>
  <c r="G1455" i="1"/>
  <c r="F1431" i="1"/>
  <c r="G1431" i="1"/>
  <c r="F1419" i="1"/>
  <c r="G1419" i="1"/>
  <c r="F1395" i="1"/>
  <c r="G1395" i="1"/>
  <c r="F1371" i="1"/>
  <c r="G1371" i="1"/>
  <c r="F1335" i="1"/>
  <c r="G1335" i="1"/>
  <c r="F1311" i="1"/>
  <c r="G1311" i="1"/>
  <c r="F1287" i="1"/>
  <c r="G1287" i="1"/>
  <c r="F1263" i="1"/>
  <c r="G1263" i="1"/>
  <c r="F1239" i="1"/>
  <c r="G1239" i="1"/>
  <c r="F1227" i="1"/>
  <c r="G1227" i="1"/>
  <c r="F1203" i="1"/>
  <c r="G1203" i="1"/>
  <c r="F1179" i="1"/>
  <c r="G1179" i="1"/>
  <c r="F1155" i="1"/>
  <c r="G1155" i="1"/>
  <c r="F1131" i="1"/>
  <c r="G1131" i="1"/>
  <c r="F1107" i="1"/>
  <c r="G1107" i="1"/>
  <c r="F1083" i="1"/>
  <c r="G1083" i="1"/>
  <c r="F1059" i="1"/>
  <c r="G1059" i="1"/>
  <c r="F1035" i="1"/>
  <c r="G1035" i="1"/>
  <c r="F1011" i="1"/>
  <c r="G1011" i="1"/>
  <c r="F999" i="1"/>
  <c r="G999" i="1"/>
  <c r="F987" i="1"/>
  <c r="G987" i="1"/>
  <c r="F963" i="1"/>
  <c r="G963" i="1"/>
  <c r="F951" i="1"/>
  <c r="G951" i="1"/>
  <c r="F939" i="1"/>
  <c r="G939" i="1"/>
  <c r="F927" i="1"/>
  <c r="G927" i="1"/>
  <c r="F915" i="1"/>
  <c r="G915" i="1"/>
  <c r="F903" i="1"/>
  <c r="G903" i="1"/>
  <c r="F891" i="1"/>
  <c r="G891" i="1"/>
  <c r="F879" i="1"/>
  <c r="G879" i="1"/>
  <c r="F867" i="1"/>
  <c r="G867" i="1"/>
  <c r="F855" i="1"/>
  <c r="G855" i="1"/>
  <c r="F843" i="1"/>
  <c r="G843" i="1"/>
  <c r="F831" i="1"/>
  <c r="G831" i="1"/>
  <c r="F819" i="1"/>
  <c r="G819" i="1"/>
  <c r="F807" i="1"/>
  <c r="G807" i="1"/>
  <c r="F795" i="1"/>
  <c r="G795" i="1"/>
  <c r="F783" i="1"/>
  <c r="G783" i="1"/>
  <c r="F759" i="1"/>
  <c r="G759" i="1"/>
  <c r="F747" i="1"/>
  <c r="G747" i="1"/>
  <c r="F735" i="1"/>
  <c r="G735" i="1"/>
  <c r="F723" i="1"/>
  <c r="G723" i="1"/>
  <c r="F711" i="1"/>
  <c r="G711" i="1"/>
  <c r="F699" i="1"/>
  <c r="G699" i="1"/>
  <c r="F687" i="1"/>
  <c r="G687" i="1"/>
  <c r="F675" i="1"/>
  <c r="G675" i="1"/>
  <c r="F663" i="1"/>
  <c r="G663" i="1"/>
  <c r="F651" i="1"/>
  <c r="G651" i="1"/>
  <c r="F639" i="1"/>
  <c r="G639" i="1"/>
  <c r="F627" i="1"/>
  <c r="G627" i="1"/>
  <c r="F615" i="1"/>
  <c r="G615" i="1"/>
  <c r="F603" i="1"/>
  <c r="G603" i="1"/>
  <c r="F591" i="1"/>
  <c r="G591" i="1"/>
  <c r="F579" i="1"/>
  <c r="G579" i="1"/>
  <c r="F567" i="1"/>
  <c r="G567" i="1"/>
  <c r="F555" i="1"/>
  <c r="G555" i="1"/>
  <c r="F543" i="1"/>
  <c r="G543" i="1"/>
  <c r="F531" i="1"/>
  <c r="G531" i="1"/>
  <c r="F519" i="1"/>
  <c r="G519" i="1"/>
  <c r="F507" i="1"/>
  <c r="G507" i="1"/>
  <c r="F495" i="1"/>
  <c r="G495" i="1"/>
  <c r="F483" i="1"/>
  <c r="G483" i="1"/>
  <c r="F471" i="1"/>
  <c r="G471" i="1"/>
  <c r="F459" i="1"/>
  <c r="G459" i="1"/>
  <c r="F447" i="1"/>
  <c r="G447" i="1"/>
  <c r="F435" i="1"/>
  <c r="G435" i="1"/>
  <c r="F423" i="1"/>
  <c r="G423" i="1"/>
  <c r="F411" i="1"/>
  <c r="G411" i="1"/>
  <c r="F399" i="1"/>
  <c r="G399" i="1"/>
  <c r="F387" i="1"/>
  <c r="G387" i="1"/>
  <c r="F375" i="1"/>
  <c r="G375" i="1"/>
  <c r="F363" i="1"/>
  <c r="G363" i="1"/>
  <c r="F351" i="1"/>
  <c r="G351" i="1"/>
  <c r="F339" i="1"/>
  <c r="G339" i="1"/>
  <c r="F327" i="1"/>
  <c r="G327" i="1"/>
  <c r="F315" i="1"/>
  <c r="G315" i="1"/>
  <c r="F303" i="1"/>
  <c r="G303" i="1"/>
  <c r="F291" i="1"/>
  <c r="G291" i="1"/>
  <c r="F279" i="1"/>
  <c r="G279" i="1"/>
  <c r="F267" i="1"/>
  <c r="G267" i="1"/>
  <c r="F255" i="1"/>
  <c r="G255" i="1"/>
  <c r="F243" i="1"/>
  <c r="G243" i="1"/>
  <c r="F231" i="1"/>
  <c r="G231" i="1"/>
  <c r="F219" i="1"/>
  <c r="G219" i="1"/>
  <c r="F207" i="1"/>
  <c r="G207" i="1"/>
  <c r="F195" i="1"/>
  <c r="G195" i="1"/>
  <c r="F183" i="1"/>
  <c r="G183" i="1"/>
  <c r="F171" i="1"/>
  <c r="G171" i="1"/>
  <c r="F159" i="1"/>
  <c r="G159" i="1"/>
  <c r="F147" i="1"/>
  <c r="G147" i="1"/>
  <c r="F135" i="1"/>
  <c r="G135" i="1"/>
  <c r="F123" i="1"/>
  <c r="G123" i="1"/>
  <c r="F111" i="1"/>
  <c r="G111" i="1"/>
  <c r="F99" i="1"/>
  <c r="G99" i="1"/>
  <c r="F87" i="1"/>
  <c r="G87" i="1"/>
  <c r="F75" i="1"/>
  <c r="G75" i="1"/>
  <c r="F63" i="1"/>
  <c r="G63" i="1"/>
  <c r="F51" i="1"/>
  <c r="G51" i="1"/>
  <c r="F39" i="1"/>
  <c r="G39" i="1"/>
  <c r="F27" i="1"/>
  <c r="G27" i="1"/>
  <c r="F15" i="1"/>
  <c r="G15" i="1"/>
  <c r="F3" i="1"/>
  <c r="G3" i="1"/>
  <c r="G1954" i="1"/>
  <c r="G1906" i="1"/>
  <c r="G1855" i="1"/>
  <c r="G1790" i="1"/>
  <c r="G1721" i="1"/>
  <c r="G1641" i="1"/>
  <c r="G1558" i="1"/>
  <c r="G1475" i="1"/>
  <c r="G1391" i="1"/>
  <c r="F1932" i="1"/>
  <c r="G1932" i="1"/>
  <c r="F1812" i="1"/>
  <c r="G1812" i="1"/>
  <c r="F1704" i="1"/>
  <c r="G1704" i="1"/>
  <c r="F1644" i="1"/>
  <c r="G1644" i="1"/>
  <c r="F1536" i="1"/>
  <c r="G1536" i="1"/>
  <c r="F1440" i="1"/>
  <c r="G1440" i="1"/>
  <c r="F1356" i="1"/>
  <c r="G1356" i="1"/>
  <c r="F1272" i="1"/>
  <c r="G1272" i="1"/>
  <c r="F1176" i="1"/>
  <c r="G1176" i="1"/>
  <c r="F1044" i="1"/>
  <c r="G1044" i="1"/>
  <c r="F948" i="1"/>
  <c r="G948" i="1"/>
  <c r="F828" i="1"/>
  <c r="G828" i="1"/>
  <c r="F720" i="1"/>
  <c r="G720" i="1"/>
  <c r="F636" i="1"/>
  <c r="G636" i="1"/>
  <c r="F540" i="1"/>
  <c r="G540" i="1"/>
  <c r="F480" i="1"/>
  <c r="G480" i="1"/>
  <c r="F384" i="1"/>
  <c r="G384" i="1"/>
  <c r="F324" i="1"/>
  <c r="G324" i="1"/>
  <c r="F228" i="1"/>
  <c r="G228" i="1"/>
  <c r="F168" i="1"/>
  <c r="G168" i="1"/>
  <c r="F96" i="1"/>
  <c r="G96" i="1"/>
  <c r="F48" i="1"/>
  <c r="G48" i="1"/>
  <c r="F1979" i="1"/>
  <c r="G1979" i="1"/>
  <c r="F1883" i="1"/>
  <c r="G1883" i="1"/>
  <c r="F1799" i="1"/>
  <c r="G1799" i="1"/>
  <c r="F1691" i="1"/>
  <c r="G1691" i="1"/>
  <c r="F1583" i="1"/>
  <c r="G1583" i="1"/>
  <c r="F1487" i="1"/>
  <c r="G1487" i="1"/>
  <c r="F1331" i="1"/>
  <c r="G1331" i="1"/>
  <c r="F1223" i="1"/>
  <c r="G1223" i="1"/>
  <c r="F1103" i="1"/>
  <c r="G1103" i="1"/>
  <c r="F995" i="1"/>
  <c r="G995" i="1"/>
  <c r="F923" i="1"/>
  <c r="G923" i="1"/>
  <c r="F815" i="1"/>
  <c r="G815" i="1"/>
  <c r="F695" i="1"/>
  <c r="G695" i="1"/>
  <c r="F575" i="1"/>
  <c r="G575" i="1"/>
  <c r="F467" i="1"/>
  <c r="G467" i="1"/>
  <c r="F359" i="1"/>
  <c r="G359" i="1"/>
  <c r="F227" i="1"/>
  <c r="G227" i="1"/>
  <c r="F1846" i="1"/>
  <c r="G1846" i="1"/>
  <c r="F1762" i="1"/>
  <c r="G1762" i="1"/>
  <c r="F1642" i="1"/>
  <c r="G1642" i="1"/>
  <c r="F1795" i="1"/>
  <c r="G1795" i="1"/>
  <c r="F1579" i="1"/>
  <c r="G1579" i="1"/>
  <c r="F1995" i="1"/>
  <c r="G1995" i="1"/>
  <c r="F1983" i="1"/>
  <c r="G1983" i="1"/>
  <c r="F1959" i="1"/>
  <c r="G1959" i="1"/>
  <c r="F1935" i="1"/>
  <c r="G1935" i="1"/>
  <c r="F1911" i="1"/>
  <c r="G1911" i="1"/>
  <c r="F1887" i="1"/>
  <c r="G1887" i="1"/>
  <c r="F1863" i="1"/>
  <c r="G1863" i="1"/>
  <c r="F1839" i="1"/>
  <c r="G1839" i="1"/>
  <c r="F1815" i="1"/>
  <c r="G1815" i="1"/>
  <c r="F1791" i="1"/>
  <c r="G1791" i="1"/>
  <c r="F1767" i="1"/>
  <c r="G1767" i="1"/>
  <c r="F1743" i="1"/>
  <c r="G1743" i="1"/>
  <c r="F1731" i="1"/>
  <c r="G1731" i="1"/>
  <c r="F1707" i="1"/>
  <c r="G1707" i="1"/>
  <c r="F1695" i="1"/>
  <c r="G1695" i="1"/>
  <c r="F1671" i="1"/>
  <c r="G1671" i="1"/>
  <c r="F1659" i="1"/>
  <c r="G1659" i="1"/>
  <c r="F1635" i="1"/>
  <c r="G1635" i="1"/>
  <c r="F1611" i="1"/>
  <c r="G1611" i="1"/>
  <c r="F1587" i="1"/>
  <c r="G1587" i="1"/>
  <c r="F1563" i="1"/>
  <c r="G1563" i="1"/>
  <c r="F1551" i="1"/>
  <c r="G1551" i="1"/>
  <c r="F1539" i="1"/>
  <c r="G1539" i="1"/>
  <c r="F1515" i="1"/>
  <c r="G1515" i="1"/>
  <c r="F1491" i="1"/>
  <c r="G1491" i="1"/>
  <c r="F1467" i="1"/>
  <c r="G1467" i="1"/>
  <c r="F1443" i="1"/>
  <c r="G1443" i="1"/>
  <c r="F1407" i="1"/>
  <c r="G1407" i="1"/>
  <c r="F1383" i="1"/>
  <c r="G1383" i="1"/>
  <c r="F1359" i="1"/>
  <c r="G1359" i="1"/>
  <c r="F1347" i="1"/>
  <c r="G1347" i="1"/>
  <c r="F1323" i="1"/>
  <c r="G1323" i="1"/>
  <c r="F1299" i="1"/>
  <c r="G1299" i="1"/>
  <c r="F1275" i="1"/>
  <c r="G1275" i="1"/>
  <c r="F1251" i="1"/>
  <c r="G1251" i="1"/>
  <c r="F1215" i="1"/>
  <c r="G1215" i="1"/>
  <c r="F1191" i="1"/>
  <c r="G1191" i="1"/>
  <c r="F1167" i="1"/>
  <c r="G1167" i="1"/>
  <c r="F1143" i="1"/>
  <c r="G1143" i="1"/>
  <c r="F1119" i="1"/>
  <c r="G1119" i="1"/>
  <c r="F1095" i="1"/>
  <c r="G1095" i="1"/>
  <c r="F1071" i="1"/>
  <c r="G1071" i="1"/>
  <c r="F1047" i="1"/>
  <c r="G1047" i="1"/>
  <c r="F1023" i="1"/>
  <c r="G1023" i="1"/>
  <c r="F975" i="1"/>
  <c r="G975" i="1"/>
  <c r="F771" i="1"/>
  <c r="G771" i="1"/>
  <c r="F1994" i="1"/>
  <c r="G1994" i="1"/>
  <c r="F1982" i="1"/>
  <c r="G1982" i="1"/>
  <c r="F1970" i="1"/>
  <c r="G1970" i="1"/>
  <c r="F1958" i="1"/>
  <c r="G1958" i="1"/>
  <c r="F1946" i="1"/>
  <c r="G1946" i="1"/>
  <c r="F1934" i="1"/>
  <c r="G1934" i="1"/>
  <c r="F1922" i="1"/>
  <c r="G1922" i="1"/>
  <c r="F1910" i="1"/>
  <c r="G1910" i="1"/>
  <c r="F1898" i="1"/>
  <c r="G1898" i="1"/>
  <c r="F1886" i="1"/>
  <c r="G1886" i="1"/>
  <c r="F1874" i="1"/>
  <c r="G1874" i="1"/>
  <c r="F1862" i="1"/>
  <c r="G1862" i="1"/>
  <c r="F1826" i="1"/>
  <c r="G1826" i="1"/>
  <c r="F1814" i="1"/>
  <c r="G1814" i="1"/>
  <c r="F1778" i="1"/>
  <c r="G1778" i="1"/>
  <c r="F1766" i="1"/>
  <c r="G1766" i="1"/>
  <c r="F1754" i="1"/>
  <c r="G1754" i="1"/>
  <c r="F1742" i="1"/>
  <c r="G1742" i="1"/>
  <c r="F1730" i="1"/>
  <c r="G1730" i="1"/>
  <c r="F1718" i="1"/>
  <c r="G1718" i="1"/>
  <c r="F1706" i="1"/>
  <c r="G1706" i="1"/>
  <c r="F1694" i="1"/>
  <c r="G1694" i="1"/>
  <c r="F1682" i="1"/>
  <c r="G1682" i="1"/>
  <c r="F1670" i="1"/>
  <c r="G1670" i="1"/>
  <c r="F1658" i="1"/>
  <c r="G1658" i="1"/>
  <c r="F1646" i="1"/>
  <c r="G1646" i="1"/>
  <c r="F1634" i="1"/>
  <c r="G1634" i="1"/>
  <c r="F1622" i="1"/>
  <c r="G1622" i="1"/>
  <c r="F1610" i="1"/>
  <c r="G1610" i="1"/>
  <c r="F1598" i="1"/>
  <c r="G1598" i="1"/>
  <c r="F1586" i="1"/>
  <c r="G1586" i="1"/>
  <c r="G2000" i="1"/>
  <c r="G1952" i="1"/>
  <c r="G1904" i="1"/>
  <c r="G1853" i="1"/>
  <c r="G1787" i="1"/>
  <c r="G1715" i="1"/>
  <c r="G1639" i="1"/>
  <c r="G1556" i="1"/>
  <c r="G1473" i="1"/>
  <c r="F1944" i="1"/>
  <c r="G1944" i="1"/>
  <c r="F1824" i="1"/>
  <c r="G1824" i="1"/>
  <c r="F1716" i="1"/>
  <c r="G1716" i="1"/>
  <c r="F1656" i="1"/>
  <c r="G1656" i="1"/>
  <c r="F1596" i="1"/>
  <c r="G1596" i="1"/>
  <c r="F1548" i="1"/>
  <c r="G1548" i="1"/>
  <c r="F1488" i="1"/>
  <c r="G1488" i="1"/>
  <c r="F1416" i="1"/>
  <c r="G1416" i="1"/>
  <c r="F1380" i="1"/>
  <c r="G1380" i="1"/>
  <c r="F1308" i="1"/>
  <c r="G1308" i="1"/>
  <c r="F1224" i="1"/>
  <c r="G1224" i="1"/>
  <c r="F1140" i="1"/>
  <c r="G1140" i="1"/>
  <c r="F1080" i="1"/>
  <c r="G1080" i="1"/>
  <c r="F1008" i="1"/>
  <c r="G1008" i="1"/>
  <c r="F924" i="1"/>
  <c r="G924" i="1"/>
  <c r="F804" i="1"/>
  <c r="G804" i="1"/>
  <c r="F696" i="1"/>
  <c r="G696" i="1"/>
  <c r="F600" i="1"/>
  <c r="G600" i="1"/>
  <c r="F516" i="1"/>
  <c r="G516" i="1"/>
  <c r="F444" i="1"/>
  <c r="G444" i="1"/>
  <c r="F348" i="1"/>
  <c r="G348" i="1"/>
  <c r="F276" i="1"/>
  <c r="G276" i="1"/>
  <c r="F192" i="1"/>
  <c r="G192" i="1"/>
  <c r="F144" i="1"/>
  <c r="G144" i="1"/>
  <c r="F84" i="1"/>
  <c r="G84" i="1"/>
  <c r="F36" i="1"/>
  <c r="G36" i="1"/>
  <c r="F1943" i="1"/>
  <c r="G1943" i="1"/>
  <c r="F1871" i="1"/>
  <c r="G1871" i="1"/>
  <c r="F1703" i="1"/>
  <c r="G1703" i="1"/>
  <c r="F1643" i="1"/>
  <c r="G1643" i="1"/>
  <c r="F1547" i="1"/>
  <c r="G1547" i="1"/>
  <c r="F1271" i="1"/>
  <c r="G1271" i="1"/>
  <c r="F1139" i="1"/>
  <c r="G1139" i="1"/>
  <c r="F1019" i="1"/>
  <c r="G1019" i="1"/>
  <c r="F911" i="1"/>
  <c r="G911" i="1"/>
  <c r="F755" i="1"/>
  <c r="G755" i="1"/>
  <c r="F539" i="1"/>
  <c r="G539" i="1"/>
  <c r="F479" i="1"/>
  <c r="G479" i="1"/>
  <c r="F407" i="1"/>
  <c r="G407" i="1"/>
  <c r="F323" i="1"/>
  <c r="G323" i="1"/>
  <c r="F263" i="1"/>
  <c r="G263" i="1"/>
  <c r="F179" i="1"/>
  <c r="G179" i="1"/>
  <c r="G1835" i="1"/>
  <c r="F1690" i="1"/>
  <c r="G1690" i="1"/>
  <c r="F1402" i="1"/>
  <c r="G1402" i="1"/>
  <c r="F1993" i="1"/>
  <c r="G1993" i="1"/>
  <c r="F1981" i="1"/>
  <c r="G1981" i="1"/>
  <c r="F1969" i="1"/>
  <c r="G1969" i="1"/>
  <c r="F1957" i="1"/>
  <c r="G1957" i="1"/>
  <c r="F1945" i="1"/>
  <c r="G1945" i="1"/>
  <c r="F1933" i="1"/>
  <c r="G1933" i="1"/>
  <c r="F1921" i="1"/>
  <c r="G1921" i="1"/>
  <c r="F1909" i="1"/>
  <c r="G1909" i="1"/>
  <c r="F1897" i="1"/>
  <c r="G1897" i="1"/>
  <c r="F1885" i="1"/>
  <c r="G1885" i="1"/>
  <c r="F1873" i="1"/>
  <c r="G1873" i="1"/>
  <c r="F1861" i="1"/>
  <c r="G1861" i="1"/>
  <c r="F1849" i="1"/>
  <c r="G1849" i="1"/>
  <c r="F1837" i="1"/>
  <c r="G1837" i="1"/>
  <c r="F1825" i="1"/>
  <c r="G1825" i="1"/>
  <c r="F1813" i="1"/>
  <c r="G1813" i="1"/>
  <c r="F1801" i="1"/>
  <c r="G1801" i="1"/>
  <c r="F1789" i="1"/>
  <c r="G1789" i="1"/>
  <c r="F1777" i="1"/>
  <c r="G1777" i="1"/>
  <c r="F1765" i="1"/>
  <c r="G1765" i="1"/>
  <c r="F1753" i="1"/>
  <c r="G1753" i="1"/>
  <c r="F1741" i="1"/>
  <c r="G1741" i="1"/>
  <c r="F1729" i="1"/>
  <c r="G1729" i="1"/>
  <c r="F1717" i="1"/>
  <c r="G1717" i="1"/>
  <c r="F1705" i="1"/>
  <c r="G1705" i="1"/>
  <c r="F1693" i="1"/>
  <c r="G1693" i="1"/>
  <c r="F1669" i="1"/>
  <c r="G1669" i="1"/>
  <c r="F1645" i="1"/>
  <c r="G1645" i="1"/>
  <c r="F1633" i="1"/>
  <c r="G1633" i="1"/>
  <c r="F1621" i="1"/>
  <c r="G1621" i="1"/>
  <c r="F1609" i="1"/>
  <c r="G1609" i="1"/>
  <c r="F1597" i="1"/>
  <c r="G1597" i="1"/>
  <c r="F1585" i="1"/>
  <c r="G1585" i="1"/>
  <c r="F1561" i="1"/>
  <c r="G1561" i="1"/>
  <c r="F1549" i="1"/>
  <c r="G1549" i="1"/>
  <c r="F1525" i="1"/>
  <c r="G1525" i="1"/>
  <c r="F1501" i="1"/>
  <c r="G1501" i="1"/>
  <c r="F1489" i="1"/>
  <c r="G1489" i="1"/>
  <c r="F1477" i="1"/>
  <c r="G1477" i="1"/>
  <c r="F1465" i="1"/>
  <c r="G1465" i="1"/>
  <c r="F1453" i="1"/>
  <c r="G1453" i="1"/>
  <c r="F1441" i="1"/>
  <c r="G1441" i="1"/>
  <c r="F1417" i="1"/>
  <c r="G1417" i="1"/>
  <c r="F1405" i="1"/>
  <c r="G1405" i="1"/>
  <c r="F1393" i="1"/>
  <c r="G1393" i="1"/>
  <c r="F1381" i="1"/>
  <c r="G1381" i="1"/>
  <c r="F1369" i="1"/>
  <c r="G1369" i="1"/>
  <c r="F1357" i="1"/>
  <c r="G1357" i="1"/>
  <c r="F1345" i="1"/>
  <c r="G1345" i="1"/>
  <c r="F1333" i="1"/>
  <c r="G1333" i="1"/>
  <c r="F1321" i="1"/>
  <c r="G1321" i="1"/>
  <c r="F1309" i="1"/>
  <c r="G1309" i="1"/>
  <c r="F1297" i="1"/>
  <c r="G1297" i="1"/>
  <c r="F1285" i="1"/>
  <c r="G1285" i="1"/>
  <c r="F1273" i="1"/>
  <c r="G1273" i="1"/>
  <c r="F1261" i="1"/>
  <c r="G1261" i="1"/>
  <c r="F1249" i="1"/>
  <c r="G1249" i="1"/>
  <c r="F1237" i="1"/>
  <c r="G1237" i="1"/>
  <c r="F1225" i="1"/>
  <c r="G1225" i="1"/>
  <c r="F1213" i="1"/>
  <c r="G1213" i="1"/>
  <c r="F1201" i="1"/>
  <c r="G1201" i="1"/>
  <c r="F1189" i="1"/>
  <c r="G1189" i="1"/>
  <c r="F1177" i="1"/>
  <c r="G1177" i="1"/>
  <c r="F1165" i="1"/>
  <c r="G1165" i="1"/>
  <c r="F1153" i="1"/>
  <c r="G1153" i="1"/>
  <c r="F1141" i="1"/>
  <c r="G1141" i="1"/>
  <c r="F1129" i="1"/>
  <c r="G1129" i="1"/>
  <c r="F1117" i="1"/>
  <c r="G1117" i="1"/>
  <c r="F1105" i="1"/>
  <c r="G1105" i="1"/>
  <c r="F1093" i="1"/>
  <c r="G1093" i="1"/>
  <c r="F1081" i="1"/>
  <c r="G1081" i="1"/>
  <c r="F1069" i="1"/>
  <c r="G1069" i="1"/>
  <c r="F1057" i="1"/>
  <c r="G1057" i="1"/>
  <c r="F1045" i="1"/>
  <c r="G1045" i="1"/>
  <c r="F1033" i="1"/>
  <c r="G1033" i="1"/>
  <c r="F1021" i="1"/>
  <c r="G1021" i="1"/>
  <c r="F1009" i="1"/>
  <c r="G1009" i="1"/>
  <c r="F997" i="1"/>
  <c r="G997" i="1"/>
  <c r="F985" i="1"/>
  <c r="G985" i="1"/>
  <c r="F973" i="1"/>
  <c r="G973" i="1"/>
  <c r="F961" i="1"/>
  <c r="G961" i="1"/>
  <c r="F949" i="1"/>
  <c r="G949" i="1"/>
  <c r="F937" i="1"/>
  <c r="G937" i="1"/>
  <c r="F925" i="1"/>
  <c r="G925" i="1"/>
  <c r="F913" i="1"/>
  <c r="G913" i="1"/>
  <c r="F901" i="1"/>
  <c r="G901" i="1"/>
  <c r="F889" i="1"/>
  <c r="G889" i="1"/>
  <c r="F877" i="1"/>
  <c r="G877" i="1"/>
  <c r="F865" i="1"/>
  <c r="G865" i="1"/>
  <c r="F853" i="1"/>
  <c r="G853" i="1"/>
  <c r="F841" i="1"/>
  <c r="G841" i="1"/>
  <c r="F829" i="1"/>
  <c r="G829" i="1"/>
  <c r="F817" i="1"/>
  <c r="G817" i="1"/>
  <c r="F805" i="1"/>
  <c r="G805" i="1"/>
  <c r="F793" i="1"/>
  <c r="G793" i="1"/>
  <c r="F781" i="1"/>
  <c r="G781" i="1"/>
  <c r="F769" i="1"/>
  <c r="G769" i="1"/>
  <c r="F757" i="1"/>
  <c r="G757" i="1"/>
  <c r="F745" i="1"/>
  <c r="G745" i="1"/>
  <c r="F733" i="1"/>
  <c r="G733" i="1"/>
  <c r="F721" i="1"/>
  <c r="G721" i="1"/>
  <c r="F709" i="1"/>
  <c r="G709" i="1"/>
  <c r="F697" i="1"/>
  <c r="G697" i="1"/>
  <c r="F685" i="1"/>
  <c r="G685" i="1"/>
  <c r="F673" i="1"/>
  <c r="G673" i="1"/>
  <c r="F661" i="1"/>
  <c r="G661" i="1"/>
  <c r="F649" i="1"/>
  <c r="G649" i="1"/>
  <c r="F637" i="1"/>
  <c r="G637" i="1"/>
  <c r="F625" i="1"/>
  <c r="G625" i="1"/>
  <c r="F613" i="1"/>
  <c r="G613" i="1"/>
  <c r="F601" i="1"/>
  <c r="G601" i="1"/>
  <c r="F589" i="1"/>
  <c r="G589" i="1"/>
  <c r="F577" i="1"/>
  <c r="G577" i="1"/>
  <c r="F565" i="1"/>
  <c r="G565" i="1"/>
  <c r="F553" i="1"/>
  <c r="G553" i="1"/>
  <c r="F541" i="1"/>
  <c r="G541" i="1"/>
  <c r="F529" i="1"/>
  <c r="G529" i="1"/>
  <c r="F517" i="1"/>
  <c r="G517" i="1"/>
  <c r="F505" i="1"/>
  <c r="G505" i="1"/>
  <c r="F493" i="1"/>
  <c r="G493" i="1"/>
  <c r="F481" i="1"/>
  <c r="G481" i="1"/>
  <c r="F469" i="1"/>
  <c r="G469" i="1"/>
  <c r="F457" i="1"/>
  <c r="G457" i="1"/>
  <c r="F445" i="1"/>
  <c r="G445" i="1"/>
  <c r="F433" i="1"/>
  <c r="G433" i="1"/>
  <c r="F421" i="1"/>
  <c r="G421" i="1"/>
  <c r="F409" i="1"/>
  <c r="G409" i="1"/>
  <c r="F397" i="1"/>
  <c r="G397" i="1"/>
  <c r="F385" i="1"/>
  <c r="G385" i="1"/>
  <c r="F373" i="1"/>
  <c r="G373" i="1"/>
  <c r="F361" i="1"/>
  <c r="G361" i="1"/>
  <c r="F349" i="1"/>
  <c r="G349" i="1"/>
  <c r="F337" i="1"/>
  <c r="G337" i="1"/>
  <c r="F325" i="1"/>
  <c r="G325" i="1"/>
  <c r="F313" i="1"/>
  <c r="G313" i="1"/>
  <c r="F301" i="1"/>
  <c r="G301" i="1"/>
  <c r="F289" i="1"/>
  <c r="G289" i="1"/>
  <c r="F277" i="1"/>
  <c r="G277" i="1"/>
  <c r="F265" i="1"/>
  <c r="G265" i="1"/>
  <c r="F253" i="1"/>
  <c r="G253" i="1"/>
  <c r="F241" i="1"/>
  <c r="G241" i="1"/>
  <c r="F229" i="1"/>
  <c r="G229" i="1"/>
  <c r="F217" i="1"/>
  <c r="G217" i="1"/>
  <c r="F205" i="1"/>
  <c r="G205" i="1"/>
  <c r="F193" i="1"/>
  <c r="G193" i="1"/>
  <c r="F181" i="1"/>
  <c r="G181" i="1"/>
  <c r="F169" i="1"/>
  <c r="G169" i="1"/>
  <c r="F157" i="1"/>
  <c r="G157" i="1"/>
  <c r="F145" i="1"/>
  <c r="G145" i="1"/>
  <c r="F133" i="1"/>
  <c r="G133" i="1"/>
  <c r="F121" i="1"/>
  <c r="G121" i="1"/>
  <c r="F109" i="1"/>
  <c r="G109" i="1"/>
  <c r="F97" i="1"/>
  <c r="G97" i="1"/>
  <c r="F85" i="1"/>
  <c r="G85" i="1"/>
  <c r="F73" i="1"/>
  <c r="G73" i="1"/>
  <c r="F61" i="1"/>
  <c r="G61" i="1"/>
  <c r="F49" i="1"/>
  <c r="G49" i="1"/>
  <c r="F37" i="1"/>
  <c r="G37" i="1"/>
  <c r="F25" i="1"/>
  <c r="G25" i="1"/>
  <c r="F13" i="1"/>
  <c r="G13" i="1"/>
  <c r="G1999" i="1"/>
  <c r="G1951" i="1"/>
  <c r="G1903" i="1"/>
  <c r="G1850" i="1"/>
  <c r="G1786" i="1"/>
  <c r="G1714" i="1"/>
  <c r="G1637" i="1"/>
  <c r="G1555" i="1"/>
  <c r="F1728" i="1"/>
  <c r="G1728" i="1"/>
  <c r="F780" i="1"/>
  <c r="G780" i="1"/>
  <c r="F336" i="1"/>
  <c r="G336" i="1"/>
  <c r="F120" i="1"/>
  <c r="G120" i="1"/>
  <c r="F72" i="1"/>
  <c r="G72" i="1"/>
  <c r="F1574" i="1"/>
  <c r="G1574" i="1"/>
  <c r="F1562" i="1"/>
  <c r="G1562" i="1"/>
  <c r="F1550" i="1"/>
  <c r="G1550" i="1"/>
  <c r="F1538" i="1"/>
  <c r="G1538" i="1"/>
  <c r="F1526" i="1"/>
  <c r="G1526" i="1"/>
  <c r="F1514" i="1"/>
  <c r="G1514" i="1"/>
  <c r="F1502" i="1"/>
  <c r="G1502" i="1"/>
  <c r="F1490" i="1"/>
  <c r="G1490" i="1"/>
  <c r="F1478" i="1"/>
  <c r="G1478" i="1"/>
  <c r="F1466" i="1"/>
  <c r="G1466" i="1"/>
  <c r="F1454" i="1"/>
  <c r="G1454" i="1"/>
  <c r="F1442" i="1"/>
  <c r="G1442" i="1"/>
  <c r="F1430" i="1"/>
  <c r="G1430" i="1"/>
  <c r="F1418" i="1"/>
  <c r="G1418" i="1"/>
  <c r="F1406" i="1"/>
  <c r="G1406" i="1"/>
  <c r="F1394" i="1"/>
  <c r="G1394" i="1"/>
  <c r="F1382" i="1"/>
  <c r="G1382" i="1"/>
  <c r="F1370" i="1"/>
  <c r="G1370" i="1"/>
  <c r="F1358" i="1"/>
  <c r="G1358" i="1"/>
  <c r="F1346" i="1"/>
  <c r="G1346" i="1"/>
  <c r="F1334" i="1"/>
  <c r="G1334" i="1"/>
  <c r="F1322" i="1"/>
  <c r="G1322" i="1"/>
  <c r="F1310" i="1"/>
  <c r="G1310" i="1"/>
  <c r="F1298" i="1"/>
  <c r="G1298" i="1"/>
  <c r="F1286" i="1"/>
  <c r="G1286" i="1"/>
  <c r="F1274" i="1"/>
  <c r="G1274" i="1"/>
  <c r="F1262" i="1"/>
  <c r="G1262" i="1"/>
  <c r="F1250" i="1"/>
  <c r="G1250" i="1"/>
  <c r="F1238" i="1"/>
  <c r="G1238" i="1"/>
  <c r="F1226" i="1"/>
  <c r="G1226" i="1"/>
  <c r="F1214" i="1"/>
  <c r="G1214" i="1"/>
  <c r="F1202" i="1"/>
  <c r="G1202" i="1"/>
  <c r="F1190" i="1"/>
  <c r="G1190" i="1"/>
  <c r="F1178" i="1"/>
  <c r="G1178" i="1"/>
  <c r="F1166" i="1"/>
  <c r="G1166" i="1"/>
  <c r="F1154" i="1"/>
  <c r="G1154" i="1"/>
  <c r="F1142" i="1"/>
  <c r="G1142" i="1"/>
  <c r="F1130" i="1"/>
  <c r="G1130" i="1"/>
  <c r="F1118" i="1"/>
  <c r="G1118" i="1"/>
  <c r="F1106" i="1"/>
  <c r="G1106" i="1"/>
  <c r="F1094" i="1"/>
  <c r="G1094" i="1"/>
  <c r="F1082" i="1"/>
  <c r="G1082" i="1"/>
  <c r="F1070" i="1"/>
  <c r="G1070" i="1"/>
  <c r="F1058" i="1"/>
  <c r="G1058" i="1"/>
  <c r="F1046" i="1"/>
  <c r="G1046" i="1"/>
  <c r="F1034" i="1"/>
  <c r="G1034" i="1"/>
  <c r="F1022" i="1"/>
  <c r="G1022" i="1"/>
  <c r="F974" i="1"/>
  <c r="G974" i="1"/>
  <c r="F926" i="1"/>
  <c r="G926" i="1"/>
  <c r="F878" i="1"/>
  <c r="G878" i="1"/>
  <c r="F830" i="1"/>
  <c r="G830" i="1"/>
  <c r="F782" i="1"/>
  <c r="G782" i="1"/>
  <c r="F734" i="1"/>
  <c r="G734" i="1"/>
  <c r="F686" i="1"/>
  <c r="G686" i="1"/>
  <c r="F638" i="1"/>
  <c r="G638" i="1"/>
  <c r="F590" i="1"/>
  <c r="G590" i="1"/>
  <c r="F542" i="1"/>
  <c r="G542" i="1"/>
  <c r="F494" i="1"/>
  <c r="G494" i="1"/>
  <c r="F446" i="1"/>
  <c r="G446" i="1"/>
  <c r="F398" i="1"/>
  <c r="G398" i="1"/>
  <c r="F350" i="1"/>
  <c r="G350" i="1"/>
  <c r="F302" i="1"/>
  <c r="G302" i="1"/>
  <c r="F254" i="1"/>
  <c r="G254" i="1"/>
  <c r="F206" i="1"/>
  <c r="G206" i="1"/>
  <c r="F158" i="1"/>
  <c r="G158" i="1"/>
  <c r="F110" i="1"/>
  <c r="G110" i="1"/>
  <c r="F62" i="1"/>
  <c r="G62" i="1"/>
  <c r="F14" i="1"/>
  <c r="G14" i="1"/>
  <c r="G1496" i="1"/>
  <c r="G1435" i="1"/>
  <c r="G1269" i="1"/>
  <c r="G1245" i="1"/>
  <c r="G1221" i="1"/>
  <c r="G1197" i="1"/>
  <c r="G1173" i="1"/>
  <c r="G1149" i="1"/>
  <c r="G1125" i="1"/>
  <c r="G1101" i="1"/>
  <c r="G1077" i="1"/>
  <c r="G1053" i="1"/>
  <c r="G1029" i="1"/>
  <c r="G377" i="1"/>
  <c r="G281" i="1"/>
  <c r="G185" i="1"/>
  <c r="G89" i="1"/>
  <c r="F167" i="1"/>
  <c r="G167" i="1"/>
  <c r="F155" i="1"/>
  <c r="G155" i="1"/>
  <c r="F143" i="1"/>
  <c r="G143" i="1"/>
  <c r="F131" i="1"/>
  <c r="G131" i="1"/>
  <c r="F119" i="1"/>
  <c r="G119" i="1"/>
  <c r="F107" i="1"/>
  <c r="G107" i="1"/>
  <c r="F95" i="1"/>
  <c r="G95" i="1"/>
  <c r="F83" i="1"/>
  <c r="G83" i="1"/>
  <c r="F71" i="1"/>
  <c r="G71" i="1"/>
  <c r="F59" i="1"/>
  <c r="G59" i="1"/>
  <c r="F47" i="1"/>
  <c r="G47" i="1"/>
  <c r="F35" i="1"/>
  <c r="G35" i="1"/>
  <c r="F23" i="1"/>
  <c r="G23" i="1"/>
  <c r="F11" i="1"/>
  <c r="G11" i="1"/>
  <c r="G1471" i="1"/>
  <c r="G938" i="1"/>
  <c r="G842" i="1"/>
  <c r="G746" i="1"/>
  <c r="G650" i="1"/>
  <c r="G554" i="1"/>
  <c r="G458" i="1"/>
  <c r="G362" i="1"/>
  <c r="G266" i="1"/>
  <c r="G170" i="1"/>
  <c r="G74" i="1"/>
  <c r="F1318" i="1"/>
  <c r="G1318" i="1"/>
  <c r="F1306" i="1"/>
  <c r="G1306" i="1"/>
  <c r="F1294" i="1"/>
  <c r="G1294" i="1"/>
  <c r="F1282" i="1"/>
  <c r="G1282" i="1"/>
  <c r="F1270" i="1"/>
  <c r="G1270" i="1"/>
  <c r="F1258" i="1"/>
  <c r="G1258" i="1"/>
  <c r="F1246" i="1"/>
  <c r="G1246" i="1"/>
  <c r="F1234" i="1"/>
  <c r="G1234" i="1"/>
  <c r="F1222" i="1"/>
  <c r="G1222" i="1"/>
  <c r="F1210" i="1"/>
  <c r="G1210" i="1"/>
  <c r="F1198" i="1"/>
  <c r="G1198" i="1"/>
  <c r="F1186" i="1"/>
  <c r="G1186" i="1"/>
  <c r="F1174" i="1"/>
  <c r="G1174" i="1"/>
  <c r="F1162" i="1"/>
  <c r="G1162" i="1"/>
  <c r="F1150" i="1"/>
  <c r="G1150" i="1"/>
  <c r="F1138" i="1"/>
  <c r="G1138" i="1"/>
  <c r="F1126" i="1"/>
  <c r="G1126" i="1"/>
  <c r="F1114" i="1"/>
  <c r="G1114" i="1"/>
  <c r="F1102" i="1"/>
  <c r="G1102" i="1"/>
  <c r="F1090" i="1"/>
  <c r="G1090" i="1"/>
  <c r="F1078" i="1"/>
  <c r="G1078" i="1"/>
  <c r="F1066" i="1"/>
  <c r="G1066" i="1"/>
  <c r="F1054" i="1"/>
  <c r="G1054" i="1"/>
  <c r="F1042" i="1"/>
  <c r="G1042" i="1"/>
  <c r="F1030" i="1"/>
  <c r="G1030" i="1"/>
  <c r="F1006" i="1"/>
  <c r="G1006" i="1"/>
  <c r="F982" i="1"/>
  <c r="G982" i="1"/>
  <c r="F958" i="1"/>
  <c r="G958" i="1"/>
  <c r="F934" i="1"/>
  <c r="G934" i="1"/>
  <c r="F910" i="1"/>
  <c r="G910" i="1"/>
  <c r="F886" i="1"/>
  <c r="G886" i="1"/>
  <c r="F862" i="1"/>
  <c r="G862" i="1"/>
  <c r="F838" i="1"/>
  <c r="G838" i="1"/>
  <c r="F814" i="1"/>
  <c r="G814" i="1"/>
  <c r="F790" i="1"/>
  <c r="G790" i="1"/>
  <c r="F766" i="1"/>
  <c r="G766" i="1"/>
  <c r="F742" i="1"/>
  <c r="G742" i="1"/>
  <c r="F718" i="1"/>
  <c r="G718" i="1"/>
  <c r="F694" i="1"/>
  <c r="G694" i="1"/>
  <c r="F670" i="1"/>
  <c r="G670" i="1"/>
  <c r="F646" i="1"/>
  <c r="G646" i="1"/>
  <c r="F622" i="1"/>
  <c r="G622" i="1"/>
  <c r="F598" i="1"/>
  <c r="G598" i="1"/>
  <c r="F574" i="1"/>
  <c r="G574" i="1"/>
  <c r="F550" i="1"/>
  <c r="G550" i="1"/>
  <c r="F526" i="1"/>
  <c r="G526" i="1"/>
  <c r="F502" i="1"/>
  <c r="G502" i="1"/>
  <c r="F478" i="1"/>
  <c r="G478" i="1"/>
  <c r="F454" i="1"/>
  <c r="G454" i="1"/>
  <c r="F430" i="1"/>
  <c r="G430" i="1"/>
  <c r="F406" i="1"/>
  <c r="G406" i="1"/>
  <c r="F382" i="1"/>
  <c r="G382" i="1"/>
  <c r="F358" i="1"/>
  <c r="G358" i="1"/>
  <c r="F334" i="1"/>
  <c r="G334" i="1"/>
  <c r="F310" i="1"/>
  <c r="G310" i="1"/>
  <c r="F286" i="1"/>
  <c r="G286" i="1"/>
  <c r="F262" i="1"/>
  <c r="G262" i="1"/>
  <c r="F238" i="1"/>
  <c r="G238" i="1"/>
  <c r="F214" i="1"/>
  <c r="G214" i="1"/>
  <c r="F190" i="1"/>
  <c r="G190" i="1"/>
  <c r="F166" i="1"/>
  <c r="G166" i="1"/>
  <c r="F142" i="1"/>
  <c r="G142" i="1"/>
  <c r="F118" i="1"/>
  <c r="G118" i="1"/>
  <c r="F94" i="1"/>
  <c r="G94" i="1"/>
  <c r="F70" i="1"/>
  <c r="G70" i="1"/>
  <c r="F46" i="1"/>
  <c r="G46" i="1"/>
  <c r="F22" i="1"/>
  <c r="G22" i="1"/>
  <c r="G1448" i="1"/>
  <c r="G1018" i="1"/>
  <c r="G922" i="1"/>
  <c r="G826" i="1"/>
  <c r="G730" i="1"/>
  <c r="G634" i="1"/>
  <c r="G538" i="1"/>
  <c r="G442" i="1"/>
  <c r="G346" i="1"/>
  <c r="G250" i="1"/>
  <c r="G154" i="1"/>
  <c r="G58" i="1"/>
  <c r="F1017" i="1"/>
  <c r="G1017" i="1"/>
  <c r="F1005" i="1"/>
  <c r="G1005" i="1"/>
  <c r="F993" i="1"/>
  <c r="G993" i="1"/>
  <c r="F981" i="1"/>
  <c r="G981" i="1"/>
  <c r="F969" i="1"/>
  <c r="G969" i="1"/>
  <c r="F957" i="1"/>
  <c r="G957" i="1"/>
  <c r="F945" i="1"/>
  <c r="G945" i="1"/>
  <c r="F933" i="1"/>
  <c r="G933" i="1"/>
  <c r="F921" i="1"/>
  <c r="G921" i="1"/>
  <c r="F909" i="1"/>
  <c r="G909" i="1"/>
  <c r="F897" i="1"/>
  <c r="G897" i="1"/>
  <c r="F885" i="1"/>
  <c r="G885" i="1"/>
  <c r="F873" i="1"/>
  <c r="G873" i="1"/>
  <c r="F861" i="1"/>
  <c r="G861" i="1"/>
  <c r="F849" i="1"/>
  <c r="G849" i="1"/>
  <c r="F837" i="1"/>
  <c r="G837" i="1"/>
  <c r="F825" i="1"/>
  <c r="G825" i="1"/>
  <c r="F813" i="1"/>
  <c r="G813" i="1"/>
  <c r="F801" i="1"/>
  <c r="G801" i="1"/>
  <c r="F789" i="1"/>
  <c r="G789" i="1"/>
  <c r="F777" i="1"/>
  <c r="G777" i="1"/>
  <c r="F765" i="1"/>
  <c r="G765" i="1"/>
  <c r="F753" i="1"/>
  <c r="G753" i="1"/>
  <c r="F741" i="1"/>
  <c r="G741" i="1"/>
  <c r="F729" i="1"/>
  <c r="G729" i="1"/>
  <c r="F717" i="1"/>
  <c r="G717" i="1"/>
  <c r="F705" i="1"/>
  <c r="G705" i="1"/>
  <c r="F693" i="1"/>
  <c r="G693" i="1"/>
  <c r="F681" i="1"/>
  <c r="G681" i="1"/>
  <c r="F669" i="1"/>
  <c r="G669" i="1"/>
  <c r="F657" i="1"/>
  <c r="G657" i="1"/>
  <c r="F645" i="1"/>
  <c r="G645" i="1"/>
  <c r="F633" i="1"/>
  <c r="G633" i="1"/>
  <c r="F621" i="1"/>
  <c r="G621" i="1"/>
  <c r="F609" i="1"/>
  <c r="G609" i="1"/>
  <c r="F597" i="1"/>
  <c r="G597" i="1"/>
  <c r="F585" i="1"/>
  <c r="G585" i="1"/>
  <c r="F573" i="1"/>
  <c r="G573" i="1"/>
  <c r="F561" i="1"/>
  <c r="G561" i="1"/>
  <c r="F549" i="1"/>
  <c r="G549" i="1"/>
  <c r="F537" i="1"/>
  <c r="G537" i="1"/>
  <c r="F525" i="1"/>
  <c r="G525" i="1"/>
  <c r="F513" i="1"/>
  <c r="G513" i="1"/>
  <c r="F501" i="1"/>
  <c r="G501" i="1"/>
  <c r="F489" i="1"/>
  <c r="G489" i="1"/>
  <c r="F477" i="1"/>
  <c r="G477" i="1"/>
  <c r="F465" i="1"/>
  <c r="G465" i="1"/>
  <c r="F453" i="1"/>
  <c r="G453" i="1"/>
  <c r="F441" i="1"/>
  <c r="G441" i="1"/>
  <c r="F429" i="1"/>
  <c r="G429" i="1"/>
  <c r="F417" i="1"/>
  <c r="G417" i="1"/>
  <c r="F405" i="1"/>
  <c r="G405" i="1"/>
  <c r="F393" i="1"/>
  <c r="G393" i="1"/>
  <c r="F381" i="1"/>
  <c r="G381" i="1"/>
  <c r="F369" i="1"/>
  <c r="G369" i="1"/>
  <c r="F357" i="1"/>
  <c r="G357" i="1"/>
  <c r="F345" i="1"/>
  <c r="G345" i="1"/>
  <c r="F333" i="1"/>
  <c r="G333" i="1"/>
  <c r="F321" i="1"/>
  <c r="G321" i="1"/>
  <c r="F309" i="1"/>
  <c r="G309" i="1"/>
  <c r="F297" i="1"/>
  <c r="G297" i="1"/>
  <c r="F285" i="1"/>
  <c r="G285" i="1"/>
  <c r="F273" i="1"/>
  <c r="G273" i="1"/>
  <c r="F261" i="1"/>
  <c r="G261" i="1"/>
  <c r="F249" i="1"/>
  <c r="G249" i="1"/>
  <c r="F237" i="1"/>
  <c r="G237" i="1"/>
  <c r="F225" i="1"/>
  <c r="G225" i="1"/>
  <c r="F213" i="1"/>
  <c r="G213" i="1"/>
  <c r="F201" i="1"/>
  <c r="G201" i="1"/>
  <c r="F189" i="1"/>
  <c r="G189" i="1"/>
  <c r="F177" i="1"/>
  <c r="G177" i="1"/>
  <c r="F165" i="1"/>
  <c r="G165" i="1"/>
  <c r="F153" i="1"/>
  <c r="G153" i="1"/>
  <c r="F141" i="1"/>
  <c r="G141" i="1"/>
  <c r="F129" i="1"/>
  <c r="G129" i="1"/>
  <c r="F117" i="1"/>
  <c r="G117" i="1"/>
  <c r="F105" i="1"/>
  <c r="G105" i="1"/>
  <c r="F93" i="1"/>
  <c r="G93" i="1"/>
  <c r="F81" i="1"/>
  <c r="G81" i="1"/>
  <c r="F69" i="1"/>
  <c r="G69" i="1"/>
  <c r="F57" i="1"/>
  <c r="G57" i="1"/>
  <c r="F45" i="1"/>
  <c r="G45" i="1"/>
  <c r="F33" i="1"/>
  <c r="G33" i="1"/>
  <c r="F21" i="1"/>
  <c r="G21" i="1"/>
  <c r="F9" i="1"/>
  <c r="G9" i="1"/>
  <c r="G1447" i="1"/>
  <c r="G1010" i="1"/>
  <c r="G914" i="1"/>
  <c r="G818" i="1"/>
  <c r="G722" i="1"/>
  <c r="G626" i="1"/>
  <c r="G530" i="1"/>
  <c r="G434" i="1"/>
  <c r="G338" i="1"/>
  <c r="G242" i="1"/>
  <c r="G146" i="1"/>
  <c r="G50" i="1"/>
  <c r="F1016" i="1"/>
  <c r="G1016" i="1"/>
  <c r="F1004" i="1"/>
  <c r="G1004" i="1"/>
  <c r="F992" i="1"/>
  <c r="G992" i="1"/>
  <c r="F980" i="1"/>
  <c r="G980" i="1"/>
  <c r="F968" i="1"/>
  <c r="G968" i="1"/>
  <c r="F956" i="1"/>
  <c r="G956" i="1"/>
  <c r="F944" i="1"/>
  <c r="G944" i="1"/>
  <c r="F932" i="1"/>
  <c r="G932" i="1"/>
  <c r="F920" i="1"/>
  <c r="G920" i="1"/>
  <c r="F908" i="1"/>
  <c r="G908" i="1"/>
  <c r="F896" i="1"/>
  <c r="G896" i="1"/>
  <c r="F884" i="1"/>
  <c r="G884" i="1"/>
  <c r="F872" i="1"/>
  <c r="G872" i="1"/>
  <c r="F860" i="1"/>
  <c r="G860" i="1"/>
  <c r="F848" i="1"/>
  <c r="G848" i="1"/>
  <c r="F836" i="1"/>
  <c r="G836" i="1"/>
  <c r="F824" i="1"/>
  <c r="G824" i="1"/>
  <c r="F812" i="1"/>
  <c r="G812" i="1"/>
  <c r="F800" i="1"/>
  <c r="G800" i="1"/>
  <c r="F788" i="1"/>
  <c r="G788" i="1"/>
  <c r="F776" i="1"/>
  <c r="G776" i="1"/>
  <c r="F764" i="1"/>
  <c r="G764" i="1"/>
  <c r="F752" i="1"/>
  <c r="G752" i="1"/>
  <c r="F740" i="1"/>
  <c r="G740" i="1"/>
  <c r="F728" i="1"/>
  <c r="G728" i="1"/>
  <c r="F716" i="1"/>
  <c r="G716" i="1"/>
  <c r="F704" i="1"/>
  <c r="G704" i="1"/>
  <c r="F692" i="1"/>
  <c r="G692" i="1"/>
  <c r="F680" i="1"/>
  <c r="G680" i="1"/>
  <c r="F668" i="1"/>
  <c r="G668" i="1"/>
  <c r="F656" i="1"/>
  <c r="G656" i="1"/>
  <c r="F644" i="1"/>
  <c r="G644" i="1"/>
  <c r="F632" i="1"/>
  <c r="G632" i="1"/>
  <c r="F620" i="1"/>
  <c r="G620" i="1"/>
  <c r="F608" i="1"/>
  <c r="G608" i="1"/>
  <c r="F596" i="1"/>
  <c r="G596" i="1"/>
  <c r="F584" i="1"/>
  <c r="G584" i="1"/>
  <c r="F572" i="1"/>
  <c r="G572" i="1"/>
  <c r="F560" i="1"/>
  <c r="G560" i="1"/>
  <c r="F548" i="1"/>
  <c r="G548" i="1"/>
  <c r="F536" i="1"/>
  <c r="G536" i="1"/>
  <c r="F524" i="1"/>
  <c r="G524" i="1"/>
  <c r="F512" i="1"/>
  <c r="G512" i="1"/>
  <c r="F500" i="1"/>
  <c r="G500" i="1"/>
  <c r="F488" i="1"/>
  <c r="G488" i="1"/>
  <c r="F476" i="1"/>
  <c r="G476" i="1"/>
  <c r="F464" i="1"/>
  <c r="G464" i="1"/>
  <c r="F452" i="1"/>
  <c r="G452" i="1"/>
  <c r="F440" i="1"/>
  <c r="G440" i="1"/>
  <c r="F428" i="1"/>
  <c r="G428" i="1"/>
  <c r="F416" i="1"/>
  <c r="G416" i="1"/>
  <c r="F404" i="1"/>
  <c r="G404" i="1"/>
  <c r="F392" i="1"/>
  <c r="G392" i="1"/>
  <c r="F380" i="1"/>
  <c r="G380" i="1"/>
  <c r="F368" i="1"/>
  <c r="G368" i="1"/>
  <c r="F356" i="1"/>
  <c r="G356" i="1"/>
  <c r="F344" i="1"/>
  <c r="G344" i="1"/>
  <c r="F332" i="1"/>
  <c r="G332" i="1"/>
  <c r="F320" i="1"/>
  <c r="G320" i="1"/>
  <c r="F308" i="1"/>
  <c r="G308" i="1"/>
  <c r="F296" i="1"/>
  <c r="G296" i="1"/>
  <c r="F284" i="1"/>
  <c r="G284" i="1"/>
  <c r="F272" i="1"/>
  <c r="G272" i="1"/>
  <c r="F260" i="1"/>
  <c r="G260" i="1"/>
  <c r="F248" i="1"/>
  <c r="G248" i="1"/>
  <c r="F236" i="1"/>
  <c r="G236" i="1"/>
  <c r="F224" i="1"/>
  <c r="G224" i="1"/>
  <c r="F212" i="1"/>
  <c r="G212" i="1"/>
  <c r="F200" i="1"/>
  <c r="G200" i="1"/>
  <c r="F188" i="1"/>
  <c r="G188" i="1"/>
  <c r="F176" i="1"/>
  <c r="G176" i="1"/>
  <c r="F164" i="1"/>
  <c r="G164" i="1"/>
  <c r="F152" i="1"/>
  <c r="G152" i="1"/>
  <c r="F140" i="1"/>
  <c r="G140" i="1"/>
  <c r="F128" i="1"/>
  <c r="G128" i="1"/>
  <c r="F116" i="1"/>
  <c r="G116" i="1"/>
  <c r="F104" i="1"/>
  <c r="G104" i="1"/>
  <c r="F92" i="1"/>
  <c r="G92" i="1"/>
  <c r="F80" i="1"/>
  <c r="G80" i="1"/>
  <c r="F68" i="1"/>
  <c r="G68" i="1"/>
  <c r="F56" i="1"/>
  <c r="G56" i="1"/>
  <c r="F44" i="1"/>
  <c r="G44" i="1"/>
  <c r="F32" i="1"/>
  <c r="G32" i="1"/>
  <c r="F20" i="1"/>
  <c r="G20" i="1"/>
  <c r="F8" i="1"/>
  <c r="G8" i="1"/>
  <c r="G1710" i="1"/>
  <c r="G1424" i="1"/>
  <c r="G1257" i="1"/>
  <c r="G1233" i="1"/>
  <c r="G1209" i="1"/>
  <c r="G1185" i="1"/>
  <c r="G1161" i="1"/>
  <c r="G1137" i="1"/>
  <c r="G1113" i="1"/>
  <c r="G1089" i="1"/>
  <c r="G1065" i="1"/>
  <c r="G1041" i="1"/>
  <c r="G329" i="1"/>
  <c r="G233" i="1"/>
  <c r="G137" i="1"/>
  <c r="G41" i="1"/>
  <c r="F1015" i="1"/>
  <c r="G1015" i="1"/>
  <c r="F1003" i="1"/>
  <c r="G1003" i="1"/>
  <c r="F991" i="1"/>
  <c r="G991" i="1"/>
  <c r="F979" i="1"/>
  <c r="G979" i="1"/>
  <c r="F967" i="1"/>
  <c r="G967" i="1"/>
  <c r="F955" i="1"/>
  <c r="G955" i="1"/>
  <c r="F943" i="1"/>
  <c r="G943" i="1"/>
  <c r="F931" i="1"/>
  <c r="G931" i="1"/>
  <c r="F919" i="1"/>
  <c r="G919" i="1"/>
  <c r="F907" i="1"/>
  <c r="G907" i="1"/>
  <c r="F895" i="1"/>
  <c r="G895" i="1"/>
  <c r="F883" i="1"/>
  <c r="G883" i="1"/>
  <c r="F871" i="1"/>
  <c r="G871" i="1"/>
  <c r="F859" i="1"/>
  <c r="G859" i="1"/>
  <c r="F847" i="1"/>
  <c r="G847" i="1"/>
  <c r="F835" i="1"/>
  <c r="G835" i="1"/>
  <c r="F823" i="1"/>
  <c r="G823" i="1"/>
  <c r="F811" i="1"/>
  <c r="G811" i="1"/>
  <c r="F799" i="1"/>
  <c r="G799" i="1"/>
  <c r="F787" i="1"/>
  <c r="G787" i="1"/>
  <c r="F775" i="1"/>
  <c r="G775" i="1"/>
  <c r="F763" i="1"/>
  <c r="G763" i="1"/>
  <c r="F751" i="1"/>
  <c r="G751" i="1"/>
  <c r="F739" i="1"/>
  <c r="G739" i="1"/>
  <c r="F727" i="1"/>
  <c r="G727" i="1"/>
  <c r="F715" i="1"/>
  <c r="G715" i="1"/>
  <c r="F703" i="1"/>
  <c r="G703" i="1"/>
  <c r="F691" i="1"/>
  <c r="G691" i="1"/>
  <c r="F679" i="1"/>
  <c r="G679" i="1"/>
  <c r="F667" i="1"/>
  <c r="G667" i="1"/>
  <c r="F655" i="1"/>
  <c r="G655" i="1"/>
  <c r="F643" i="1"/>
  <c r="G643" i="1"/>
  <c r="F631" i="1"/>
  <c r="G631" i="1"/>
  <c r="F619" i="1"/>
  <c r="G619" i="1"/>
  <c r="F607" i="1"/>
  <c r="G607" i="1"/>
  <c r="F595" i="1"/>
  <c r="G595" i="1"/>
  <c r="F583" i="1"/>
  <c r="G583" i="1"/>
  <c r="F571" i="1"/>
  <c r="G571" i="1"/>
  <c r="F559" i="1"/>
  <c r="G559" i="1"/>
  <c r="F547" i="1"/>
  <c r="G547" i="1"/>
  <c r="F535" i="1"/>
  <c r="G535" i="1"/>
  <c r="F523" i="1"/>
  <c r="G523" i="1"/>
  <c r="F511" i="1"/>
  <c r="G511" i="1"/>
  <c r="F499" i="1"/>
  <c r="G499" i="1"/>
  <c r="F487" i="1"/>
  <c r="G487" i="1"/>
  <c r="F475" i="1"/>
  <c r="G475" i="1"/>
  <c r="F463" i="1"/>
  <c r="G463" i="1"/>
  <c r="F451" i="1"/>
  <c r="G451" i="1"/>
  <c r="F439" i="1"/>
  <c r="G439" i="1"/>
  <c r="F427" i="1"/>
  <c r="G427" i="1"/>
  <c r="F415" i="1"/>
  <c r="G415" i="1"/>
  <c r="F403" i="1"/>
  <c r="G403" i="1"/>
  <c r="F391" i="1"/>
  <c r="G391" i="1"/>
  <c r="F379" i="1"/>
  <c r="G379" i="1"/>
  <c r="F367" i="1"/>
  <c r="G367" i="1"/>
  <c r="F355" i="1"/>
  <c r="G355" i="1"/>
  <c r="F343" i="1"/>
  <c r="G343" i="1"/>
  <c r="F331" i="1"/>
  <c r="G331" i="1"/>
  <c r="F319" i="1"/>
  <c r="G319" i="1"/>
  <c r="F307" i="1"/>
  <c r="G307" i="1"/>
  <c r="F295" i="1"/>
  <c r="G295" i="1"/>
  <c r="F283" i="1"/>
  <c r="G283" i="1"/>
  <c r="F271" i="1"/>
  <c r="G271" i="1"/>
  <c r="F259" i="1"/>
  <c r="G259" i="1"/>
  <c r="F247" i="1"/>
  <c r="G247" i="1"/>
  <c r="F235" i="1"/>
  <c r="G235" i="1"/>
  <c r="F223" i="1"/>
  <c r="G223" i="1"/>
  <c r="F211" i="1"/>
  <c r="G211" i="1"/>
  <c r="F199" i="1"/>
  <c r="G199" i="1"/>
  <c r="F187" i="1"/>
  <c r="G187" i="1"/>
  <c r="F175" i="1"/>
  <c r="G175" i="1"/>
  <c r="F163" i="1"/>
  <c r="G163" i="1"/>
  <c r="F151" i="1"/>
  <c r="G151" i="1"/>
  <c r="F139" i="1"/>
  <c r="G139" i="1"/>
  <c r="F127" i="1"/>
  <c r="G127" i="1"/>
  <c r="F115" i="1"/>
  <c r="G115" i="1"/>
  <c r="F103" i="1"/>
  <c r="G103" i="1"/>
  <c r="F91" i="1"/>
  <c r="G91" i="1"/>
  <c r="F79" i="1"/>
  <c r="G79" i="1"/>
  <c r="F67" i="1"/>
  <c r="G67" i="1"/>
  <c r="F55" i="1"/>
  <c r="G55" i="1"/>
  <c r="F43" i="1"/>
  <c r="G43" i="1"/>
  <c r="F31" i="1"/>
  <c r="G31" i="1"/>
  <c r="F19" i="1"/>
  <c r="G19" i="1"/>
  <c r="F7" i="1"/>
  <c r="G7" i="1"/>
  <c r="G1484" i="1"/>
  <c r="G1423" i="1"/>
  <c r="G1400" i="1"/>
  <c r="G1376" i="1"/>
  <c r="G1352" i="1"/>
  <c r="G1328" i="1"/>
  <c r="G1304" i="1"/>
  <c r="G1280" i="1"/>
  <c r="G1256" i="1"/>
  <c r="G1232" i="1"/>
  <c r="G1208" i="1"/>
  <c r="G1184" i="1"/>
  <c r="G1160" i="1"/>
  <c r="G1136" i="1"/>
  <c r="G1112" i="1"/>
  <c r="G1088" i="1"/>
  <c r="G1064" i="1"/>
  <c r="G1040" i="1"/>
  <c r="G998" i="1"/>
  <c r="G902" i="1"/>
  <c r="G806" i="1"/>
  <c r="G710" i="1"/>
  <c r="G614" i="1"/>
  <c r="G518" i="1"/>
  <c r="G422" i="1"/>
  <c r="G326" i="1"/>
  <c r="G230" i="1"/>
  <c r="G134" i="1"/>
  <c r="G38" i="1"/>
  <c r="F1686" i="1"/>
  <c r="G1686" i="1"/>
  <c r="F1674" i="1"/>
  <c r="G1674" i="1"/>
  <c r="F1662" i="1"/>
  <c r="G1662" i="1"/>
  <c r="F1650" i="1"/>
  <c r="G1650" i="1"/>
  <c r="F1638" i="1"/>
  <c r="G1638" i="1"/>
  <c r="F1626" i="1"/>
  <c r="G1626" i="1"/>
  <c r="F1614" i="1"/>
  <c r="G1614" i="1"/>
  <c r="F1602" i="1"/>
  <c r="G1602" i="1"/>
  <c r="F1590" i="1"/>
  <c r="G1590" i="1"/>
  <c r="F1578" i="1"/>
  <c r="G1578" i="1"/>
  <c r="F1566" i="1"/>
  <c r="G1566" i="1"/>
  <c r="F1554" i="1"/>
  <c r="G1554" i="1"/>
  <c r="F1542" i="1"/>
  <c r="G1542" i="1"/>
  <c r="F1530" i="1"/>
  <c r="G1530" i="1"/>
  <c r="F1518" i="1"/>
  <c r="G1518" i="1"/>
  <c r="F1506" i="1"/>
  <c r="G1506" i="1"/>
  <c r="F1494" i="1"/>
  <c r="G1494" i="1"/>
  <c r="F1482" i="1"/>
  <c r="G1482" i="1"/>
  <c r="F1470" i="1"/>
  <c r="G1470" i="1"/>
  <c r="F1458" i="1"/>
  <c r="G1458" i="1"/>
  <c r="F1446" i="1"/>
  <c r="G1446" i="1"/>
  <c r="F1434" i="1"/>
  <c r="G1434" i="1"/>
  <c r="F1422" i="1"/>
  <c r="G1422" i="1"/>
  <c r="F1410" i="1"/>
  <c r="G1410" i="1"/>
  <c r="F1398" i="1"/>
  <c r="G1398" i="1"/>
  <c r="F1386" i="1"/>
  <c r="G1386" i="1"/>
  <c r="F1374" i="1"/>
  <c r="G1374" i="1"/>
  <c r="F1362" i="1"/>
  <c r="G1362" i="1"/>
  <c r="F1350" i="1"/>
  <c r="G1350" i="1"/>
  <c r="F1338" i="1"/>
  <c r="G1338" i="1"/>
  <c r="F1326" i="1"/>
  <c r="G1326" i="1"/>
  <c r="F1314" i="1"/>
  <c r="G1314" i="1"/>
  <c r="F1302" i="1"/>
  <c r="G1302" i="1"/>
  <c r="F1290" i="1"/>
  <c r="G1290" i="1"/>
  <c r="F1278" i="1"/>
  <c r="G1278" i="1"/>
  <c r="F1266" i="1"/>
  <c r="G1266" i="1"/>
  <c r="F1254" i="1"/>
  <c r="G1254" i="1"/>
  <c r="F1242" i="1"/>
  <c r="G1242" i="1"/>
  <c r="F1230" i="1"/>
  <c r="G1230" i="1"/>
  <c r="F1218" i="1"/>
  <c r="G1218" i="1"/>
  <c r="F1206" i="1"/>
  <c r="G1206" i="1"/>
  <c r="F1194" i="1"/>
  <c r="G1194" i="1"/>
  <c r="F1182" i="1"/>
  <c r="G1182" i="1"/>
  <c r="F1170" i="1"/>
  <c r="G1170" i="1"/>
  <c r="F1158" i="1"/>
  <c r="G1158" i="1"/>
  <c r="F1146" i="1"/>
  <c r="G1146" i="1"/>
  <c r="F1134" i="1"/>
  <c r="G1134" i="1"/>
  <c r="F1122" i="1"/>
  <c r="G1122" i="1"/>
  <c r="F1110" i="1"/>
  <c r="G1110" i="1"/>
  <c r="F1098" i="1"/>
  <c r="G1098" i="1"/>
  <c r="F1086" i="1"/>
  <c r="G1086" i="1"/>
  <c r="F1074" i="1"/>
  <c r="G1074" i="1"/>
  <c r="F1062" i="1"/>
  <c r="G1062" i="1"/>
  <c r="F1050" i="1"/>
  <c r="G1050" i="1"/>
  <c r="F1038" i="1"/>
  <c r="G1038" i="1"/>
  <c r="F1026" i="1"/>
  <c r="G1026" i="1"/>
  <c r="F1014" i="1"/>
  <c r="G1014" i="1"/>
  <c r="F1002" i="1"/>
  <c r="G1002" i="1"/>
  <c r="F990" i="1"/>
  <c r="G990" i="1"/>
  <c r="F978" i="1"/>
  <c r="G978" i="1"/>
  <c r="F966" i="1"/>
  <c r="G966" i="1"/>
  <c r="F954" i="1"/>
  <c r="G954" i="1"/>
  <c r="F942" i="1"/>
  <c r="G942" i="1"/>
  <c r="F930" i="1"/>
  <c r="G930" i="1"/>
  <c r="F918" i="1"/>
  <c r="G918" i="1"/>
  <c r="F906" i="1"/>
  <c r="G906" i="1"/>
  <c r="F894" i="1"/>
  <c r="G894" i="1"/>
  <c r="F882" i="1"/>
  <c r="G882" i="1"/>
  <c r="F870" i="1"/>
  <c r="G870" i="1"/>
  <c r="F858" i="1"/>
  <c r="G858" i="1"/>
  <c r="F846" i="1"/>
  <c r="G846" i="1"/>
  <c r="F834" i="1"/>
  <c r="G834" i="1"/>
  <c r="F822" i="1"/>
  <c r="G822" i="1"/>
  <c r="F810" i="1"/>
  <c r="G810" i="1"/>
  <c r="F798" i="1"/>
  <c r="G798" i="1"/>
  <c r="F786" i="1"/>
  <c r="G786" i="1"/>
  <c r="F774" i="1"/>
  <c r="G774" i="1"/>
  <c r="F762" i="1"/>
  <c r="G762" i="1"/>
  <c r="F750" i="1"/>
  <c r="G750" i="1"/>
  <c r="F738" i="1"/>
  <c r="G738" i="1"/>
  <c r="F726" i="1"/>
  <c r="G726" i="1"/>
  <c r="F714" i="1"/>
  <c r="G714" i="1"/>
  <c r="F702" i="1"/>
  <c r="G702" i="1"/>
  <c r="F690" i="1"/>
  <c r="G690" i="1"/>
  <c r="F678" i="1"/>
  <c r="G678" i="1"/>
  <c r="F666" i="1"/>
  <c r="G666" i="1"/>
  <c r="F654" i="1"/>
  <c r="G654" i="1"/>
  <c r="F642" i="1"/>
  <c r="G642" i="1"/>
  <c r="F630" i="1"/>
  <c r="G630" i="1"/>
  <c r="F618" i="1"/>
  <c r="G618" i="1"/>
  <c r="F606" i="1"/>
  <c r="G606" i="1"/>
  <c r="F594" i="1"/>
  <c r="G594" i="1"/>
  <c r="F582" i="1"/>
  <c r="G582" i="1"/>
  <c r="F570" i="1"/>
  <c r="G570" i="1"/>
  <c r="F558" i="1"/>
  <c r="G558" i="1"/>
  <c r="F546" i="1"/>
  <c r="G546" i="1"/>
  <c r="F534" i="1"/>
  <c r="G534" i="1"/>
  <c r="F522" i="1"/>
  <c r="G522" i="1"/>
  <c r="F510" i="1"/>
  <c r="G510" i="1"/>
  <c r="F498" i="1"/>
  <c r="G498" i="1"/>
  <c r="F486" i="1"/>
  <c r="G486" i="1"/>
  <c r="F474" i="1"/>
  <c r="G474" i="1"/>
  <c r="F462" i="1"/>
  <c r="G462" i="1"/>
  <c r="F450" i="1"/>
  <c r="G450" i="1"/>
  <c r="F438" i="1"/>
  <c r="G438" i="1"/>
  <c r="F426" i="1"/>
  <c r="G426" i="1"/>
  <c r="F414" i="1"/>
  <c r="G414" i="1"/>
  <c r="F402" i="1"/>
  <c r="G402" i="1"/>
  <c r="F390" i="1"/>
  <c r="G390" i="1"/>
  <c r="F378" i="1"/>
  <c r="G378" i="1"/>
  <c r="F366" i="1"/>
  <c r="G366" i="1"/>
  <c r="F354" i="1"/>
  <c r="G354" i="1"/>
  <c r="F342" i="1"/>
  <c r="G342" i="1"/>
  <c r="F330" i="1"/>
  <c r="G330" i="1"/>
  <c r="F318" i="1"/>
  <c r="G318" i="1"/>
  <c r="F306" i="1"/>
  <c r="G306" i="1"/>
  <c r="F294" i="1"/>
  <c r="G294" i="1"/>
  <c r="F282" i="1"/>
  <c r="G282" i="1"/>
  <c r="F270" i="1"/>
  <c r="G270" i="1"/>
  <c r="F258" i="1"/>
  <c r="G258" i="1"/>
  <c r="F246" i="1"/>
  <c r="G246" i="1"/>
  <c r="F234" i="1"/>
  <c r="G234" i="1"/>
  <c r="F222" i="1"/>
  <c r="G222" i="1"/>
  <c r="F210" i="1"/>
  <c r="G210" i="1"/>
  <c r="F198" i="1"/>
  <c r="G198" i="1"/>
  <c r="F186" i="1"/>
  <c r="G186" i="1"/>
  <c r="F174" i="1"/>
  <c r="G174" i="1"/>
  <c r="F162" i="1"/>
  <c r="G162" i="1"/>
  <c r="F150" i="1"/>
  <c r="G150" i="1"/>
  <c r="F138" i="1"/>
  <c r="G138" i="1"/>
  <c r="F126" i="1"/>
  <c r="G126" i="1"/>
  <c r="F114" i="1"/>
  <c r="G114" i="1"/>
  <c r="F102" i="1"/>
  <c r="G102" i="1"/>
  <c r="F90" i="1"/>
  <c r="G90" i="1"/>
  <c r="F78" i="1"/>
  <c r="G78" i="1"/>
  <c r="F66" i="1"/>
  <c r="G66" i="1"/>
  <c r="F54" i="1"/>
  <c r="G54" i="1"/>
  <c r="F42" i="1"/>
  <c r="G42" i="1"/>
  <c r="F30" i="1"/>
  <c r="G30" i="1"/>
  <c r="F18" i="1"/>
  <c r="G18" i="1"/>
  <c r="F6" i="1"/>
  <c r="G6" i="1"/>
  <c r="G1483" i="1"/>
  <c r="G1399" i="1"/>
  <c r="G1375" i="1"/>
  <c r="G1351" i="1"/>
  <c r="G1327" i="1"/>
  <c r="G1303" i="1"/>
  <c r="G1279" i="1"/>
  <c r="G1255" i="1"/>
  <c r="G1231" i="1"/>
  <c r="G1207" i="1"/>
  <c r="G1183" i="1"/>
  <c r="G1159" i="1"/>
  <c r="G1135" i="1"/>
  <c r="G1111" i="1"/>
  <c r="G1087" i="1"/>
  <c r="G1063" i="1"/>
  <c r="G1039" i="1"/>
  <c r="G994" i="1"/>
  <c r="G898" i="1"/>
  <c r="G802" i="1"/>
  <c r="G706" i="1"/>
  <c r="G610" i="1"/>
  <c r="G514" i="1"/>
  <c r="G418" i="1"/>
  <c r="G322" i="1"/>
  <c r="G226" i="1"/>
  <c r="G130" i="1"/>
  <c r="G34" i="1"/>
  <c r="F365" i="1"/>
  <c r="G365" i="1"/>
  <c r="F353" i="1"/>
  <c r="G353" i="1"/>
  <c r="F341" i="1"/>
  <c r="G341" i="1"/>
  <c r="F317" i="1"/>
  <c r="G317" i="1"/>
  <c r="F305" i="1"/>
  <c r="G305" i="1"/>
  <c r="F293" i="1"/>
  <c r="G293" i="1"/>
  <c r="F269" i="1"/>
  <c r="G269" i="1"/>
  <c r="F257" i="1"/>
  <c r="G257" i="1"/>
  <c r="F245" i="1"/>
  <c r="G245" i="1"/>
  <c r="F221" i="1"/>
  <c r="G221" i="1"/>
  <c r="F209" i="1"/>
  <c r="G209" i="1"/>
  <c r="F197" i="1"/>
  <c r="G197" i="1"/>
  <c r="F173" i="1"/>
  <c r="G173" i="1"/>
  <c r="F161" i="1"/>
  <c r="G161" i="1"/>
  <c r="F149" i="1"/>
  <c r="G149" i="1"/>
  <c r="F125" i="1"/>
  <c r="G125" i="1"/>
  <c r="F113" i="1"/>
  <c r="G113" i="1"/>
  <c r="F101" i="1"/>
  <c r="G101" i="1"/>
  <c r="F77" i="1"/>
  <c r="G77" i="1"/>
  <c r="F65" i="1"/>
  <c r="G65" i="1"/>
  <c r="F53" i="1"/>
  <c r="G53" i="1"/>
  <c r="F29" i="1"/>
  <c r="G29" i="1"/>
  <c r="F17" i="1"/>
  <c r="G17" i="1"/>
  <c r="F5" i="1"/>
  <c r="G5" i="1"/>
  <c r="G1460" i="1"/>
  <c r="G986" i="1"/>
  <c r="G890" i="1"/>
  <c r="G794" i="1"/>
  <c r="G698" i="1"/>
  <c r="G602" i="1"/>
  <c r="G506" i="1"/>
  <c r="G410" i="1"/>
  <c r="G314" i="1"/>
  <c r="G218" i="1"/>
  <c r="G122" i="1"/>
  <c r="G26" i="1"/>
  <c r="F1756" i="1"/>
  <c r="G1756" i="1"/>
  <c r="F1744" i="1"/>
  <c r="G1744" i="1"/>
  <c r="F1732" i="1"/>
  <c r="G1732" i="1"/>
  <c r="F1720" i="1"/>
  <c r="G1720" i="1"/>
  <c r="F1708" i="1"/>
  <c r="G1708" i="1"/>
  <c r="F1696" i="1"/>
  <c r="G1696" i="1"/>
  <c r="F1684" i="1"/>
  <c r="G1684" i="1"/>
  <c r="F1672" i="1"/>
  <c r="G1672" i="1"/>
  <c r="F1660" i="1"/>
  <c r="G1660" i="1"/>
  <c r="F1648" i="1"/>
  <c r="G1648" i="1"/>
  <c r="F1636" i="1"/>
  <c r="G1636" i="1"/>
  <c r="F1624" i="1"/>
  <c r="G1624" i="1"/>
  <c r="F1612" i="1"/>
  <c r="G1612" i="1"/>
  <c r="F1600" i="1"/>
  <c r="G1600" i="1"/>
  <c r="F1588" i="1"/>
  <c r="G1588" i="1"/>
  <c r="F1576" i="1"/>
  <c r="G1576" i="1"/>
  <c r="F1564" i="1"/>
  <c r="G1564" i="1"/>
  <c r="F1552" i="1"/>
  <c r="G1552" i="1"/>
  <c r="F1540" i="1"/>
  <c r="G1540" i="1"/>
  <c r="F1528" i="1"/>
  <c r="G1528" i="1"/>
  <c r="F1516" i="1"/>
  <c r="G1516" i="1"/>
  <c r="F1504" i="1"/>
  <c r="G1504" i="1"/>
  <c r="F1492" i="1"/>
  <c r="G1492" i="1"/>
  <c r="F1480" i="1"/>
  <c r="G1480" i="1"/>
  <c r="F1468" i="1"/>
  <c r="G1468" i="1"/>
  <c r="F1456" i="1"/>
  <c r="G1456" i="1"/>
  <c r="F1444" i="1"/>
  <c r="G1444" i="1"/>
  <c r="F1432" i="1"/>
  <c r="G1432" i="1"/>
  <c r="F1420" i="1"/>
  <c r="G1420" i="1"/>
  <c r="F1408" i="1"/>
  <c r="G1408" i="1"/>
  <c r="F1396" i="1"/>
  <c r="G1396" i="1"/>
  <c r="F1384" i="1"/>
  <c r="G1384" i="1"/>
  <c r="F1372" i="1"/>
  <c r="G1372" i="1"/>
  <c r="F1360" i="1"/>
  <c r="G1360" i="1"/>
  <c r="F1348" i="1"/>
  <c r="G1348" i="1"/>
  <c r="F1336" i="1"/>
  <c r="G1336" i="1"/>
  <c r="F1324" i="1"/>
  <c r="G1324" i="1"/>
  <c r="F1312" i="1"/>
  <c r="G1312" i="1"/>
  <c r="F1300" i="1"/>
  <c r="G1300" i="1"/>
  <c r="F1288" i="1"/>
  <c r="G1288" i="1"/>
  <c r="F1276" i="1"/>
  <c r="G1276" i="1"/>
  <c r="F1264" i="1"/>
  <c r="G1264" i="1"/>
  <c r="F1252" i="1"/>
  <c r="G1252" i="1"/>
  <c r="F1240" i="1"/>
  <c r="G1240" i="1"/>
  <c r="F1228" i="1"/>
  <c r="G1228" i="1"/>
  <c r="F1216" i="1"/>
  <c r="G1216" i="1"/>
  <c r="F1204" i="1"/>
  <c r="G1204" i="1"/>
  <c r="F1192" i="1"/>
  <c r="G1192" i="1"/>
  <c r="F1180" i="1"/>
  <c r="G1180" i="1"/>
  <c r="F1168" i="1"/>
  <c r="G1168" i="1"/>
  <c r="F1156" i="1"/>
  <c r="G1156" i="1"/>
  <c r="F1144" i="1"/>
  <c r="G1144" i="1"/>
  <c r="F1132" i="1"/>
  <c r="G1132" i="1"/>
  <c r="F1120" i="1"/>
  <c r="G1120" i="1"/>
  <c r="F1108" i="1"/>
  <c r="G1108" i="1"/>
  <c r="F1096" i="1"/>
  <c r="G1096" i="1"/>
  <c r="F1084" i="1"/>
  <c r="G1084" i="1"/>
  <c r="F1072" i="1"/>
  <c r="G1072" i="1"/>
  <c r="F1060" i="1"/>
  <c r="G1060" i="1"/>
  <c r="F1048" i="1"/>
  <c r="G1048" i="1"/>
  <c r="F1036" i="1"/>
  <c r="G1036" i="1"/>
  <c r="F1024" i="1"/>
  <c r="G1024" i="1"/>
  <c r="F1012" i="1"/>
  <c r="G1012" i="1"/>
  <c r="F1000" i="1"/>
  <c r="G1000" i="1"/>
  <c r="F988" i="1"/>
  <c r="G988" i="1"/>
  <c r="F976" i="1"/>
  <c r="G976" i="1"/>
  <c r="F964" i="1"/>
  <c r="G964" i="1"/>
  <c r="F952" i="1"/>
  <c r="G952" i="1"/>
  <c r="F940" i="1"/>
  <c r="G940" i="1"/>
  <c r="F928" i="1"/>
  <c r="G928" i="1"/>
  <c r="F916" i="1"/>
  <c r="G916" i="1"/>
  <c r="F904" i="1"/>
  <c r="G904" i="1"/>
  <c r="F892" i="1"/>
  <c r="G892" i="1"/>
  <c r="F880" i="1"/>
  <c r="G880" i="1"/>
  <c r="F868" i="1"/>
  <c r="G868" i="1"/>
  <c r="F856" i="1"/>
  <c r="G856" i="1"/>
  <c r="F844" i="1"/>
  <c r="G844" i="1"/>
  <c r="F832" i="1"/>
  <c r="G832" i="1"/>
  <c r="F820" i="1"/>
  <c r="G820" i="1"/>
  <c r="F808" i="1"/>
  <c r="G808" i="1"/>
  <c r="F796" i="1"/>
  <c r="G796" i="1"/>
  <c r="F784" i="1"/>
  <c r="G784" i="1"/>
  <c r="F772" i="1"/>
  <c r="G772" i="1"/>
  <c r="F760" i="1"/>
  <c r="G760" i="1"/>
  <c r="F748" i="1"/>
  <c r="G748" i="1"/>
  <c r="F736" i="1"/>
  <c r="G736" i="1"/>
  <c r="F724" i="1"/>
  <c r="G724" i="1"/>
  <c r="F712" i="1"/>
  <c r="G712" i="1"/>
  <c r="F700" i="1"/>
  <c r="G700" i="1"/>
  <c r="F688" i="1"/>
  <c r="G688" i="1"/>
  <c r="F676" i="1"/>
  <c r="G676" i="1"/>
  <c r="F664" i="1"/>
  <c r="G664" i="1"/>
  <c r="F652" i="1"/>
  <c r="G652" i="1"/>
  <c r="F640" i="1"/>
  <c r="G640" i="1"/>
  <c r="F628" i="1"/>
  <c r="G628" i="1"/>
  <c r="F616" i="1"/>
  <c r="G616" i="1"/>
  <c r="F604" i="1"/>
  <c r="G604" i="1"/>
  <c r="F592" i="1"/>
  <c r="G592" i="1"/>
  <c r="F580" i="1"/>
  <c r="G580" i="1"/>
  <c r="F568" i="1"/>
  <c r="G568" i="1"/>
  <c r="F556" i="1"/>
  <c r="G556" i="1"/>
  <c r="F544" i="1"/>
  <c r="G544" i="1"/>
  <c r="F532" i="1"/>
  <c r="G532" i="1"/>
  <c r="F520" i="1"/>
  <c r="G520" i="1"/>
  <c r="F508" i="1"/>
  <c r="G508" i="1"/>
  <c r="F496" i="1"/>
  <c r="G496" i="1"/>
  <c r="F484" i="1"/>
  <c r="G484" i="1"/>
  <c r="F472" i="1"/>
  <c r="G472" i="1"/>
  <c r="F460" i="1"/>
  <c r="G460" i="1"/>
  <c r="F448" i="1"/>
  <c r="G448" i="1"/>
  <c r="F436" i="1"/>
  <c r="G436" i="1"/>
  <c r="F424" i="1"/>
  <c r="G424" i="1"/>
  <c r="F412" i="1"/>
  <c r="G412" i="1"/>
  <c r="F400" i="1"/>
  <c r="G400" i="1"/>
  <c r="F388" i="1"/>
  <c r="G388" i="1"/>
  <c r="F376" i="1"/>
  <c r="G376" i="1"/>
  <c r="F364" i="1"/>
  <c r="G364" i="1"/>
  <c r="F352" i="1"/>
  <c r="G352" i="1"/>
  <c r="F340" i="1"/>
  <c r="G340" i="1"/>
  <c r="F328" i="1"/>
  <c r="G328" i="1"/>
  <c r="F316" i="1"/>
  <c r="G316" i="1"/>
  <c r="F304" i="1"/>
  <c r="G304" i="1"/>
  <c r="F292" i="1"/>
  <c r="G292" i="1"/>
  <c r="F280" i="1"/>
  <c r="G280" i="1"/>
  <c r="F268" i="1"/>
  <c r="G268" i="1"/>
  <c r="F256" i="1"/>
  <c r="G256" i="1"/>
  <c r="F244" i="1"/>
  <c r="G244" i="1"/>
  <c r="F232" i="1"/>
  <c r="G232" i="1"/>
  <c r="F220" i="1"/>
  <c r="G220" i="1"/>
  <c r="F208" i="1"/>
  <c r="G208" i="1"/>
  <c r="F196" i="1"/>
  <c r="G196" i="1"/>
  <c r="F184" i="1"/>
  <c r="G184" i="1"/>
  <c r="F172" i="1"/>
  <c r="G172" i="1"/>
  <c r="F160" i="1"/>
  <c r="G160" i="1"/>
  <c r="F148" i="1"/>
  <c r="G148" i="1"/>
  <c r="F136" i="1"/>
  <c r="G136" i="1"/>
  <c r="F124" i="1"/>
  <c r="G124" i="1"/>
  <c r="F112" i="1"/>
  <c r="G112" i="1"/>
  <c r="F100" i="1"/>
  <c r="G100" i="1"/>
  <c r="F88" i="1"/>
  <c r="G88" i="1"/>
  <c r="F76" i="1"/>
  <c r="G76" i="1"/>
  <c r="F64" i="1"/>
  <c r="G64" i="1"/>
  <c r="F52" i="1"/>
  <c r="G52" i="1"/>
  <c r="F40" i="1"/>
  <c r="G40" i="1"/>
  <c r="F28" i="1"/>
  <c r="G28" i="1"/>
  <c r="F16" i="1"/>
  <c r="G16" i="1"/>
  <c r="F4" i="1"/>
  <c r="G4" i="1"/>
  <c r="G1722" i="1"/>
  <c r="G1459" i="1"/>
  <c r="G970" i="1"/>
  <c r="G874" i="1"/>
  <c r="G778" i="1"/>
  <c r="G682" i="1"/>
  <c r="G586" i="1"/>
  <c r="G490" i="1"/>
  <c r="G394" i="1"/>
  <c r="G298" i="1"/>
  <c r="G202" i="1"/>
  <c r="G106" i="1"/>
  <c r="G10" i="1"/>
  <c r="G2" i="1"/>
</calcChain>
</file>

<file path=xl/sharedStrings.xml><?xml version="1.0" encoding="utf-8"?>
<sst xmlns="http://schemas.openxmlformats.org/spreadsheetml/2006/main" count="4702" uniqueCount="2240">
  <si>
    <t>product_id</t>
  </si>
  <si>
    <t>seller_id</t>
  </si>
  <si>
    <t>price</t>
  </si>
  <si>
    <t>freight_value</t>
  </si>
  <si>
    <t>4244733e06e7ecb4970a6e2683c13e61</t>
  </si>
  <si>
    <t>48436dade18ac8b2bce089ec2a041202</t>
  </si>
  <si>
    <t>e5f2d52b802189ee658865ca93d83a8f</t>
  </si>
  <si>
    <t>dd7ddc04e1b6c2c614352b383efe2d36</t>
  </si>
  <si>
    <t>c777355d18b72b67abbeef9df44fd0fd</t>
  </si>
  <si>
    <t>5b51032eddd242adc84c38acab88f23d</t>
  </si>
  <si>
    <t>7634da152a4610f1595efa32f14722fc</t>
  </si>
  <si>
    <t>9d7a1d34a5052409006425275ba1c2b4</t>
  </si>
  <si>
    <t>ac6c3623068f30de03045865e4e10089</t>
  </si>
  <si>
    <t>df560393f3a51e74553ab94004ba5c87</t>
  </si>
  <si>
    <t>ef92defde845ab8450f9d70c526ef70f</t>
  </si>
  <si>
    <t>6426d21aca402a131fc0a5d0960a3c90</t>
  </si>
  <si>
    <t>8d4f2bb7e93e6710a28f34fa83ee7d28</t>
  </si>
  <si>
    <t>7040e82f899a04d1b434b795a43b4617</t>
  </si>
  <si>
    <t>557d850972a7d6f792fd18ae1400d9b6</t>
  </si>
  <si>
    <t>5996cddab893a4652a15592fb58ab8db</t>
  </si>
  <si>
    <t>310ae3c140ff94b03219ad0adc3c778f</t>
  </si>
  <si>
    <t>a416b6a846a11724393025641d4edd5e</t>
  </si>
  <si>
    <t>4535b0e1091c278dfd193e5a1d63b39f</t>
  </si>
  <si>
    <t>ba143b05f0110f0dc71ad71b4466ce92</t>
  </si>
  <si>
    <t>d63c1011f49d98b976c352955b1c4bea</t>
  </si>
  <si>
    <t>cc419e0650a3c5ba77189a1882b7556a</t>
  </si>
  <si>
    <t>f177554ea93259a5b282f24e33f65ab6</t>
  </si>
  <si>
    <t>8602a61d680a10a82cceeeda0d99ea3d</t>
  </si>
  <si>
    <t>99a4788cb24856965c36a24e339b6058</t>
  </si>
  <si>
    <t>4a3ca9315b744ce9f8e9374361493884</t>
  </si>
  <si>
    <t>368c6c730842d78016ad823897a372db</t>
  </si>
  <si>
    <t>1f50f920176fa81dab994f9023523100</t>
  </si>
  <si>
    <t>8cab8abac59158715e0d70a36c807415</t>
  </si>
  <si>
    <t>530ec6109d11eaaf87999465c6afee01</t>
  </si>
  <si>
    <t>3f27ac8e699df3d300ec4a5d8c5cf0b2</t>
  </si>
  <si>
    <t>fcb5ace8bcc92f75707dc0f01a27d269</t>
  </si>
  <si>
    <t>4fa33915031a8cde03dd0d3e8fb27f01</t>
  </si>
  <si>
    <t>fe2032dab1a61af8794248c8196565c9</t>
  </si>
  <si>
    <t>b50c950aba0dcead2c48032a690ce817</t>
  </si>
  <si>
    <t>218d46b86c1881d022bce9c68a7d4b15</t>
  </si>
  <si>
    <t>5ed9eaf534f6936b51d0b6c5e4d5c2e9</t>
  </si>
  <si>
    <t>8cbac7e12637ed9cffa18c7875207478</t>
  </si>
  <si>
    <t>553e0e7590d3116a072507a3635d2877</t>
  </si>
  <si>
    <t>1c129092bf23f28a5930387c980c0dfc</t>
  </si>
  <si>
    <t>57d79905de06d8897872c551bfd09358</t>
  </si>
  <si>
    <t>ea8482cd71df3c1969d7b9473ff13abc</t>
  </si>
  <si>
    <t>1c05e0964302b6cf68ca0d15f326c6ba</t>
  </si>
  <si>
    <t>7c67e1448b00f6e969d365cea6b010ab</t>
  </si>
  <si>
    <t>5d7c23067ed3fc8c6e699b9373d5890b</t>
  </si>
  <si>
    <t>6560211a19b47992c3666cc44a7e94c0</t>
  </si>
  <si>
    <t>5a419dbf24a8c9718fe522b81c69f61a</t>
  </si>
  <si>
    <t>3504c0cb71d7fa48d967e0e4c94d59d9</t>
  </si>
  <si>
    <t>21b1c2f67a9aafb5af0eb06c13b9dbda</t>
  </si>
  <si>
    <t>c864036feaab8c1659f65ea4faebe1da</t>
  </si>
  <si>
    <t>c389f712c4b4510bc997cee93e8b1a28</t>
  </si>
  <si>
    <t>bfd27a966d91cfaafdb25d076585f0da</t>
  </si>
  <si>
    <t>1c0c0093a48f13ba70d0c6b0a9157cb7</t>
  </si>
  <si>
    <t>41b39e28db005d9731d9d485a83b4c38</t>
  </si>
  <si>
    <t>89321f94e35fc6d7903d36f74e351d40</t>
  </si>
  <si>
    <t>16090f2ca825584b5a147ab24aa30c86</t>
  </si>
  <si>
    <t>38afdf723b95d455b418a0f57d623c6b</t>
  </si>
  <si>
    <t>1554a68530182680ad5c8b042c3ab563</t>
  </si>
  <si>
    <t>672e757f331900b9deea127a2a7b79fd</t>
  </si>
  <si>
    <t>e59aa562b9f8076dd550fcddf0e73491</t>
  </si>
  <si>
    <t>28b4eced95a52d9c437a4caf9d311b95</t>
  </si>
  <si>
    <t>77530e9772f57a62c906e1c21538ab82</t>
  </si>
  <si>
    <t>e95ee6822b66ac6058e2e4aff656071a</t>
  </si>
  <si>
    <t>a17f621c590ea0fab3d5d883e1630ec6</t>
  </si>
  <si>
    <t>23365beed316535b4105bd800c46670e</t>
  </si>
  <si>
    <t>92eb0f42c21942b6552362b9b114707d</t>
  </si>
  <si>
    <t>50fd2b788dc166edd20512370dac54df</t>
  </si>
  <si>
    <t>8b321bb669392f5163d04c59e235e066</t>
  </si>
  <si>
    <t>b10eba910a974df70b8a12d0665cdb9e</t>
  </si>
  <si>
    <t>a3e9a2c700480d9bb01fba070ba80a0e</t>
  </si>
  <si>
    <t>4089861a1bd4685da70bddd6b4f974f1</t>
  </si>
  <si>
    <t>a35124e2d763d7ca3fbe3b97d143200f</t>
  </si>
  <si>
    <t>fe59a1e006df3ac42bf0ceb876d70969</t>
  </si>
  <si>
    <t>25c5c91f63607446a97b143d2d535d31</t>
  </si>
  <si>
    <t>c6dd917a0be2a704582055949915ab32</t>
  </si>
  <si>
    <t>7a67c85e85bb2ce8582c35f2203ad736</t>
  </si>
  <si>
    <t>0b0172eb0fd18479d29c3bc122c058c2</t>
  </si>
  <si>
    <t>5656537e588803a555b8eb41f07a944b</t>
  </si>
  <si>
    <t>dbaee28f4ee64465838a229582d77520</t>
  </si>
  <si>
    <t>ffc470761de7d0232558ba5e786e57b7</t>
  </si>
  <si>
    <t>dbb67791e405873b259e4656bf971246</t>
  </si>
  <si>
    <t>9c0e69c7bf2619675bbadf47b43f655a</t>
  </si>
  <si>
    <t>84f456958365164420cfc80fbe4c7fab</t>
  </si>
  <si>
    <t>e67307ff0f15ade43fcb6e670be7a74c</t>
  </si>
  <si>
    <t>f4aba7c0bca51484c30ab7bdc34bcdd1</t>
  </si>
  <si>
    <t>30c01cc81c9eb80469371743813789cc</t>
  </si>
  <si>
    <t>f45122a9ab94eb4f3f8953578bc0c560</t>
  </si>
  <si>
    <t>777d2e438a1b645f3aec9bd57e92672c</t>
  </si>
  <si>
    <t>884fa3cd42986ba480ea2f8ae4e25ff7</t>
  </si>
  <si>
    <t>3340ef1913fb70d28420f6ceb685c339</t>
  </si>
  <si>
    <t>bdcf6a834e8faa30dac3886c7a58e92e</t>
  </si>
  <si>
    <t>2a84855fd20af891be03bc5924d2b453</t>
  </si>
  <si>
    <t>a5341e3f8155dbb3e62323d3ea289729</t>
  </si>
  <si>
    <t>ff063b022a9a0aab91bad2c9088760b7</t>
  </si>
  <si>
    <t>e19ddcc85537b41f22116c8d5425ef46</t>
  </si>
  <si>
    <t>8a32e327fe2c1b3511609d81aaf9f042</t>
  </si>
  <si>
    <t>e6b6e13cf71449a457269f425b89dc74</t>
  </si>
  <si>
    <t>b2ba3715d723d245138f291a6fe42594</t>
  </si>
  <si>
    <t>13fcfc313dfb2217e5ee3000a702f9ef</t>
  </si>
  <si>
    <t>c3cfdc648177fdbbbb35635a37472c53</t>
  </si>
  <si>
    <t>4e3f399366b0047a572b6682f9bb166e</t>
  </si>
  <si>
    <t>5f3ae9136c875522250f8184f253413a</t>
  </si>
  <si>
    <t>18901878788fec7ddc55e64d1ace8187</t>
  </si>
  <si>
    <t>e8b4225284fbb02d16f200513f1f395d</t>
  </si>
  <si>
    <t>0c4d0a08f95c7b7dc5dc7402bfdafd4c</t>
  </si>
  <si>
    <t>9f505651f4a6abe901a56cdc21508025</t>
  </si>
  <si>
    <t>35537536ed2b4c561b4018bf3abf54e0</t>
  </si>
  <si>
    <t>955fee9216a65b617aa5c0531780ce60</t>
  </si>
  <si>
    <t>fe077ec80df6b4ee60bb4498d5ab1962</t>
  </si>
  <si>
    <t>87142160b41353c4e5fca2360caf6f92</t>
  </si>
  <si>
    <t>430d215740da7fdda91cc938f8fd92f6</t>
  </si>
  <si>
    <t>0887a9f087bcd5d9f6642b52f897fc6c</t>
  </si>
  <si>
    <t>892832da5b05b0f54578e1f14f193c22</t>
  </si>
  <si>
    <t>12b9676b00f60f3b700e83af21824c0e</t>
  </si>
  <si>
    <t>6490b9f63b0b595e1c1402b46b0f50ad</t>
  </si>
  <si>
    <t>99eaacc9e6046db1c82b163c5f84869f</t>
  </si>
  <si>
    <t>71c89e9d8fa274b017279aa322cd0e19</t>
  </si>
  <si>
    <t>8f78f0903005064036736c7173a5c2ed</t>
  </si>
  <si>
    <t>df3655ac9aa8c6cbfa63bdd8d3b09c50</t>
  </si>
  <si>
    <t>059344baebbeaa42fa9f2bbe11b1583e</t>
  </si>
  <si>
    <t>d9bdf643d95cb89844c0da1a0df1d16e</t>
  </si>
  <si>
    <t>058fd0aa2bfdb2274e05e1ae971dabb6</t>
  </si>
  <si>
    <t>7614c62b86a81021243e438cfde78ccc</t>
  </si>
  <si>
    <t>900ba814c251a692506d7834c1218441</t>
  </si>
  <si>
    <t>01c666c82f414c762ad21bffa56e8b49</t>
  </si>
  <si>
    <t>d3dcf0604eabf0224fbd5948b5e02f69</t>
  </si>
  <si>
    <t>c2ece64199af7a53793ed9612a89a8cd</t>
  </si>
  <si>
    <t>6c7d50c24b3ccd2fd83b44d8bb34e073</t>
  </si>
  <si>
    <t>cc47c0863559499f01b4cad750929d10</t>
  </si>
  <si>
    <t>a6f449f6257f26e556013151cee46b4b</t>
  </si>
  <si>
    <t>b1a81260566c1bac3114a6d124413f27</t>
  </si>
  <si>
    <t>2d9ff06c8870a518f5f6909774e140fb</t>
  </si>
  <si>
    <t>00720abe85ba0859807595bbf045a33b</t>
  </si>
  <si>
    <t>97c58626cc3e15d514d2095f69650220</t>
  </si>
  <si>
    <t>d54c5b81fc2b38707588dd4eddc7c594</t>
  </si>
  <si>
    <t>0241d4d5d36f10f80c644447315af0bd</t>
  </si>
  <si>
    <t>9eae06d51aaa383b2bed5547a19d581c</t>
  </si>
  <si>
    <t>1835b56ce799e6a4dc4eddc053f04066</t>
  </si>
  <si>
    <t>d41dc2f2979f52d75d78714b378d4068</t>
  </si>
  <si>
    <t>7299e27ed73d2ad986de7f7c77d919fa</t>
  </si>
  <si>
    <t>880be32f4db1d9f6e2bec38fb6ac23ab</t>
  </si>
  <si>
    <t>fa40cc5b934574b62717c68f3d678b6d</t>
  </si>
  <si>
    <t>ae27a5524edb2c8dc4656c670f458fb7</t>
  </si>
  <si>
    <t>8e6cc767478edae941d9bd9eb778d77a</t>
  </si>
  <si>
    <t>bd7cab8de4d7943286634023cc06f8ff</t>
  </si>
  <si>
    <t>855668e0971d4dfd7bef1b6a4133b41b</t>
  </si>
  <si>
    <t>c8e7c2ef329fcda4a233e7e2f8bb8b7d</t>
  </si>
  <si>
    <t>a2deecd5398f5df4987110c80a1972a3</t>
  </si>
  <si>
    <t>54e5063e43f27f747d592eb24e913150</t>
  </si>
  <si>
    <t>0dd184061fb0eaa7ca37932c68ab91c5</t>
  </si>
  <si>
    <t>08279c494018541f71443c07d77560f8</t>
  </si>
  <si>
    <t>e333046ce6517bd8bb510291d44f0130</t>
  </si>
  <si>
    <t>2b939dc9b176d7fa21594d588815d4a4</t>
  </si>
  <si>
    <t>dbc22125167c298ef99da25668e1011f</t>
  </si>
  <si>
    <t>87b08e712cc4c9fe70984c5a24b29e2f</t>
  </si>
  <si>
    <t>f00e21b1e91a79653163b7fd8f293ff1</t>
  </si>
  <si>
    <t>e1bf2f209fd2b08e1af3ed71732d9008</t>
  </si>
  <si>
    <t>70c27847eca8195c983ed7e798c56743</t>
  </si>
  <si>
    <t>1f9799a175f50c9fa725984775cac5c5</t>
  </si>
  <si>
    <t>cfb1a033743668a192316f3c6d1d2671</t>
  </si>
  <si>
    <t>13944d17b257432717fd260e69853140</t>
  </si>
  <si>
    <t>84904413b82eee333a3f79137e8d197e</t>
  </si>
  <si>
    <t>23c38debaffe4a25a30fdbd9b586a13f</t>
  </si>
  <si>
    <t>0f2fd0a589cb7849c1dbedbd4109c2f8</t>
  </si>
  <si>
    <t>516e7738bd8f735ac19a010ee5450d8d</t>
  </si>
  <si>
    <t>8a6187b2665118d5095f99a25fd7ba7a</t>
  </si>
  <si>
    <t>ec02a5d380128f7a188e9ce8f3ddd832</t>
  </si>
  <si>
    <t>8444e55c1f13cd5c179851e5ca5ebd00</t>
  </si>
  <si>
    <t>71a5f1c2a5fd9889ef26b5ac22aec9c6</t>
  </si>
  <si>
    <t>537eb890efff034a88679788b647c564</t>
  </si>
  <si>
    <t>4c1bbc12438daec98a77243c2bf7a3ba</t>
  </si>
  <si>
    <t>3a264b078bf20e98f315ff65c23fa263</t>
  </si>
  <si>
    <t>46dc3b2cc0980fb8ec44634e21d2718e</t>
  </si>
  <si>
    <t>38fa750a3a3b3204f169c86a3284d387</t>
  </si>
  <si>
    <t>99e71b776debf2f01a69dce207e3e4f8</t>
  </si>
  <si>
    <t>c54679b132454625907c773d273d4126</t>
  </si>
  <si>
    <t>62984ea1bba7fcea1f5b57084d3bf885</t>
  </si>
  <si>
    <t>a4d286543a67e29c930c99cbd7a55a8f</t>
  </si>
  <si>
    <t>b410bdd36d5db7a65dcd42b7ead933b8</t>
  </si>
  <si>
    <t>452f66a0f164cac57802e2cea93188ac</t>
  </si>
  <si>
    <t>f80edd2c5aaa505cc4b0a3b219abf4b8</t>
  </si>
  <si>
    <t>fadc89c2a60ff96b18827644074dfd70</t>
  </si>
  <si>
    <t>53e4c6e0f4312d4d2107a8c9cddf45cd</t>
  </si>
  <si>
    <t>db886bd83f6a076a2caeb7fd02722c35</t>
  </si>
  <si>
    <t>8e6d7754bc7e0f22c96d255ebda59eba</t>
  </si>
  <si>
    <t>41402af2a88247152583bb812ba235dd</t>
  </si>
  <si>
    <t>4869f7a5dfa277a7dca6462dcf3b52b2</t>
  </si>
  <si>
    <t>3fbc0ef745950c7932d5f2a446189725</t>
  </si>
  <si>
    <t>06a2c3af7b3aee5d69171b0e14f0ee87</t>
  </si>
  <si>
    <t>500870614ddcf5bd84f7d26861026c8a</t>
  </si>
  <si>
    <t>ef506c96320abeedfb894c34db06f478</t>
  </si>
  <si>
    <t>656e0eca68dcecf6a31b8ececfabe3e8</t>
  </si>
  <si>
    <t>0b90b6df587eb83608a64ea8b390cf07</t>
  </si>
  <si>
    <t>4bc3ab2ff016887e619e587a993af3bf</t>
  </si>
  <si>
    <t>7e93a43ef30c4f03f38b393420bc753a</t>
  </si>
  <si>
    <t>53b36df67ebb7c41585e8d54d6772e08</t>
  </si>
  <si>
    <t>7d13fca15225358621be4086e1eb0964</t>
  </si>
  <si>
    <t>3f14d740544f37ece8a9e7bc8349797e</t>
  </si>
  <si>
    <t>f457c46070d02cadd8a68551231220dd</t>
  </si>
  <si>
    <t>8b5632d7a4f86bd2f1331355305427e6</t>
  </si>
  <si>
    <t>624f4ece8da4aafb77699233d480f8ef</t>
  </si>
  <si>
    <t>5e21d5cab5d33e770d8150a4ee6117db</t>
  </si>
  <si>
    <t>d0fb1e667e989933a80444f93da833c0</t>
  </si>
  <si>
    <t>0be8ff43f22e456b4e0371b2245e4d01</t>
  </si>
  <si>
    <t>01cf56cd6138b926a4802d16fc304149</t>
  </si>
  <si>
    <t>06e5eefc71ec47ae763c5c6f8db7064f</t>
  </si>
  <si>
    <t>9545d45c37449ccbc376de3a04c66e71</t>
  </si>
  <si>
    <t>431af27f296bc6519d890aa5a05fdb11</t>
  </si>
  <si>
    <t>86a11a09edde2267675505fc4d56d9b0</t>
  </si>
  <si>
    <t>3db66a856d18a9cba7c9241fc5221c50</t>
  </si>
  <si>
    <t>19f0917ba5781b978298ffcd9ae225c1</t>
  </si>
  <si>
    <t>43f8c9950d11ecd03a0304a49e010da6</t>
  </si>
  <si>
    <t>ff6caf9340512b8bf6d2a2a6df032cfa</t>
  </si>
  <si>
    <t>38e6dada03429a47197d5d584d793b41</t>
  </si>
  <si>
    <t>9df0e8a7eef2a38b74e6d5c0e224b11f</t>
  </si>
  <si>
    <t>a9c404971d1a5b1cbc2e4070e02731fd</t>
  </si>
  <si>
    <t>702835e4b785b67a084280efca355756</t>
  </si>
  <si>
    <t>389d119b48cf3043d311335e499d9c6b</t>
  </si>
  <si>
    <t>c589625c8ccc7bfd2e8f1fb041e24c4a</t>
  </si>
  <si>
    <t>c70c1b0d8ca86052f45a432a38b73958</t>
  </si>
  <si>
    <t>8c5876b1c7768217964f353bc7e64393</t>
  </si>
  <si>
    <t>0db783cfcd3b73998abc6e10e59a102f</t>
  </si>
  <si>
    <t>cd71c76f5ab15f51f24fb214fc42d8ab</t>
  </si>
  <si>
    <t>620c87c171fb2a6dd6e8bb4dec959fc6</t>
  </si>
  <si>
    <t>28a652ff04e43c1bc57937a9f8770f9b</t>
  </si>
  <si>
    <t>3d871de0142ce09b7081e2b9d1733cb1</t>
  </si>
  <si>
    <t>0c753fe6a58dfa7a27bda5de76e779c3</t>
  </si>
  <si>
    <t>7586919161935337bf6b6d7ff5779648</t>
  </si>
  <si>
    <t>5a848e4ab52fd5445cdc07aab1c40e48</t>
  </si>
  <si>
    <t>c826c40d7b19f62a09e2d7c5e7295ee2</t>
  </si>
  <si>
    <t>68c923fddf7f83316b53252eaf830724</t>
  </si>
  <si>
    <t>601a360bd2a916ecef0e88de72a6531a</t>
  </si>
  <si>
    <t>0c4a0f8ab44f9acd2d04e7024f9ba362</t>
  </si>
  <si>
    <t>7210cd29727d674c00741e5e387b3ccd</t>
  </si>
  <si>
    <t>d1c427060a0f73f6b889a5c7c61f2ac4</t>
  </si>
  <si>
    <t>a1043bafd471dff536d0c462352beb48</t>
  </si>
  <si>
    <t>41eee23c25f7a574dfaf8d5c151dbb12</t>
  </si>
  <si>
    <t>e5a3438891c0bfdb9394643f95273d8e</t>
  </si>
  <si>
    <t>8695c431b31927efef5343e675f279e7</t>
  </si>
  <si>
    <t>d9c01b484ada6a360c2715a08fdf1568</t>
  </si>
  <si>
    <t>7202e2ba20579a9bd1acb29e61fe71f6</t>
  </si>
  <si>
    <t>bd6e8cf9fe4122c385da2bcb9f979d5d</t>
  </si>
  <si>
    <t>4e922959ae960d389249c378d1c939f5</t>
  </si>
  <si>
    <t>2948658cb6abc82847412be7201bfc4c</t>
  </si>
  <si>
    <t>7e6c4a0bf900e259f50ba63331fd2785</t>
  </si>
  <si>
    <t>381169576b9f3c083a1c3261da161a3b</t>
  </si>
  <si>
    <t>8c16d1f32a54d92897cc437244442e1b</t>
  </si>
  <si>
    <t>7e97894cc00196a56d6ec315c68b2353</t>
  </si>
  <si>
    <t>7008613ea464bad5cb9b83456e1e6a8f</t>
  </si>
  <si>
    <t>fb7a100ec8c7b34f60cec22b1a9a10e0</t>
  </si>
  <si>
    <t>d98eec89afa3380e14463da2aabaea72</t>
  </si>
  <si>
    <t>4c3ae5db49258df0784827bdacf3b396</t>
  </si>
  <si>
    <t>03bb24d19ea7449ce170e0888d830707</t>
  </si>
  <si>
    <t>e9bc59e7b60fc3063eb2290deda4cced</t>
  </si>
  <si>
    <t>f9259c9e7c0f12c70f7a81409680a5ff</t>
  </si>
  <si>
    <t>32a8448d1612773bcfd0c5a8dd235e4e</t>
  </si>
  <si>
    <t>86ccac0b835037332a596a33b6949ee1</t>
  </si>
  <si>
    <t>3d514fecadf6cef40a2a32a3c20cd1c8</t>
  </si>
  <si>
    <t>23d7c96d4a1160db1c726b248601b25a</t>
  </si>
  <si>
    <t>f819f0c84a64f02d3a5606ca95edd272</t>
  </si>
  <si>
    <t>fa11ecd35f999783e96ac500532d9d45</t>
  </si>
  <si>
    <t>2e90cb1677d35cfe24eef47d441b7c87</t>
  </si>
  <si>
    <t>7d187801885842645486f00fb166f378</t>
  </si>
  <si>
    <t>d91fb3b7d041e83b64a00a3edfb37e4f</t>
  </si>
  <si>
    <t>205604b962ebdae1c924e0d14e6e8ac1</t>
  </si>
  <si>
    <t>1b938a7ec6ac5061a66a3766e0e75f90</t>
  </si>
  <si>
    <t>2fb0efd1f61f186ffdda9e8ec70f27f2</t>
  </si>
  <si>
    <t>1d8dbc4f32378d715c717c1c1fc57bae</t>
  </si>
  <si>
    <t>02ed3b595447e948efc3eac897e4df0e</t>
  </si>
  <si>
    <t>640e21a7d01df7614a3b4923e990d40c</t>
  </si>
  <si>
    <t>2f763ba79d9cd987b2034aac7ceffe06</t>
  </si>
  <si>
    <t>822bad9bc42b51213ba522fe87b7ab5d</t>
  </si>
  <si>
    <t>71bdf1a4d18c3cd68f108547f0b4cd1c</t>
  </si>
  <si>
    <t>6fc26fe110feebd80a433e1f012a84f9</t>
  </si>
  <si>
    <t>525f8fbde09c9bf777025c3141fbbc6e</t>
  </si>
  <si>
    <t>735413ccfa564132a231aad945ef85ad</t>
  </si>
  <si>
    <t>5b67882648febfb6e1225e6ad7164f6b</t>
  </si>
  <si>
    <t>e53e557d5a159f5aa2c5e995dfdf244b</t>
  </si>
  <si>
    <t>88460e8ebdecbfecb5f9601833981930</t>
  </si>
  <si>
    <t>b20004b530789d5db586f589da0ef3e3</t>
  </si>
  <si>
    <t>afa6714acee029b2dfdf357e5579cc03</t>
  </si>
  <si>
    <t>e10758160da97891c2fdcbc35f0f031d</t>
  </si>
  <si>
    <t>323ce52b5b81df2cd804b017b7f09aa7</t>
  </si>
  <si>
    <t>83d199d296c44101c8c3b5c9c0cce9ea</t>
  </si>
  <si>
    <t>850f4f8af5ea87287ac68de36e29107f</t>
  </si>
  <si>
    <t>1ec486885049bbb9b79351d150ed18c4</t>
  </si>
  <si>
    <t>cab85505710c7cb9b720bceb52b01cee</t>
  </si>
  <si>
    <t>85d619318aa201aca57171aabeed0048</t>
  </si>
  <si>
    <t>cea729054f157f5870bdd321a958d994</t>
  </si>
  <si>
    <t>02475368dfb38934fe55f574024fe1d7</t>
  </si>
  <si>
    <t>08574b074924071f4e201e151b152b4e</t>
  </si>
  <si>
    <t>001cca7ae9ae17fb1caed9dfb1094831</t>
  </si>
  <si>
    <t>8474d936fee23f0c45620cc2022871cc</t>
  </si>
  <si>
    <t>2528513dd95219a6013d4d05176e391a</t>
  </si>
  <si>
    <t>aacfae7cd4bac4849766f640abf2db8a</t>
  </si>
  <si>
    <t>729b2d09b2a0bdab221076327f13d050</t>
  </si>
  <si>
    <t>31a2f42a87890f87d77daebdfabc182e</t>
  </si>
  <si>
    <t>4c03b9dd4c11ee2cb35c96c49efc9420</t>
  </si>
  <si>
    <t>00ffe57f0110d73fd84d162252b2c784</t>
  </si>
  <si>
    <t>0f80705139ce16ea35bb489987399b55</t>
  </si>
  <si>
    <t>de23c3b98a88888289c6f5cc1209054a</t>
  </si>
  <si>
    <t>526f833e1eb0a32ad9351145a761b9ab</t>
  </si>
  <si>
    <t>bfc0d01be79d9038c7720f983bf954e0</t>
  </si>
  <si>
    <t>634964b17796e64304cadf1ad3050fb7</t>
  </si>
  <si>
    <t>85b8a24337b4e2571f8fee38f4253a06</t>
  </si>
  <si>
    <t>c3867b4666c7d76867627c2f7fb22e21</t>
  </si>
  <si>
    <t>f9d774a1820f792952eea079a40a7c6b</t>
  </si>
  <si>
    <t>2709af9587499e95e803a6498a5a56e9</t>
  </si>
  <si>
    <t>722f84416177a451c3be217ef8ffa082</t>
  </si>
  <si>
    <t>cca3071e3e9bb7d12640c9fbe2301306</t>
  </si>
  <si>
    <t>19421075ae0b585f2dc13ff149e2119d</t>
  </si>
  <si>
    <t>4c2b230173bb36f9b240f2b8ac11786e</t>
  </si>
  <si>
    <t>0ec7b6a863e219792bc4d50d3a62a839</t>
  </si>
  <si>
    <t>1e8b33f18b4f7598d87f5cbee2282cc2</t>
  </si>
  <si>
    <t>ce130b350f529a1d6288f927da7404ea</t>
  </si>
  <si>
    <t>e38db885400cd35c71dfd162f2c1dbcf</t>
  </si>
  <si>
    <t>15c30c08ae39469fbf52befff9569adb</t>
  </si>
  <si>
    <t>779559842fc122d55edbd03153f35e81</t>
  </si>
  <si>
    <t>f8db351d8c4c4c22c6835c19a46f01b0</t>
  </si>
  <si>
    <t>e819fddd6622f30e872bfc89471c1408</t>
  </si>
  <si>
    <t>7139dc5186aa238b006e066d8fbab2e4</t>
  </si>
  <si>
    <t>2083a6feb4bbb31f6abc92fc24e468c0</t>
  </si>
  <si>
    <t>e1c0a39b7f806727ea5121c60035ed3c</t>
  </si>
  <si>
    <t>96493fab2fbb13a14d0c0e8772eef5c3</t>
  </si>
  <si>
    <t>1d417ca09479182e9fdf13a1c77c309f</t>
  </si>
  <si>
    <t>54965bbe3e4f07ae045b90b0b8541f52</t>
  </si>
  <si>
    <t>7340a3839a1de1e99d149b8cf052a2ec</t>
  </si>
  <si>
    <t>a963ea4d494221de09b70f1b4a70edbd</t>
  </si>
  <si>
    <t>bd0389da23d89b726abf911cccc54596</t>
  </si>
  <si>
    <t>e40fa115d27ea4a80bf2136d5f0cfcd7</t>
  </si>
  <si>
    <t>22d65c4f3ab25834df12163a3403da32</t>
  </si>
  <si>
    <t>62c89abe1afe3a23c17765d462718a4c</t>
  </si>
  <si>
    <t>57f2bc497c1a3ebe41ba7a06d78ed159</t>
  </si>
  <si>
    <t>eb8dbe7d2dd22ab3547925e49a78feb3</t>
  </si>
  <si>
    <t>a8115d34a4b7b74388da609692162c37</t>
  </si>
  <si>
    <t>85d9eb9ddc5d00ca9336a2219c97bb13</t>
  </si>
  <si>
    <t>5b3aa845bba5aa7ba1216e36ae882cfa</t>
  </si>
  <si>
    <t>8b28d096634035667e8263d57ba3368c</t>
  </si>
  <si>
    <t>016711f78a6a87696645db0a6a834826</t>
  </si>
  <si>
    <t>a5cba26a62b8b4d0145b68b841e62e7f</t>
  </si>
  <si>
    <t>f71a7c95a86564873cd996896b2976f6</t>
  </si>
  <si>
    <t>52a8061c8e8e8cea30b41344aac26431</t>
  </si>
  <si>
    <t>2e1c9f22be269ef4643f826c9e650a52</t>
  </si>
  <si>
    <t>77fdeb8d4f7502f75b6779205f30a875</t>
  </si>
  <si>
    <t>3b872fd4747f01cc56206f2934198618</t>
  </si>
  <si>
    <t>efec0b0b076ce3f164b80145743ebc02</t>
  </si>
  <si>
    <t>1da3aeb70d7989d1e6d9b0e887f97c23</t>
  </si>
  <si>
    <t>d5f1f35337b832cc42168c69511e311d</t>
  </si>
  <si>
    <t>6a8b085f816a1f75f92dbac6eb545f8f</t>
  </si>
  <si>
    <t>7583d9a579408cb84bbc7b0e4548ec18</t>
  </si>
  <si>
    <t>7ad32824caee82087b3e2e5f33b1bf32</t>
  </si>
  <si>
    <t>fa28f114992077c601cdb9810c5108a4</t>
  </si>
  <si>
    <t>23f91e3d76be3938bfad0ff292392502</t>
  </si>
  <si>
    <t>1690cada046eb7e92c12f98b1f8a8167</t>
  </si>
  <si>
    <t>f23c48d81cd6a0c87f5c3b14aac68371</t>
  </si>
  <si>
    <t>ebd2d60905fb58271facef5596b620d3</t>
  </si>
  <si>
    <t>bf06a69bb27c58156391de458700f3e7</t>
  </si>
  <si>
    <t>cbecf0dca7a42c56c9ad9e20c74af1fd</t>
  </si>
  <si>
    <t>688756f717c462a206ad854c5027a64a</t>
  </si>
  <si>
    <t>a50acd33ba7a8da8e9db65094fa990a4</t>
  </si>
  <si>
    <t>8581055ce74af1daba164fdbd55a40de</t>
  </si>
  <si>
    <t>4dcb49b9ca7e48d2f108d40caa77caa2</t>
  </si>
  <si>
    <t>5cf13accae3222c70a9cac40818ae839</t>
  </si>
  <si>
    <t>9bb2d066e4b33b624cbdfec7d50b3dcb</t>
  </si>
  <si>
    <t>0ea04fc101523a27bb53845d14d7d809</t>
  </si>
  <si>
    <t>8648b1e89e9b349e32d3741b30ec737e</t>
  </si>
  <si>
    <t>d64e758afad411049a45e42c9a259241</t>
  </si>
  <si>
    <t>5670f4db5b62c43d542e1b2d56b0cf7c</t>
  </si>
  <si>
    <t>b596e2d70dd2f5fb5ff9ee2a1c803e5b</t>
  </si>
  <si>
    <t>464383c22e65860826cf78650fe0f4e4</t>
  </si>
  <si>
    <t>e8c6039a25765995ac7c1ec2cbef5765</t>
  </si>
  <si>
    <t>55782cb82e0efe052da0a3da237da3b2</t>
  </si>
  <si>
    <t>c003204e1ab016dfa150abc119207b24</t>
  </si>
  <si>
    <t>ee3e94e918d05a5da04a4cb547e91dcc</t>
  </si>
  <si>
    <t>17e34d8224d27a541263c4c64b11a56b</t>
  </si>
  <si>
    <t>eaa26a34984cbfedc19b1e45f09f3c9a</t>
  </si>
  <si>
    <t>18a349e75d307f4b4cc646a691ed4216</t>
  </si>
  <si>
    <t>dfbbf137ccb6af48e66d186a33118579</t>
  </si>
  <si>
    <t>56e361f411e38dcef17cdc2a3d99628b</t>
  </si>
  <si>
    <t>b6397895a17ce86decd60b898b459796</t>
  </si>
  <si>
    <t>7901646fdd36a55f564ffaf2dbccaaf7</t>
  </si>
  <si>
    <t>636598095d69a5718e67d2c9a3c7dde6</t>
  </si>
  <si>
    <t>36826c711e5778c8d88a7311cc29c446</t>
  </si>
  <si>
    <t>2d50d6282f8aa2257819a77bfaa0efe0</t>
  </si>
  <si>
    <t>568ba441f7f464dc73d23a91cf8ca671</t>
  </si>
  <si>
    <t>06edb72f1e0c64b14c5b79353f7abea3</t>
  </si>
  <si>
    <t>391fc6631aebcf3004804e51b40bcf1e</t>
  </si>
  <si>
    <t>f3b8bfa5b86249e75e5c0632acc0e82e</t>
  </si>
  <si>
    <t>595fac2a385ac33a80bd5114aec74eb8</t>
  </si>
  <si>
    <t>ef0ace09169ac090589d85746e3e036f</t>
  </si>
  <si>
    <t>35557c68a22ecebcf066e25ca2ddc144</t>
  </si>
  <si>
    <t>1629b469d01aadb4f92644039ad17d5c</t>
  </si>
  <si>
    <t>519f3a4ea67cdce4923fbc76badd6bd2</t>
  </si>
  <si>
    <t>582d4f8675b945722eda7c0cb61ba4c7</t>
  </si>
  <si>
    <t>617186c3d97ea56c9c683a8a3974e8c1</t>
  </si>
  <si>
    <t>f7a17d2c51d9df89a4f1711c4ac17f33</t>
  </si>
  <si>
    <t>ecab3fa721d1b06c225f23c30f02eb5e</t>
  </si>
  <si>
    <t>e9779976487b77c6d4ac45f75ec7afe9</t>
  </si>
  <si>
    <t>fca62108387e25005784da2f551466a1</t>
  </si>
  <si>
    <t>31344c16881c08a8a72c6d2eb29918c1</t>
  </si>
  <si>
    <t>4834f24983a4f056e5ae64265f723aaf</t>
  </si>
  <si>
    <t>ee0c1cf2fbeae95205b4aa506f1469f0</t>
  </si>
  <si>
    <t>786248c98cab9ad5cccdb751909da1af</t>
  </si>
  <si>
    <t>0aabfb375647d9738ad0f7b4ea3653b1</t>
  </si>
  <si>
    <t>37515688008a7a40ac93e3b2e4ab203f</t>
  </si>
  <si>
    <t>f8b624d4e475bb8d1bddf1b65c6a64f6</t>
  </si>
  <si>
    <t>64d67d69ec57113ff99bbaab62ac1c53</t>
  </si>
  <si>
    <t>56cdfe67fbda57c1dcc752f5f361f981</t>
  </si>
  <si>
    <t>1c68394e931a64f90ea236c5ea590300</t>
  </si>
  <si>
    <t>33bd5538a16d23f0a39da1c9bfd20980</t>
  </si>
  <si>
    <t>94e93ce877be27a515118dbfd2c2be41</t>
  </si>
  <si>
    <t>6536314c94d43b787fc1c622941da14b</t>
  </si>
  <si>
    <t>2138ccb85b11a4ec1e37afbd1c8eda1f</t>
  </si>
  <si>
    <t>aca2eb7d00ea1a7b8ebd4e68314663af</t>
  </si>
  <si>
    <t>24a014458ccc6e989b4fcef5fa71da58</t>
  </si>
  <si>
    <t>76d75f398634bf194ba99d7297e7d1fa</t>
  </si>
  <si>
    <t>974cf2cb8f4b7add98709c30df02fe10</t>
  </si>
  <si>
    <t>e9f2586707fb45ea0f9997c54f585842</t>
  </si>
  <si>
    <t>0509040ea3fe50071181bbc359eb7738</t>
  </si>
  <si>
    <t>fcf64c72035fc6f17660bae96c933ffb</t>
  </si>
  <si>
    <t>c6336fa91fbd87c359e44f5dca5a90ed</t>
  </si>
  <si>
    <t>634256dbcd184b3757ffd7632c9fe52a</t>
  </si>
  <si>
    <t>42b729f859728f5079499127a9c2ef37</t>
  </si>
  <si>
    <t>224037b21bfa8621e39c265513ee6594</t>
  </si>
  <si>
    <t>ceaec5548eefc6e23e6607c5435102e7</t>
  </si>
  <si>
    <t>78efe838c04bbc568be034082200ac20</t>
  </si>
  <si>
    <t>8323a7adeb57da21acea7e83563bed90</t>
  </si>
  <si>
    <t>aba86c093ccdbac75b09111d57e50004</t>
  </si>
  <si>
    <t>5403528d987ad26e8d7cb25940411987</t>
  </si>
  <si>
    <t>66f09a6de4f2ef63aaf5349b60a0e0c0</t>
  </si>
  <si>
    <t>bf0d50a6410d487dc97d2baac0a8c0be</t>
  </si>
  <si>
    <t>1e1a186a03f0d98268516827690d4fd2</t>
  </si>
  <si>
    <t>a420f60ff1aa9acc80d0e42959f2b313</t>
  </si>
  <si>
    <t>eb883e95b710f252cb15d0fb41d8bbe9</t>
  </si>
  <si>
    <t>1025f0e2d44d7041d6cf58b6550e0bfa</t>
  </si>
  <si>
    <t>7e8067e7e5ce7aec0e2cb7c1a456d112</t>
  </si>
  <si>
    <t>0691148aee60ca47977c187804f935ae</t>
  </si>
  <si>
    <t>e0d64dcfaa3b6db5c54ca298ae101d05</t>
  </si>
  <si>
    <t>3552627a68384dc559f0fd4cce173269</t>
  </si>
  <si>
    <t>3c487ae8f8d7542beff5788e2e0aea83</t>
  </si>
  <si>
    <t>72d6074ef5c81ec3102b3f2a052c5f49</t>
  </si>
  <si>
    <t>edb1ef5e36e0c8cd84eb3c9b003e486d</t>
  </si>
  <si>
    <t>d9a5a5120d4d357871acd5408cb10e18</t>
  </si>
  <si>
    <t>20d83f3ef0e6925fd74bfd59170babf7</t>
  </si>
  <si>
    <t>0e40b1ed4cfd3da1962ec91913e54ba8</t>
  </si>
  <si>
    <t>e5bd04e8e3cb77f1a49404d588d3e528</t>
  </si>
  <si>
    <t>f7ccf836d21b2fb1de37564105216cc1</t>
  </si>
  <si>
    <t>ba05e2861971098fc7ecd8162c23452a</t>
  </si>
  <si>
    <t>d50d79cb34e38265a8649c383dcffd48</t>
  </si>
  <si>
    <t>87ea2f45559e10519513a20b24147316</t>
  </si>
  <si>
    <t>6a38087bc8ad4f89ff453561005f6dea</t>
  </si>
  <si>
    <t>5b4b8595bd33017cf3c87c8ab09c2e42</t>
  </si>
  <si>
    <t>ef30892870c278497523264be1be2241</t>
  </si>
  <si>
    <t>121b9686b9929855d823981fc655a6fe</t>
  </si>
  <si>
    <t>c4fb51fb1c5b7c07bc5e67be6e7e8f6e</t>
  </si>
  <si>
    <t>c075b8e131353552218860f1c421e4ef</t>
  </si>
  <si>
    <t>e7cc48a9daff5436f63d3aad9426f28b</t>
  </si>
  <si>
    <t>53243585a1d6dc2643021fd1853d8905</t>
  </si>
  <si>
    <t>cb3ad2d2499eebaa7ccb4fd1e7db9bc7</t>
  </si>
  <si>
    <t>437c05a395e9e47f9762e677a7068ce7</t>
  </si>
  <si>
    <t>bf84056e679dbe9c69929847a40e338f</t>
  </si>
  <si>
    <t>5d90b82ad1fdff812987fa28158b7984</t>
  </si>
  <si>
    <t>4a25d757ff72fad7534f478c90be77e6</t>
  </si>
  <si>
    <t>69455f41626a745aea9ee9164cb9eafd</t>
  </si>
  <si>
    <t>bce6a5ecf98e99fd2a8868b15c51f04b</t>
  </si>
  <si>
    <t>2b4609f8948be18874494203496bc318</t>
  </si>
  <si>
    <t>33fac76e7f17367dedaef7954bbb33b4</t>
  </si>
  <si>
    <t>56642bcb79900e777d68e91915cb4267</t>
  </si>
  <si>
    <t>6c90c0f6c2d89eb816b9e205b9d6a36a</t>
  </si>
  <si>
    <t>3bb548e3cb7f70f28e3f11ee9dce0e59</t>
  </si>
  <si>
    <t>b7d94dc0640c7025dc8e3b46b52d8239</t>
  </si>
  <si>
    <t>d143bf43abb18593fa8ed20cc990ae84</t>
  </si>
  <si>
    <t>55939df5d8d2b853fbc532bf8a00dc32</t>
  </si>
  <si>
    <t>1427b126f61597524866770b05d4eed2</t>
  </si>
  <si>
    <t>e70f7c188cd2c0f01a1f6b35411cc481</t>
  </si>
  <si>
    <t>cfbc837967ca671ee87f5243f2a1024d</t>
  </si>
  <si>
    <t>20566af10fda4783935b8cef249fa4c3</t>
  </si>
  <si>
    <t>d921b68bf747894be13a97ae52b0f386</t>
  </si>
  <si>
    <t>cdc9d87e17ccf98f35634e6c3b77073e</t>
  </si>
  <si>
    <t>4d6d651bd7684af3fffabd5f08d12e5a</t>
  </si>
  <si>
    <t>216bb0e0cd43ffd832e0973d35e0377e</t>
  </si>
  <si>
    <t>7289a8d65ae2c86dfdee27f8af257a3d</t>
  </si>
  <si>
    <t>13fa2a6c6b9d0f43cb588d7c82117a12</t>
  </si>
  <si>
    <t>7933eeb8cf79ae899bfac71c0edb076d</t>
  </si>
  <si>
    <t>b944aabf1fc45c01599ee96c7f4d533e</t>
  </si>
  <si>
    <t>128639473a139ac0f3e5f5ade55873a5</t>
  </si>
  <si>
    <t>c4cf7c2e1f190d51517eba7e8211c8e6</t>
  </si>
  <si>
    <t>f3295428338a40977a03f555246a70f4</t>
  </si>
  <si>
    <t>6131240aedf34224270cd6f07e8229e4</t>
  </si>
  <si>
    <t>6edacfd9f9074789dad6d62ba7950b9c</t>
  </si>
  <si>
    <t>e62d582ddb7630168d7227ca1f9edbd2</t>
  </si>
  <si>
    <t>1c56ffe0e9dea2657fc6e95b53f40b13</t>
  </si>
  <si>
    <t>f196248e8b5d060cca414a664ea9a76f</t>
  </si>
  <si>
    <t>91f0eec23d4a61d7d7caeefa3f0ad1ca</t>
  </si>
  <si>
    <t>adf591c625cb265c12bc6749d3a2f757</t>
  </si>
  <si>
    <t>8e7a3ee016b12c87b5e3e7e717620758</t>
  </si>
  <si>
    <t>ace05b62c79dffc86cd12b281dc05b93</t>
  </si>
  <si>
    <t>4e06067cc08b3f41d837768d392c3ee3</t>
  </si>
  <si>
    <t>c072e7b87c8413341505d50d8234fbc2</t>
  </si>
  <si>
    <t>5d66715cc928aadd0074f61332698593</t>
  </si>
  <si>
    <t>81e11b02560e506662f5d75a88b94fa5</t>
  </si>
  <si>
    <t>99a54764c341d5dc80b4a8fac4eba3fb</t>
  </si>
  <si>
    <t>4b2653088591de362e6ba85b4a474c75</t>
  </si>
  <si>
    <t>610f72e407cdd7caaa2f8167b0163fd8</t>
  </si>
  <si>
    <t>ef8856db4e302ad33dc4d91e40f7593c</t>
  </si>
  <si>
    <t>958cd4fc82ce0223c757f47bc9d67e23</t>
  </si>
  <si>
    <t>abbf6046bbdf1028606a5bc7f00c99e7</t>
  </si>
  <si>
    <t>2ffb8b836bb62d53a77a69a67814fffa</t>
  </si>
  <si>
    <t>1a0d662b65b5ef08796501b064c853af</t>
  </si>
  <si>
    <t>2e0dba2da448400b1c11d7b4b22f32a4</t>
  </si>
  <si>
    <t>a3f986f6c4400aa6545d224be435f812</t>
  </si>
  <si>
    <t>01cf7e3d21494c41fb86034f2e714fa1</t>
  </si>
  <si>
    <t>cebff45f1d1558430be0e07ac0df6a68</t>
  </si>
  <si>
    <t>79e42c4fa2bde6e0c828d23c4fb7df35</t>
  </si>
  <si>
    <t>6d66611d7c44cc30ce351abc49a68421</t>
  </si>
  <si>
    <t>101a896b1137f70a7bbb2b9fac61458d</t>
  </si>
  <si>
    <t>8c81af91a9b96d073ccaf0d3402ec5b2</t>
  </si>
  <si>
    <t>5bc237df65098fe211bb4818f4d26d78</t>
  </si>
  <si>
    <t>fec85e6c0eab9b4bcddf9ccd917c80bc</t>
  </si>
  <si>
    <t>c35498fbb4358837ae16850f50c3fd22</t>
  </si>
  <si>
    <t>70a12e78e608ac31179aea7f8422044b</t>
  </si>
  <si>
    <t>1809be4f054d8243278d6c83207696ee</t>
  </si>
  <si>
    <t>11bfa66332777660bd0640ee84d47006</t>
  </si>
  <si>
    <t>a60613d36f37a7b27d3344f40f6a7945</t>
  </si>
  <si>
    <t>ad420dd0c4f92f8af951ac24b86d0cf5</t>
  </si>
  <si>
    <t>702a14f9c5a93130c3346c4de901d864</t>
  </si>
  <si>
    <t>55029529919c0123526150bd26ca8f20</t>
  </si>
  <si>
    <t>23227b07fc69250d2fa4be6602011aea</t>
  </si>
  <si>
    <t>44fc450365728c413fefc547592626be</t>
  </si>
  <si>
    <t>b839e41795b7f3ad94cc2014a52f6796</t>
  </si>
  <si>
    <t>5fb8e63ae576fbfbd243c50c5ce74050</t>
  </si>
  <si>
    <t>f471a2281d25a1dbf3193dd5e969aa0f</t>
  </si>
  <si>
    <t>71a7800a633691de8ecdd17463335e2e</t>
  </si>
  <si>
    <t>616042729c11849827291496b18e9ec5</t>
  </si>
  <si>
    <t>6b243f80ed07b10f0e8aa0f21a205f3c</t>
  </si>
  <si>
    <t>eb2d12bc991561d4ca5deff0e60854e4</t>
  </si>
  <si>
    <t>fb8e60e1a3c247d3a2e17f6986e71a40</t>
  </si>
  <si>
    <t>9e6229250fedbe05838fef417b74e7fb</t>
  </si>
  <si>
    <t>7814c273ab16783d73a9863ebfa8b141</t>
  </si>
  <si>
    <t>a0450529bd974ebeaf93b1731184396a</t>
  </si>
  <si>
    <t>f8201cab383e484733266d1906e2fdfa</t>
  </si>
  <si>
    <t>a35a9f46dcee0a67c8c7ad8493eb4135</t>
  </si>
  <si>
    <t>6cdd53843498f92890544667809f1595</t>
  </si>
  <si>
    <t>ccc4bbb5f32a6ab2b7066a4130f114e3</t>
  </si>
  <si>
    <t>4fe644d766c7566dbc46fb851363cb3b</t>
  </si>
  <si>
    <t>c31eff8334d6b3047ed34bebd4d62c36</t>
  </si>
  <si>
    <t>c5b72065154ec27c2d1ed8a654c3348f</t>
  </si>
  <si>
    <t>b33e7c55446eabf8fe1a42d037ac7d6d</t>
  </si>
  <si>
    <t>4f3b83b83f7fb280fca4f90ba502f50e</t>
  </si>
  <si>
    <t>4cb6e86e1328e77e20b5f90771683cbe</t>
  </si>
  <si>
    <t>2e1963427978dab49b4bcb0a07b109cc</t>
  </si>
  <si>
    <t>2156f2671501a81034d7d07f217609d0</t>
  </si>
  <si>
    <t>8ec7eb9f181b55edfe7d45092c37a3ef</t>
  </si>
  <si>
    <t>c4989935ece6a2e0c0c148ede45f640e</t>
  </si>
  <si>
    <t>522620dcb18a6b31cd7bdf73665113a9</t>
  </si>
  <si>
    <t>11a0fdc4251f15bb96dbfff7ef5475eb</t>
  </si>
  <si>
    <t>b5adf7b72a7eb667aafd446581c35f3f</t>
  </si>
  <si>
    <t>183c95ad186f48c320bbac4643829d3f</t>
  </si>
  <si>
    <t>abc3432ff825d8e524db1d4eac6d2099</t>
  </si>
  <si>
    <t>8d956fec2e4337affcb520f56fd8cbfd</t>
  </si>
  <si>
    <t>76d1a1a9d21ab677a61c3ae34b1b352f</t>
  </si>
  <si>
    <t>9dae52e79d63184a0b32da87c5aabecf</t>
  </si>
  <si>
    <t>65e3848513c9ab70bf542e5d694cf072</t>
  </si>
  <si>
    <t>a9516a079e37a9c9c36b9b78b10169e8</t>
  </si>
  <si>
    <t>fb78b116998a9911245664c7823e1a95</t>
  </si>
  <si>
    <t>9ecadb84c81da840dbf3564378b586e9</t>
  </si>
  <si>
    <t>f2b67cf6ef88cbc9c2f3e482f558b318</t>
  </si>
  <si>
    <t>65b081a070633e057c462abdd6fb9dd8</t>
  </si>
  <si>
    <t>7c6ff274f0411bde88f5df8db5f64693</t>
  </si>
  <si>
    <t>229c3efbfb0ea2058de4ccdfbc3d784a</t>
  </si>
  <si>
    <t>fbb1cfc2810efabf3235eccf4530f4ae</t>
  </si>
  <si>
    <t>0c8380b62e38e8a1e6adbeba7eb9688c</t>
  </si>
  <si>
    <t>2bd9b51a9ab079e095aca987845d3266</t>
  </si>
  <si>
    <t>81f89e42267213cb94da7ddc301651da</t>
  </si>
  <si>
    <t>53759a2ecddad2bb87a079a1f1519f73</t>
  </si>
  <si>
    <t>d6bbda35f0b8505c2f824f1d90295855</t>
  </si>
  <si>
    <t>013ee64977aaa6b2b25475095162e0e9</t>
  </si>
  <si>
    <t>677d8ace413e0060fa8686cde56eaf10</t>
  </si>
  <si>
    <t>2fd91ba79b5f4f8342b67bd79cb54b3f</t>
  </si>
  <si>
    <t>a673821011d0cec28146ea42f5ab767f</t>
  </si>
  <si>
    <t>35afc973633aaeb6b877ff57b2793310</t>
  </si>
  <si>
    <t>7d88f23682af2fc7db5484b6e41f8993</t>
  </si>
  <si>
    <t>b18fa799c2e098abdceb194c359938f6</t>
  </si>
  <si>
    <t>2a2d22ae30e026f1893083c8405ca522</t>
  </si>
  <si>
    <t>1a3df491d1c4f1589fc2b934ada68bf2</t>
  </si>
  <si>
    <t>ec2d43cc59763ec91694573b31f1c29a</t>
  </si>
  <si>
    <t>69c5919a1b057b3d3d8b58f3b9b4b89d</t>
  </si>
  <si>
    <t>47efca563408aae19bb7206c2d969ea9</t>
  </si>
  <si>
    <t>d6dc2dcbb3ef25e47ef82f3c013ab820</t>
  </si>
  <si>
    <t>817e1c2d22418c36386406ccacfa53e8</t>
  </si>
  <si>
    <t>b69eb25e3a4def8e9cddee18712e0c5e</t>
  </si>
  <si>
    <t>8ed8ea9a57c862f2c18c2fe41f601d56</t>
  </si>
  <si>
    <t>b532349fe46b38fbc7bb3914c1bdae07</t>
  </si>
  <si>
    <t>4e64dbe0b03dc0aba80f28b0b922c6b6</t>
  </si>
  <si>
    <t>1b4c3a6f53068f0b6944d2d005c9fc89</t>
  </si>
  <si>
    <t>583f158587cdecda3e8bdea694021e39</t>
  </si>
  <si>
    <t>9b08a09bf2fd9731cfca8cb3db24457c</t>
  </si>
  <si>
    <t>392353362d22cc2c236e1ee81ff19890</t>
  </si>
  <si>
    <t>9fb9a39f2e393018aaeb432394aff48f</t>
  </si>
  <si>
    <t>c03121937e54a93fcc1825c3098bbb6e</t>
  </si>
  <si>
    <t>01ff1ff8aa5dec93e9938b989393a4ca</t>
  </si>
  <si>
    <t>0c7533c71df861ec58ad7ff999ed0e8d</t>
  </si>
  <si>
    <t>b74cc46deca5ba8f6a2226df8041a0b7</t>
  </si>
  <si>
    <t>0ec28cec4046a4a199b6de9b4c891d97</t>
  </si>
  <si>
    <t>e583bb5fa3cb1e876a6ea48f21dfef34</t>
  </si>
  <si>
    <t>7d7866a99a8656a42c7ff6352a433410</t>
  </si>
  <si>
    <t>5d422bd54b54307ff7a5e770f40946e4</t>
  </si>
  <si>
    <t>e88c9b79e592e370d6bd852eeefbf057</t>
  </si>
  <si>
    <t>eb551aa4ed7eb5e2839d5b7d2896bece</t>
  </si>
  <si>
    <t>8afee64dc809d5e833ae113a81774ddc</t>
  </si>
  <si>
    <t>08061dc0fc165ed41288cc7acde738ee</t>
  </si>
  <si>
    <t>940d38f0ef286bd93612fcdc91dd38ed</t>
  </si>
  <si>
    <t>54d9ac713e253fa1fae9c8003b011c2a</t>
  </si>
  <si>
    <t>a157e6178c6f7a8355999fa9cb3d136e</t>
  </si>
  <si>
    <t>ca3bd7cd9f149df75950150d010fe4a2</t>
  </si>
  <si>
    <t>cd4b1bc1c7c94fdcd94b2a7a87eeb050</t>
  </si>
  <si>
    <t>056b4ada5bbc2c50cc7842547dda6b51</t>
  </si>
  <si>
    <t>1491a8ff192d4b5c369b0eaa2fe33ee5</t>
  </si>
  <si>
    <t>37be5a7c751166fbc5f8ccba4119e043</t>
  </si>
  <si>
    <t>bb1fe952bdc16ef8974d4ca11aec19b7</t>
  </si>
  <si>
    <t>b17b679f4f5ce2e03ce6968c62648246</t>
  </si>
  <si>
    <t>b22658be72921a967a7d592dfc61e54e</t>
  </si>
  <si>
    <t>8931a84a914b3fe9b1ddaa4d704947ca</t>
  </si>
  <si>
    <t>2c3210fa1dfe1fdf8b8e3254287c9e4c</t>
  </si>
  <si>
    <t>3b15288545f8928d3e65a8f949a28291</t>
  </si>
  <si>
    <t>96f608a5fe010cb34dc25baee3274444</t>
  </si>
  <si>
    <t>6fd52c528dcb38be2eea044946b811f8</t>
  </si>
  <si>
    <t>93a99b40878c0d888fa4f44459fcac05</t>
  </si>
  <si>
    <t>f61c63d13f7cd800549d5acdd390ae72</t>
  </si>
  <si>
    <t>810e2944bca9850b934e1570ba372e7d</t>
  </si>
  <si>
    <t>447934cd014b033280977350b730d892</t>
  </si>
  <si>
    <t>b4f8921fcc4ff77b66bea6dda43dcd51</t>
  </si>
  <si>
    <t>475af23239b1120761482ea242b1a271</t>
  </si>
  <si>
    <t>81825b8f118d301ef4933de64545b307</t>
  </si>
  <si>
    <t>ce7d1888639e6fb06b2749cbfdac1ff7</t>
  </si>
  <si>
    <t>873ecb2fd02d35f52e5820550e538e72</t>
  </si>
  <si>
    <t>76d5af76d0271110f9af36c92573f765</t>
  </si>
  <si>
    <t>b5e13c9a353102f79c6206ff5cb61a50</t>
  </si>
  <si>
    <t>a49928bcdf77c55c6d6e05e09a9b4ca5</t>
  </si>
  <si>
    <t>315affd5901833621c947264eb9f2588</t>
  </si>
  <si>
    <t>fa1c13f2614d7b5c4749cbc52fecda94</t>
  </si>
  <si>
    <t>0bdb7583b74c0323d413497fab3f2a3c</t>
  </si>
  <si>
    <t>c9c7905cffc4ef9ff9f113554423e671</t>
  </si>
  <si>
    <t>6ff1fc9209c7854704a4f75c9fac41b4</t>
  </si>
  <si>
    <t>0f0c4960b05d6145bbb4b348423503ef</t>
  </si>
  <si>
    <t>edf96ef93ed595084bbcbd9224bd2894</t>
  </si>
  <si>
    <t>a9028257171c93a8d948ff95a0082b0d</t>
  </si>
  <si>
    <t>aac29b1b99776be73c3049939652091d</t>
  </si>
  <si>
    <t>ff5d87897ed26d564711df324b98ebee</t>
  </si>
  <si>
    <t>9f14f401fce2d9ddd450e7ce60cb7f5f</t>
  </si>
  <si>
    <t>080102cd0a76b09e0dcf55fcacc60e05</t>
  </si>
  <si>
    <t>d04bbac48960ecb7ea311b00ca6e1cb7</t>
  </si>
  <si>
    <t>20c26b058070cf8c6bbb8c8943eea98c</t>
  </si>
  <si>
    <t>7142540dd4c91e2237acb7e911c4eba2</t>
  </si>
  <si>
    <t>fea7f0c147905a41ca324c0e3234a4c7</t>
  </si>
  <si>
    <t>24e8c79f39c68fbdbd57a5813ae72b94</t>
  </si>
  <si>
    <t>8d7ab3701456fdbfe2526636ce15327a</t>
  </si>
  <si>
    <t>daeb5653dd96c1b11860f72209795012</t>
  </si>
  <si>
    <t>3fe46d73f7527ad59e36c21c3e783041</t>
  </si>
  <si>
    <t>e06f09ec0a4aca210779cf1cfc63cf19</t>
  </si>
  <si>
    <t>79c0ace2ccf0da036e787875a49151a4</t>
  </si>
  <si>
    <t>b32be1695eb7ec5f10f72d9610a12527</t>
  </si>
  <si>
    <t>9f69acd4da62618a3f6365b732d00ccd</t>
  </si>
  <si>
    <t>897060da8b9a21f655304d50fd935913</t>
  </si>
  <si>
    <t>d67212d63e76d57ee86cec463681f842</t>
  </si>
  <si>
    <t>a5259c149128e82c9d6d46e0c1c812bb</t>
  </si>
  <si>
    <t>ea11e700a343582ad56e4c70e966cb36</t>
  </si>
  <si>
    <t>c31539851232e3accbf0ef4c571f97f2</t>
  </si>
  <si>
    <t>602044f2c16190c2c6e45eb35c2e21cb</t>
  </si>
  <si>
    <t>cdb8d3c880b6639a70764c6734e6bb69</t>
  </si>
  <si>
    <t>f84a00e60c73a49e7e851c9bdca3a5bb</t>
  </si>
  <si>
    <t>a6cef514bc1c722ff447863e87e4d77d</t>
  </si>
  <si>
    <t>a3b0df0065e264a91b7bbf5f844af5cd</t>
  </si>
  <si>
    <t>19c91ef95d509ea33eda93495c4d3481</t>
  </si>
  <si>
    <t>e8ca1ff2d0a28edb5be8bfbf2964dc3a</t>
  </si>
  <si>
    <t>6b536a23086fba0d58c08d68814397f6</t>
  </si>
  <si>
    <t>3cb39171fd36c50097f2dedbbe0dfe6e</t>
  </si>
  <si>
    <t>b8a0d73b2a06e7910d9864dccdb0cda2</t>
  </si>
  <si>
    <t>9351b1e4334769dc0abe871ee3c7abc3</t>
  </si>
  <si>
    <t>abcd2cb37d46c2c8fb1bf071c859fc5b</t>
  </si>
  <si>
    <t>dbd55362ec13c706503b1c71a5068a1a</t>
  </si>
  <si>
    <t>e24fc9fcd865784fb25705606fe3dfe7</t>
  </si>
  <si>
    <t>6a8631b72a2f8729b91514db87e771c0</t>
  </si>
  <si>
    <t>dc2410804cf782c5d87dbcd201b74e9b</t>
  </si>
  <si>
    <t>766a6a4c51c63991e78e192d802787a9</t>
  </si>
  <si>
    <t>59b22a78efb79a4797979612b885db36</t>
  </si>
  <si>
    <t>ca815d1a82897d9d4503e2e367931d03</t>
  </si>
  <si>
    <t>d1c281d3ae149232351cd8c8cc885f0d</t>
  </si>
  <si>
    <t>2c2491f31fe7320124ccf2f3404354a6</t>
  </si>
  <si>
    <t>c1617123e66d2491ca93ceadfd36203e</t>
  </si>
  <si>
    <t>b2479f944e1b90cf8a5de1bbfde284d6</t>
  </si>
  <si>
    <t>f5cb4f19ca215fb34aef190918d45f46</t>
  </si>
  <si>
    <t>0d83f8e03188682112cc0d93523705cc</t>
  </si>
  <si>
    <t>ca7966fa77959536468be3c6ce1f19e1</t>
  </si>
  <si>
    <t>913eefa4eb54c8a9bcb9871dfd94a0ca</t>
  </si>
  <si>
    <t>71dc18fd8cbf5fd77f45dd8b427abb34</t>
  </si>
  <si>
    <t>3cc842aabeddd8ef0d633a10ef8a51aa</t>
  </si>
  <si>
    <t>dea3de7c4e7aa375d564fa2ddb7099b7</t>
  </si>
  <si>
    <t>4cb33e9787e8a38b82bd68e70f5f4700</t>
  </si>
  <si>
    <t>b67a7d0ef75f52b4b76368927a3037f9</t>
  </si>
  <si>
    <t>f4c4daa86e30c7e5a553a8d518ac03a5</t>
  </si>
  <si>
    <t>d33a74e1b6cfc152b6b3f43324d54987</t>
  </si>
  <si>
    <t>8d1224321dc883703df71dcb5be296b3</t>
  </si>
  <si>
    <t>b60856ce32d90658dbf99b9485327c25</t>
  </si>
  <si>
    <t>6eda94acf0ad08a1bb12f10aef74767d</t>
  </si>
  <si>
    <t>41ab63a91b8b264e8c8780368bf1dd5b</t>
  </si>
  <si>
    <t>98f34b46fd3c8edec3b0e453e0095e77</t>
  </si>
  <si>
    <t>e48cc16ab70bfa09e1401740dce0b3d7</t>
  </si>
  <si>
    <t>242ec3ff603c92ddc1e59d83b9e40a2d</t>
  </si>
  <si>
    <t>9cd17b1cc8db0de6b175f213e9054c01</t>
  </si>
  <si>
    <t>b74d1c09cb380e1d03a6f859c6f4224b</t>
  </si>
  <si>
    <t>aa8d88eb4b9cb38894e33fa624c4287f</t>
  </si>
  <si>
    <t>caa1675deee5711b3aff1e4f5946266f</t>
  </si>
  <si>
    <t>eb3569b5cae58e2c6f616f86d3fcd507</t>
  </si>
  <si>
    <t>9dda5bbacd45e18d6485fee649205d09</t>
  </si>
  <si>
    <t>176faef125e3675b4eeaa6083ada61e1</t>
  </si>
  <si>
    <t>10dae91e0aba95747e90280edeffe883</t>
  </si>
  <si>
    <t>629e019a6f298a83aeecc7877964f935</t>
  </si>
  <si>
    <t>b0961721fd839e9982420e807758a2a6</t>
  </si>
  <si>
    <t>0bcc3eeca39e1064258aa1e932269894</t>
  </si>
  <si>
    <t>87cc2aef12eddf0b170234138b0946e0</t>
  </si>
  <si>
    <t>34d1ca11b242c0fee2c834ae8d788566</t>
  </si>
  <si>
    <t>d5bbfcd27daa6365834ed9d16195d64e</t>
  </si>
  <si>
    <t>93c902b021a9e594f658ab1b0351602a</t>
  </si>
  <si>
    <t>09fbb9fc5bffc1ce6dc2f66289dfcb05</t>
  </si>
  <si>
    <t>cd59f488cef311feb633141ad1e8563d</t>
  </si>
  <si>
    <t>8d79c8a04e42d722a75097ce5cbcf2ef</t>
  </si>
  <si>
    <t>07c055536ebf10dfbb6c6db6dbfc36e5</t>
  </si>
  <si>
    <t>741a31499a578979be85db7f80139e62</t>
  </si>
  <si>
    <t>8338cef8355d238f43711dcb9c0657b2</t>
  </si>
  <si>
    <t>422879e10f46682990de24d770e7f83d</t>
  </si>
  <si>
    <t>0ce1e35bdc6af7e582e7ef9363e29b5b</t>
  </si>
  <si>
    <t>db4350fd57ae30082dec7acbaacc17f9</t>
  </si>
  <si>
    <t>aede48631330269f65a8d680de491657</t>
  </si>
  <si>
    <t>5637032095493f280eae8d9da00da6f1</t>
  </si>
  <si>
    <t>f262cbc1c910c83959f849465454ddd3</t>
  </si>
  <si>
    <t>e3a23a99f074226ad690393a840c3244</t>
  </si>
  <si>
    <t>efcd8d2104f1a05d028af7bad20d974b</t>
  </si>
  <si>
    <t>0c7ec2b24166d57ac38a9db523711782</t>
  </si>
  <si>
    <t>bd4889b5e9133b35b66e42a8665cea5c</t>
  </si>
  <si>
    <t>5c699beec1e114bd15b35cf8d01ec6b5</t>
  </si>
  <si>
    <t>4a3ccda38b2129705f3fb522db62ca31</t>
  </si>
  <si>
    <t>a04f52ded97b5530e8783e3c002b90f0</t>
  </si>
  <si>
    <t>da8622b14eb17ae2831f4ac5b9dab84a</t>
  </si>
  <si>
    <t>8c0bd0d6526379599b74a3a006d4c124</t>
  </si>
  <si>
    <t>d66c305afaec317ebee552073a674429</t>
  </si>
  <si>
    <t>a9e9edb1bcac585bfbfa381ce40e5d99</t>
  </si>
  <si>
    <t>06532f10282704ef4c69168b914b77be</t>
  </si>
  <si>
    <t>5a6e53c3b4e8684b13388d6aa4afdf12</t>
  </si>
  <si>
    <t>a4800b5d0f4850922208a6cefcffed51</t>
  </si>
  <si>
    <t>c4baedd846ed09b85f78a781b522f126</t>
  </si>
  <si>
    <t>e9eebb8e8ba0fadb9020f8ba1c003b48</t>
  </si>
  <si>
    <t>42a2bd596fda1baef5719cb74f73030c</t>
  </si>
  <si>
    <t>283dc451ad3918badb976d56ff887289</t>
  </si>
  <si>
    <t>cdd68c0ef3e507db79631336cf9ec285</t>
  </si>
  <si>
    <t>fc13bac52be6640d9a77f54894e2c0e6</t>
  </si>
  <si>
    <t>e24d3429d294b2eb200b064ebb035879</t>
  </si>
  <si>
    <t>d04857e7b4b708ee8b8b9921163edba3</t>
  </si>
  <si>
    <t>11875b30b49585209e608f40e8082e65</t>
  </si>
  <si>
    <t>669ae81880e08f269a64487cfb287169</t>
  </si>
  <si>
    <t>3354a4e684f5e7199f9407db70ccd92b</t>
  </si>
  <si>
    <t>5c6a3e484e7aebf406c2045718dea406</t>
  </si>
  <si>
    <t>01fdefa7697d26ad920e9e0346d4bd1b</t>
  </si>
  <si>
    <t>017692475c1c954ff597feda05131d73</t>
  </si>
  <si>
    <t>3c7c4a49ec3c6550809089c6a2ca9370</t>
  </si>
  <si>
    <t>1716ea399ed8ee62ba811e6f55180f45</t>
  </si>
  <si>
    <t>6338ea67c41078a46ad99cc009654956</t>
  </si>
  <si>
    <t>81a3d1dc085d3226530f23cd4af5030b</t>
  </si>
  <si>
    <t>a93ad122024312ca432da7f7b32474b4</t>
  </si>
  <si>
    <t>8a432f4e5b471f8da497d7dc517666e2</t>
  </si>
  <si>
    <t>306b0c58328826c0564cbc520787d508</t>
  </si>
  <si>
    <t>9ab817d90bc61ed772ffea01b4cdcdb6</t>
  </si>
  <si>
    <t>db2956745b3a8e9f3785c99f34b5d25e</t>
  </si>
  <si>
    <t>e2c3ed9aaddfd2312a6a5fe9b3ddadd3</t>
  </si>
  <si>
    <t>f2af004352a06a99dca765596240cbc3</t>
  </si>
  <si>
    <t>4f2c53c9a1a7a00a247b351c1fdbed13</t>
  </si>
  <si>
    <t>8317b177579dd27ff068b83205e2169b</t>
  </si>
  <si>
    <t>bcac2cdcd851929a5caa3e1508d5abc9</t>
  </si>
  <si>
    <t>0adac9fbd9a2b63cccaac4f8756c1ca8</t>
  </si>
  <si>
    <t>f2bcc887769f563eb4f126389e64715a</t>
  </si>
  <si>
    <t>4c8b8048e33af2bf94f2eb547746a916</t>
  </si>
  <si>
    <t>2d4d78eecba060a7127c5f6a21cdb0c7</t>
  </si>
  <si>
    <t>54d7ad85b648d3cb2b7069ed446d7f35</t>
  </si>
  <si>
    <t>29427de7f8a9ee983d9dbc51cec569b4</t>
  </si>
  <si>
    <t>6782d593f63105318f46bbf7633279bf</t>
  </si>
  <si>
    <t>325f3178fb58e2a9778334621eecdbf9</t>
  </si>
  <si>
    <t>d7cdea99e6f50310c242d02f16f1f63c</t>
  </si>
  <si>
    <t>966cb4760537b1404caedd472cc610a5</t>
  </si>
  <si>
    <t>f77dd338d9f75229a09cbb9a18fd0c9a</t>
  </si>
  <si>
    <t>f9471562478eba8761bc985b968a0092</t>
  </si>
  <si>
    <t>3785b653b1b82de85ab47dd139938091</t>
  </si>
  <si>
    <t>ed08ea04c92f5f434c2362f7310fb328</t>
  </si>
  <si>
    <t>e1fad996d18315862e15d09446c5c65d</t>
  </si>
  <si>
    <t>ea67327e24487bdfac5fbfa37ea124df</t>
  </si>
  <si>
    <t>b0ed7fe63babb3e705115f53fa74b20c</t>
  </si>
  <si>
    <t>dbd66278cbfe1aa1000f90a217ca4695</t>
  </si>
  <si>
    <t>145978af3e89b318be0b717a0953649a</t>
  </si>
  <si>
    <t>18e694e0e48ed6f7aa3f24aade5fd697</t>
  </si>
  <si>
    <t>8ef8561be5799da29925c5baaf083a13</t>
  </si>
  <si>
    <t>559d56f3b8f0bc2e5a9a62fe2ce2a39f</t>
  </si>
  <si>
    <t>33f789f4b4fa74053af0199658b78853</t>
  </si>
  <si>
    <t>394b16cd32e9f883365dd7ebac4edbe0</t>
  </si>
  <si>
    <t>363218ba55c610b750224f90bdd34be1</t>
  </si>
  <si>
    <t>33a6f4b1e7cdc205511e76ba1b6e0186</t>
  </si>
  <si>
    <t>c9bd28e8a4220af0723c7b7f97778681</t>
  </si>
  <si>
    <t>6e77b89d36e50217e6793780a8ce5c82</t>
  </si>
  <si>
    <t>586328f570ac0b651d452f1227db4d1c</t>
  </si>
  <si>
    <t>9bde344a67494559d37249506076d638</t>
  </si>
  <si>
    <t>cdc4af478fef19f03f1d0353c00271cd</t>
  </si>
  <si>
    <t>98d61056e0568ba048e5d78038790e77</t>
  </si>
  <si>
    <t>060cb19345d90064d1015407193c233d</t>
  </si>
  <si>
    <t>fb19ac22e32dfecea21afbdde4b97b5f</t>
  </si>
  <si>
    <t>5f504b3a1c75b73d6151be81eb05bdc9</t>
  </si>
  <si>
    <t>834f3294fba9f932f56edc879193f925</t>
  </si>
  <si>
    <t>5411e9269501a870cabf632f05655131</t>
  </si>
  <si>
    <t>83b23a333b811855258c5ec9431f6d3e</t>
  </si>
  <si>
    <t>a00722035cea70bbf671b758459cde42</t>
  </si>
  <si>
    <t>25be943a321c8938947bdaabca979a90</t>
  </si>
  <si>
    <t>91b08d34d0ba4db44da2dc382867ba49</t>
  </si>
  <si>
    <t>b76dba6c951ab00dc4edf0a1aa88037e</t>
  </si>
  <si>
    <t>6ed0ed10d62b45f3de46933b0b2989a6</t>
  </si>
  <si>
    <t>c6bda72e4dbf5c5866b13cb1810c6d03</t>
  </si>
  <si>
    <t>2136c70bbe723d338fab53da3c03e6dc</t>
  </si>
  <si>
    <t>d36d9ea1497c1e294498cc39df08a687</t>
  </si>
  <si>
    <t>2fc7741cb6ea76e7164f448adc44652d</t>
  </si>
  <si>
    <t>78b7b1ff2d3f06a589354ddf2f4f9db3</t>
  </si>
  <si>
    <t>a0eccc912d428eaddf1ef4fe47593ece</t>
  </si>
  <si>
    <t>8a87611c08849ffeeccab52aa798b6c7</t>
  </si>
  <si>
    <t>6f7400c1577bd99fb7c9cd196edb6ae2</t>
  </si>
  <si>
    <t>f0af7ec9760e53f21277444f32ee3308</t>
  </si>
  <si>
    <t>b92421ea3b457d6bb68c49f39d4e97a8</t>
  </si>
  <si>
    <t>9a060643636bd1e41788cb32262ac9ef</t>
  </si>
  <si>
    <t>6e864f5c4669eff3d98140a07cc50202</t>
  </si>
  <si>
    <t>9391a573abe00141c56e38d84d7d5b3b</t>
  </si>
  <si>
    <t>6fc983af1a5229efebcc40ab26d6226c</t>
  </si>
  <si>
    <t>b499c00f28f4b7069ff6550af8c1348a</t>
  </si>
  <si>
    <t>b59b5899ecf4bcc294a72fdd48adaa94</t>
  </si>
  <si>
    <t>562fc2f2c2863ab7e79a9e4388a58a14</t>
  </si>
  <si>
    <t>c6ea63369936552872ae890c82175b4b</t>
  </si>
  <si>
    <t>7c1bd920dbdf22470b68bde975dd3ccf</t>
  </si>
  <si>
    <t>9d8a0e115e802d845b4ce1eb794d1260</t>
  </si>
  <si>
    <t>d05ae8f7a5bd1d2a690a44cd079e4e27</t>
  </si>
  <si>
    <t>94976cc078d10e74c19c62f0b3b52432</t>
  </si>
  <si>
    <t>521a361808bedd9fffb32181e501e09b</t>
  </si>
  <si>
    <t>5b179e9e8cc7ab6fd113a46ca584da81</t>
  </si>
  <si>
    <t>159e7e73295b609960c0797eb64b3d39</t>
  </si>
  <si>
    <t>a72c2f59332659e361d647515c698798</t>
  </si>
  <si>
    <t>304104a478e3a605db6072a22e4ee228</t>
  </si>
  <si>
    <t>31da954dc0855f2495c6310f70a2f931</t>
  </si>
  <si>
    <t>6c321ed0f47858a8650f4104771224b5</t>
  </si>
  <si>
    <t>566d15b940c0d5e7a0a37c82b8ce353f</t>
  </si>
  <si>
    <t>9aed412277ca4485a7bf6e0c53e65786</t>
  </si>
  <si>
    <t>68bfdbfe84f03af17733b10362f10020</t>
  </si>
  <si>
    <t>827f8f69dfa529c561901c4f2e0f332f</t>
  </si>
  <si>
    <t>b1cbf530dc2a793ced8e0768ffcce501</t>
  </si>
  <si>
    <t>1ca7077d890b907f89be8c954a02686a</t>
  </si>
  <si>
    <t>429de6049b45a9fcb96aff1603f55d3c</t>
  </si>
  <si>
    <t>b0cd550945da1de6eb9cb69595d540df</t>
  </si>
  <si>
    <t>6de2587eae9fb1ee54a853aac774ade1</t>
  </si>
  <si>
    <t>42a2c92a0979a949ca4ea89ec5c7b934</t>
  </si>
  <si>
    <t>813348c996469b40f2e028d5429d3495</t>
  </si>
  <si>
    <t>68bf2e76db1d8e846042e54da87399ca</t>
  </si>
  <si>
    <t>b3145c36d221143053908beb4564bad9</t>
  </si>
  <si>
    <t>79ebd9a61bac3eaf882805ed4ecfa12a</t>
  </si>
  <si>
    <t>7a10781637204d8d10485c71a6108a2e</t>
  </si>
  <si>
    <t>fbd4031ddbc3d02b95834b62769d3ad0</t>
  </si>
  <si>
    <t>33a8f9ff2a9a41c0c49a24d12e106151</t>
  </si>
  <si>
    <t>f71f42e2381752836563b70beb542f80</t>
  </si>
  <si>
    <t>f399bbedb1d21192dffefc4a8b30a229</t>
  </si>
  <si>
    <t>e0bb3159111d86828b5caef8725ff055</t>
  </si>
  <si>
    <t>cd06602b43d8800bd0afad514919d35c</t>
  </si>
  <si>
    <t>7088744b00831b410bd17716cb578f39</t>
  </si>
  <si>
    <t>c1ed9e3daf6154542826a6996af0fb8c</t>
  </si>
  <si>
    <t>ea3be87c5c6c69043c9eb7836199c200</t>
  </si>
  <si>
    <t>382132cf96c88a277a65226833af5f61</t>
  </si>
  <si>
    <t>e988092a8afe5d9393a5c3a7ca17691c</t>
  </si>
  <si>
    <t>da7039f29f90ce5b4846ffc0fcc93beb</t>
  </si>
  <si>
    <t>609c35bf8122d5ab8186ed7a6bfcd843</t>
  </si>
  <si>
    <t>7d456afc660226829370f3173d14520c</t>
  </si>
  <si>
    <t>f42892b40225227fe465626ff509a92e</t>
  </si>
  <si>
    <t>83309bfd8eef19fbfaa8e790b824b572</t>
  </si>
  <si>
    <t>060c17562f97e5bb60bc0dfa4dd5b3f2</t>
  </si>
  <si>
    <t>c9c6fde711572c1ad99ca12728c6af00</t>
  </si>
  <si>
    <t>bc74f63361c15c1a5baa5b97ac432e62</t>
  </si>
  <si>
    <t>59089e1668cc247d055ca3f9149093fc</t>
  </si>
  <si>
    <t>6a51fc556dab5f766ced6fbc860bc613</t>
  </si>
  <si>
    <t>f4d705aa95ccca448e5b0deb6e5290ba</t>
  </si>
  <si>
    <t>372124d6931c4bc48dd0d56075ebee7c</t>
  </si>
  <si>
    <t>861857117917aaa99611defcc0d514cd</t>
  </si>
  <si>
    <t>656d923048a96be8ec0da05d7b71aa28</t>
  </si>
  <si>
    <t>709e16e2b25c7474d980076c6bfc4806</t>
  </si>
  <si>
    <t>3d1d7aa3dfc91ac9490303d6c7342e83</t>
  </si>
  <si>
    <t>7272a36ac93b0f214500840025f04a73</t>
  </si>
  <si>
    <t>bbaef2eadf31fe3ea6702077398be06c</t>
  </si>
  <si>
    <t>aa8627a375771ab01288705307ec4ae5</t>
  </si>
  <si>
    <t>12bc892d6fff0dc42c8177f3665ef00e</t>
  </si>
  <si>
    <t>2de4aa76a72feaca51fc8f83ae037c7e</t>
  </si>
  <si>
    <t>50d77758742285ff49f340ebdf0df5a7</t>
  </si>
  <si>
    <t>436c8d57ff8d4aa254318e9bd9b48c83</t>
  </si>
  <si>
    <t>6ed58ce8373b3d0c7704df9daf21e4d8</t>
  </si>
  <si>
    <t>5b2e94f2c22b39ccc24d34ad0f669672</t>
  </si>
  <si>
    <t>d537e54e990d95194a5733e79f1af1aa</t>
  </si>
  <si>
    <t>4305fe92735c8a43d154ff6dd2b8d927</t>
  </si>
  <si>
    <t>ead72457c58dcea14f94c2223c684716</t>
  </si>
  <si>
    <t>3c949f7dabf571691248f935a0063fbd</t>
  </si>
  <si>
    <t>ececbfcff9804a2d6b40f589df8eef2b</t>
  </si>
  <si>
    <t>1fa52682d6938b129312ef4cffac1711</t>
  </si>
  <si>
    <t>30829ded4523ab9224b93bc49a62c95f</t>
  </si>
  <si>
    <t>ccadfeab525a9eb1569983b66e5075c4</t>
  </si>
  <si>
    <t>33576ec5412fb5905d876f12f33bfde6</t>
  </si>
  <si>
    <t>fe01b643060a6446e59f58e3021e66b3</t>
  </si>
  <si>
    <t>2dee2ce60de9709b1a24083217181a1f</t>
  </si>
  <si>
    <t>9c98b59719a74f32903537bc5c9262ce</t>
  </si>
  <si>
    <t>acce39e832338debb07b02385cde5967</t>
  </si>
  <si>
    <t>01a88bd2633c52bcc66348307cb3ae15</t>
  </si>
  <si>
    <t>2b1a40c1daabc6ca280c4b815c101841</t>
  </si>
  <si>
    <t>ddceb6eef6af67e9fbbd4c148dbe5fd9</t>
  </si>
  <si>
    <t>cee4ebfc997a2ac7f01145efb59cc7be</t>
  </si>
  <si>
    <t>527801b552d0077ffd170872eb49683b</t>
  </si>
  <si>
    <t>26c3ead5dff3d8e393e5331273f4e91a</t>
  </si>
  <si>
    <t>34194988e78bc60417003c8a235b8083</t>
  </si>
  <si>
    <t>dc64d75cc406bb0697be983831430e60</t>
  </si>
  <si>
    <t>f646af315b0f3a597f69213537ca2199</t>
  </si>
  <si>
    <t>3df020b72d3d44b3af9d110fa3940b65</t>
  </si>
  <si>
    <t>71f2ce4ae5dfdd3b55a51c7a2d3c4da8</t>
  </si>
  <si>
    <t>72c5da29406b4234927b81855e7b64f6</t>
  </si>
  <si>
    <t>2b0ee2d07306f7c9ac55a43166e9bb4b</t>
  </si>
  <si>
    <t>1900267e848ceeba8fa32d80c1a5f5a8</t>
  </si>
  <si>
    <t>6592908f0a4f6e2de91310126cd1b08d</t>
  </si>
  <si>
    <t>87e24fc7052259b1f7f607d61c10d8be</t>
  </si>
  <si>
    <t>7bcf2266b78ccc737b8f26f925d3c5d4</t>
  </si>
  <si>
    <t>1464afc72f696af775557a821c2e253f</t>
  </si>
  <si>
    <t>b8fb835549196ef18695839a1a749584</t>
  </si>
  <si>
    <t>51702dc2a3e106c76dbff722b5bf0726</t>
  </si>
  <si>
    <t>e9a69340883a438c3f91739d14d3a56d</t>
  </si>
  <si>
    <t>6987398dff454a3138231540e2a6ec61</t>
  </si>
  <si>
    <t>138d7037b59dcee052810952c983033b</t>
  </si>
  <si>
    <t>2028bf1b01cafb2d2b1901fca4083222</t>
  </si>
  <si>
    <t>f84fa566034f5e8e880a07ec624c56af</t>
  </si>
  <si>
    <t>83b92639fffd1d55c9e04c77c86d8d2c</t>
  </si>
  <si>
    <t>00fc707aaaad2d31347cf883cd2dfe10</t>
  </si>
  <si>
    <t>5ce6a6914bbb228f4cb4ee93c1cd0d15</t>
  </si>
  <si>
    <t>b00a32a0b42fd65efb58a5822009f629</t>
  </si>
  <si>
    <t>f71973c922ccaab05514a36a8bc741b8</t>
  </si>
  <si>
    <t>5dceca129747e92ff8ef7a997dc4f8ca</t>
  </si>
  <si>
    <t>5d0386961a44323a9772e63672317131</t>
  </si>
  <si>
    <t>eb6c2ecde53034fc9ec47741b3232c9d</t>
  </si>
  <si>
    <t>53ea9da485f6aed8a6f03a85831fe021</t>
  </si>
  <si>
    <t>ead9ade61e81ab9e26d83640c3164e76</t>
  </si>
  <si>
    <t>4bf2f4ee540798a61f9636d12cd9cc80</t>
  </si>
  <si>
    <t>64fb265487de2238627ce43fe8a67efc</t>
  </si>
  <si>
    <t>632fe3d92c45b5c83f4102fadd94ee92</t>
  </si>
  <si>
    <t>f3dadec221142e379d7113915c1d0fa8</t>
  </si>
  <si>
    <t>e9d99831abad74458942f21e16f33f92</t>
  </si>
  <si>
    <t>8c4456c061013adccb1ba4cbce2d0365</t>
  </si>
  <si>
    <t>8cc6a0e5738e61a87b03c78b2ba9db4b</t>
  </si>
  <si>
    <t>a0eef953cb25bc9ae40457e1c3c82946</t>
  </si>
  <si>
    <t>5a8e7d5003a1f221f9e1d6e411de7c23</t>
  </si>
  <si>
    <t>152397b614be35e54106663bd5671f7d</t>
  </si>
  <si>
    <t>a4b6b9b992b46e9ef863637af96e04bc</t>
  </si>
  <si>
    <t>ecd7770e1f7f64ee8c295da808d2ce5b</t>
  </si>
  <si>
    <t>213b25e6f54661939f11710a6fddb871</t>
  </si>
  <si>
    <t>b0141fc41043ae23a16677f3a7e282b3</t>
  </si>
  <si>
    <t>65febd49fd28ec955651299159b1f527</t>
  </si>
  <si>
    <t>092efe1dbcc1a4752b17a19fb6de36dc</t>
  </si>
  <si>
    <t>431d674f9a4fbd0957ecf6ba3fcb6899</t>
  </si>
  <si>
    <t>77e8ff91e2cccad62b30a0a83bec431e</t>
  </si>
  <si>
    <t>f361fccba568fabe00db466f80626d1e</t>
  </si>
  <si>
    <t>84bc1370758fa98d08afd0180818217a</t>
  </si>
  <si>
    <t>a3a38f4affed601eb87a97788c949667</t>
  </si>
  <si>
    <t>18692fdc7adb29c885d8cb84eb68a97e</t>
  </si>
  <si>
    <t>aaed1309374718fdd995ee4c58c9dfcd</t>
  </si>
  <si>
    <t>036734b5a58d5d4f46b0616ddc047ced</t>
  </si>
  <si>
    <t>b5c114b11d53b6fd85a6a90790f0b479</t>
  </si>
  <si>
    <t>c7fd13b5e515bffdab855d0812842edb</t>
  </si>
  <si>
    <t>0e362037e5f02f62c8ce89f49cb9d520</t>
  </si>
  <si>
    <t>f4a04f7be452aa3bb31760bf00055dd0</t>
  </si>
  <si>
    <t>e7db7c40ea6647c808d48581f1308d88</t>
  </si>
  <si>
    <t>d2f5484cbffe4ca766301b21ab9246dd</t>
  </si>
  <si>
    <t>36a968b544695394e4e9d7572688598f</t>
  </si>
  <si>
    <t>448f0791c4d2fc5d250a401edfc208d4</t>
  </si>
  <si>
    <t>a888faf2d1baececa6baf9c3d603ee1f</t>
  </si>
  <si>
    <t>84f5c4f480ad6c9998d6a6860f1a2e41</t>
  </si>
  <si>
    <t>282f23a9769b2690c5dda22e316f9941</t>
  </si>
  <si>
    <t>e82773dd03318132e509b6330c868c7f</t>
  </si>
  <si>
    <t>423a6644f0aa529e8828ff1f91003690</t>
  </si>
  <si>
    <t>a659cb33082b851fb87a33af8f0fff29</t>
  </si>
  <si>
    <t>817245bcc3badd82bbd222e0366951a6</t>
  </si>
  <si>
    <t>6b6b162b177d0f36987993aecbe1c65f</t>
  </si>
  <si>
    <t>070d165398b553f3b4b851c216b8a358</t>
  </si>
  <si>
    <t>3fae92f8d0ebb3317991934a6d717c47</t>
  </si>
  <si>
    <t>9b02b650be0a39d8590be7d35be443f9</t>
  </si>
  <si>
    <t>ad273c9eb54ecb4532de4bf75bae9e4e</t>
  </si>
  <si>
    <t>3a7612c720a4b764c4fb87633a7ebc88</t>
  </si>
  <si>
    <t>8f2ce03f928b567e3d56181ae20ae952</t>
  </si>
  <si>
    <t>b1551ef44e04265b510840b991b24b51</t>
  </si>
  <si>
    <t>cac876b37d3abcd6bd76caca30277996</t>
  </si>
  <si>
    <t>4fb3e6ce442ce9c621ea9509e47ac951</t>
  </si>
  <si>
    <t>3c03b12bab54d8b37d79d914bfdb1aa0</t>
  </si>
  <si>
    <t>11dcc970f7a5581e1bf777b6da3f7096</t>
  </si>
  <si>
    <t>06579cb253ecd5a3a12a9e6eb6bf8f47</t>
  </si>
  <si>
    <t>e350532acfc2ee911b6dcf1029dcb48d</t>
  </si>
  <si>
    <t>d1582f4043306e6b91afa6a8a884f898</t>
  </si>
  <si>
    <t>f9b0ee95ce8b1ef8b50eecc5e0fa4348</t>
  </si>
  <si>
    <t>a2f0a41fa03da98fd19e20d996462cc8</t>
  </si>
  <si>
    <t>78c3942245093508f8e17ffc06a0dfcf</t>
  </si>
  <si>
    <t>4830e40640734fc1c52cd21127c341d4</t>
  </si>
  <si>
    <t>81efaa22f3868f00c8ef1879cccc3c03</t>
  </si>
  <si>
    <t>f24bb438da3185d5fd5a19e4d7433827</t>
  </si>
  <si>
    <t>ce248b21cb2adc36282ede306b7660e5</t>
  </si>
  <si>
    <t>ba47e9a1c96e01fc866a0b30f9c78e00</t>
  </si>
  <si>
    <t>ac3508719a1d8f5b7614b798f70af136</t>
  </si>
  <si>
    <t>f2e53dd1670f3c376518263b3f71424d</t>
  </si>
  <si>
    <t>fb060ad9a8625b626189641799bccf89</t>
  </si>
  <si>
    <t>b1204cfda1d4948679db3cfc0d3cb95c</t>
  </si>
  <si>
    <t>d6fe3b4ddecd4a8393c6a1385de3bfb6</t>
  </si>
  <si>
    <t>2629c2e1e3a0b360912763741f1bb7ef</t>
  </si>
  <si>
    <t>0bf0150d5b9d60d9cd2906003332f085</t>
  </si>
  <si>
    <t>cd48f265a63e13b762601f5f794c5fca</t>
  </si>
  <si>
    <t>d84895a804248d73a16480c0b2e18604</t>
  </si>
  <si>
    <t>476f613bc92f3a20cf80a586fa45a232</t>
  </si>
  <si>
    <t>9ddc4249779322828f89d2a9c04f7ee1</t>
  </si>
  <si>
    <t>9d5a9018aee56acb367ba9c3f05d1d6a</t>
  </si>
  <si>
    <t>28beefcab28e6a3b659bae1bf1cbe453</t>
  </si>
  <si>
    <t>c8c969c3a6423f48df9fde8a13e6770b</t>
  </si>
  <si>
    <t>fdb86e192fdd20037175daab38af9656</t>
  </si>
  <si>
    <t>b2ac621f0d0322434d04a12b078b9369</t>
  </si>
  <si>
    <t>ad88641611c35ebd59ecda07a9f17099</t>
  </si>
  <si>
    <t>1bef08f119466a85a83919d5b80facd3</t>
  </si>
  <si>
    <t>d2374cbcbb3ca4ab1086534108cc3ab7</t>
  </si>
  <si>
    <t>11bbef4e2a44601d9dd471aa1fb433e6</t>
  </si>
  <si>
    <t>5c243662ce92d84573bfaff24c3e3700</t>
  </si>
  <si>
    <t>41db6d8062fcd38410c699743ccc0265</t>
  </si>
  <si>
    <t>8b41f2becf919f6177cca1ff15dfd311</t>
  </si>
  <si>
    <t>b042c934bd8f4316e7b38633aa14266b</t>
  </si>
  <si>
    <t>10714d6a49c0af9ccdab2d806887c5f5</t>
  </si>
  <si>
    <t>9616352088dcf83a7c06637f4ebf1c80</t>
  </si>
  <si>
    <t>35ebf08a93899d44e756809e11b14754</t>
  </si>
  <si>
    <t>8232a265a535c1f886b38335667be2a5</t>
  </si>
  <si>
    <t>d2e8130fbec52f5dac0571ea1993f28a</t>
  </si>
  <si>
    <t>4a300735bc293723103db0d0c1bc1585</t>
  </si>
  <si>
    <t>6f892e20a171e98efe17fdb971ff319b</t>
  </si>
  <si>
    <t>e95fb3a80ca294f39de925b6428f3a32</t>
  </si>
  <si>
    <t>639cacc61d50ee82079176b446399376</t>
  </si>
  <si>
    <t>3361277dc30b7cccdb0c286b24219756</t>
  </si>
  <si>
    <t>7344630ca6c1a4917e55f35c729baa7d</t>
  </si>
  <si>
    <t>edd087ed331c3ce178ec3489b9ecf117</t>
  </si>
  <si>
    <t>1bb2bdb95f4841f1bba2c0d2cd83d3c9</t>
  </si>
  <si>
    <t>7d50930301709838d8e90dcac5cfaa84</t>
  </si>
  <si>
    <t>5bd6493a2d5a384987386f2696bae33d</t>
  </si>
  <si>
    <t>ef5c31aee1d5074121a478b14d3eb50e</t>
  </si>
  <si>
    <t>8dfb2df51786c583001deb21b4a94080</t>
  </si>
  <si>
    <t>4391ea5c5990502176a1dcda44a2373d</t>
  </si>
  <si>
    <t>e76438822c17316d276c27e52e588931</t>
  </si>
  <si>
    <t>bb42f37fc3d9130e4a4339d24a47dd7c</t>
  </si>
  <si>
    <t>415dfa57292b8b7360d3f4cf2f9bff06</t>
  </si>
  <si>
    <t>9c7fd21e0aa159b20da593371f08ff7c</t>
  </si>
  <si>
    <t>9d0aa87e8df1bdbe0f79353520a2d538</t>
  </si>
  <si>
    <t>0bae85eb84b9fb3bd773911e89288d54</t>
  </si>
  <si>
    <t>2ccd049c8e7ea210e079a1aa8ad92477</t>
  </si>
  <si>
    <t>c30af44af15fb162e1ee0233c7e5d583</t>
  </si>
  <si>
    <t>ce6f74096c84567f22728c84f3d6e7fc</t>
  </si>
  <si>
    <t>8160255418d5aaa7dbdc9f4c64ebda44</t>
  </si>
  <si>
    <t>57fcacc3434a1f2f2b039c1b4e61f5e1</t>
  </si>
  <si>
    <t>e2acf075e3634e6f0c26e4e88c1bf9d7</t>
  </si>
  <si>
    <t>266f0c6925e7873790f11b920c701190</t>
  </si>
  <si>
    <t>98c2f7da94217786e372e7d85462c354</t>
  </si>
  <si>
    <t>2199e7fe213c16213bf5d6a7eadc9a5d</t>
  </si>
  <si>
    <t>ff96895c6b1d31f34b2d82f86670fa85</t>
  </si>
  <si>
    <t>8828464e34fc3da3892f568218e14d61</t>
  </si>
  <si>
    <t>f46490624488d3ff7ce78613913a7711</t>
  </si>
  <si>
    <t>33e77eecc23c25a65d10f627e5053617</t>
  </si>
  <si>
    <t>7ce94ab189134e2d3c05f496d635419c</t>
  </si>
  <si>
    <t>d9bba71d1d1ad35925593d365a2ab43e</t>
  </si>
  <si>
    <t>3afc536624bc2e65bddfb5db33cc01f3</t>
  </si>
  <si>
    <t>d99a9035db5875b38e59f9f55b9548f1</t>
  </si>
  <si>
    <t>8d39a63db6a98e40571f486e0c711cf7</t>
  </si>
  <si>
    <t>c19d5ba108c34b8255cf9a524da92bc4</t>
  </si>
  <si>
    <t>776b3debbda0734131d6046fca2cd957</t>
  </si>
  <si>
    <t>7722b1df1b0e383e000397b2c11e3e19</t>
  </si>
  <si>
    <t>b1434a8f79cb3528540d9b21e686e823</t>
  </si>
  <si>
    <t>69ae578cb2e84390bb7c44216380ad5e</t>
  </si>
  <si>
    <t>9da0bebb7f9168679e748abbfad05edd</t>
  </si>
  <si>
    <t>87aff1d9a5e94db6840c5b963a5cef90</t>
  </si>
  <si>
    <t>1357d7d30c1609c50ad43a42a204286c</t>
  </si>
  <si>
    <t>05542c6ab7bce0a01a5f7210380e72b3</t>
  </si>
  <si>
    <t>4324dd16853115efb0fd9d0d131ba6f4</t>
  </si>
  <si>
    <t>2381a3052dd37f97e616bf160467acae</t>
  </si>
  <si>
    <t>165948b2c41e846df7d09b56826a747f</t>
  </si>
  <si>
    <t>bbf920aa6ac72007a726e6f419156f8f</t>
  </si>
  <si>
    <t>3006b8f5b476750a03137c1b2755cea1</t>
  </si>
  <si>
    <t>7d8e924f1da646ec896e1c0a80ef2f99</t>
  </si>
  <si>
    <t>6481e96574816ead57975da2c0f6d80d</t>
  </si>
  <si>
    <t>b2572a992f6ea1d1a7eb518d54e64620</t>
  </si>
  <si>
    <t>035df2b15f358d231e00af9e62488cf4</t>
  </si>
  <si>
    <t>1d1bbb8ac1581824986f582583fff01d</t>
  </si>
  <si>
    <t>ca38c039b717207dec906f4fa9a21db7</t>
  </si>
  <si>
    <t>59fb871bf6f4522a87ba567b42dafecf</t>
  </si>
  <si>
    <t>da7e1b2f8c91cbf61a22b55e8cd49bcd</t>
  </si>
  <si>
    <t>98dac6635aee4995d501a3972e047414</t>
  </si>
  <si>
    <t>40161099308e1f5f784d57e2b88b31b5</t>
  </si>
  <si>
    <t>04aba03279157f6d4e0fe8ccaf21963c</t>
  </si>
  <si>
    <t>527e17a9217166ba1744ef81423887ba</t>
  </si>
  <si>
    <t>eed78ac17f7f795a19a709745f00cd4e</t>
  </si>
  <si>
    <t>3631b85819ccd66432f8e4b5fb568cf2</t>
  </si>
  <si>
    <t>460a66fcc404a3d7306d5f50fcb2d18a</t>
  </si>
  <si>
    <t>f7ac498363699addc5ff78eadee46977</t>
  </si>
  <si>
    <t>10717ff440b2320081989126e858b220</t>
  </si>
  <si>
    <t>fdb9095204a334cd8872252ffec6f2db</t>
  </si>
  <si>
    <t>32a99bb84ae79a55c0e446afc9310e1e</t>
  </si>
  <si>
    <t>af56e0203193f066ed64cbbbbf95ae6a</t>
  </si>
  <si>
    <t>ef990a83bbea832f36ebe81376335aa8</t>
  </si>
  <si>
    <t>1eb85357e22bf0c8c2a6f10eafad8423</t>
  </si>
  <si>
    <t>4c99d6df98c5f4960cae6fd9f8603bd3</t>
  </si>
  <si>
    <t>1127b7f2594683f2510f1c2c834a486b</t>
  </si>
  <si>
    <t>6b7de889f456ee35f031172d358b2cd2</t>
  </si>
  <si>
    <t>594f9aaa48e5bf431f011ddc5669b0d5</t>
  </si>
  <si>
    <t>30a47cc354b9607076272300c899dce9</t>
  </si>
  <si>
    <t>be837f2e0152a208d4386f4126d5bd7c</t>
  </si>
  <si>
    <t>9af7b4a3262141c12ba9bd489a8573c7</t>
  </si>
  <si>
    <t>aafe36600ce604f205b86b5084d3d767</t>
  </si>
  <si>
    <t>a92930c327948861c015c919a0bcb4a8</t>
  </si>
  <si>
    <t>473795a355d29305c3ea6b156833adf5</t>
  </si>
  <si>
    <t>8bd822c04ee6a8292a7b0debc3dbd74a</t>
  </si>
  <si>
    <t>8877966d8f081b2857a5e293d6ecf59e</t>
  </si>
  <si>
    <t>77a515caa36327151d1cc6c32a9f00e1</t>
  </si>
  <si>
    <t>d9d5e3c7a8d24dfb8968ba75e4313ac3</t>
  </si>
  <si>
    <t>330144665b875c2b4555f88d9f4ed7c1</t>
  </si>
  <si>
    <t>96bd76ec8810374ed1b65e291975717f</t>
  </si>
  <si>
    <t>7b07b3c7487f0ea825fc6df75abd658b</t>
  </si>
  <si>
    <t>bb50f2e236e5eea0100680137654686c</t>
  </si>
  <si>
    <t>f7ba60f8c3f99e7ee4042fdef03b70c4</t>
  </si>
  <si>
    <t>c1cf8f51eac90b1ff478250b3d35c37b</t>
  </si>
  <si>
    <t>bc47d5d1490df2b36add65d733eafaba</t>
  </si>
  <si>
    <t>d3d10495159bcc41173e3d26a273529a</t>
  </si>
  <si>
    <t>839321c2db7b3b3eaff4944c3b052ecd</t>
  </si>
  <si>
    <t>d25aa0aaacb370e912f8cf6efeba38b3</t>
  </si>
  <si>
    <t>a4a8ee739d3d5afba72490f748dcd0da</t>
  </si>
  <si>
    <t>80e6699fe29150b372a0c8a1ebf7dcc8</t>
  </si>
  <si>
    <t>f6fa93875f4a7dac03e0a22143f4d815</t>
  </si>
  <si>
    <t>aadff88486740e0b0ebe2be6c09476ae</t>
  </si>
  <si>
    <t>496f6bd86011e5a9ddea8dc96e802340</t>
  </si>
  <si>
    <t>c1488892604e4ba5cff5b4eb4d595400</t>
  </si>
  <si>
    <t>e44f675b60b3a3a2453ec36421e06f0f</t>
  </si>
  <si>
    <t>43cc8e4d981bc04b9d78b12e8a908d41</t>
  </si>
  <si>
    <t>6061155addc1e54b4cfb51c1c2a32ad8</t>
  </si>
  <si>
    <t>06f2166336faca73c644b11eaca22d06</t>
  </si>
  <si>
    <t>d5ba419e26d246a0719437cf37d9b46d</t>
  </si>
  <si>
    <t>6d44b2c01b6843eb2e68beddf853dd82</t>
  </si>
  <si>
    <t>f22a247b79dd22ecd91dc8e3b2a1b07c</t>
  </si>
  <si>
    <t>2a71952901bd77a33530d79a65b13747</t>
  </si>
  <si>
    <t>ea00f977a203ff88adf7057cb7806998</t>
  </si>
  <si>
    <t>de7034010d180a33f04a16b235281265</t>
  </si>
  <si>
    <t>1838dd9b8977065acf51d95e0053ea7a</t>
  </si>
  <si>
    <t>d05d4a7430d1293367ba2ffbedcdef05</t>
  </si>
  <si>
    <t>54065e9aef7e9e9c2dc23b7594db021a</t>
  </si>
  <si>
    <t>f731f8587d4088c174397e010cf892a9</t>
  </si>
  <si>
    <t>6b017e0d95d8765a6f2bed3bc272c61e</t>
  </si>
  <si>
    <t>a6fe7de3d16f6149ffe280349a8535a0</t>
  </si>
  <si>
    <t>4debd977b5bc245487ec61b7961b16e3</t>
  </si>
  <si>
    <t>dce4459168283eed926d7af76ba39e02</t>
  </si>
  <si>
    <t>7d76b645482be4a332374e8223836592</t>
  </si>
  <si>
    <t>2f5895fbda5cbf713513c5b641383a97</t>
  </si>
  <si>
    <t>51e4e89242cbb846c2deff3dc015650e</t>
  </si>
  <si>
    <t>4c2065301aac51ff9004422acc07765d</t>
  </si>
  <si>
    <t>3a77cc438baf789ed16b12b553ce504a</t>
  </si>
  <si>
    <t>710e3548e02bc1d2831dfc4f1b5b14d4</t>
  </si>
  <si>
    <t>4e6a8880f494b097db7cf4866e0209d8</t>
  </si>
  <si>
    <t>3078096983cf766a32a06257648502d1</t>
  </si>
  <si>
    <t>bd07b66896d6f1494f5b86251848ced7</t>
  </si>
  <si>
    <t>89e30d3452ed2e7f8d86803da7954f05</t>
  </si>
  <si>
    <t>a3bd84c2a6d25ea7bc0e55c64d0760ae</t>
  </si>
  <si>
    <t>4e17c65a516f69d023a2ae78b84f28d6</t>
  </si>
  <si>
    <t>77f217636750a5d2e21017effe0a634d</t>
  </si>
  <si>
    <t>c092292535a57dacd95a8765f5518f87</t>
  </si>
  <si>
    <t>cac52d956eff0cacf32f4b0f0f3aac5c</t>
  </si>
  <si>
    <t>b1d207586fca400a2370d50a9ba1da98</t>
  </si>
  <si>
    <t>81e61097d1704e63a1d881c02d76934a</t>
  </si>
  <si>
    <t>99aa268744e2967e0ed6d3b22a38eff2</t>
  </si>
  <si>
    <t>52562a9f449c3dc3d53f5f5b9ed74903</t>
  </si>
  <si>
    <t>4befae07dba4384f6d8237ad1e7f8294</t>
  </si>
  <si>
    <t>30ccf4724f5227265f837e9ba0246278</t>
  </si>
  <si>
    <t>acef497c1130f71ccfe63aaa1c9a607d</t>
  </si>
  <si>
    <t>1b7e5006cb25dd23ce8686691013b121</t>
  </si>
  <si>
    <t>0c4e43e25f781898363a83f9a7390ebb</t>
  </si>
  <si>
    <t>48162d548f5b1b11b9d29d1e01f75a61</t>
  </si>
  <si>
    <t>b77f596e85780e540958a58d35836e96</t>
  </si>
  <si>
    <t>b4ffb71f0cb1b1c3d63fad021ecf93e1</t>
  </si>
  <si>
    <t>a19b6951c75da43aad691622dd2f6abe</t>
  </si>
  <si>
    <t>f5badee8a0e679f057ec0ca4f0f32dcb</t>
  </si>
  <si>
    <t>e0a366315b1b726b6c7832d664c0f530</t>
  </si>
  <si>
    <t>a7f13822ceb966b076af67121f87b063</t>
  </si>
  <si>
    <t>9048cbd294fe0c1a3ec8c8248bc2cadd</t>
  </si>
  <si>
    <t>db123b35396aafabb2d5b476557abed5</t>
  </si>
  <si>
    <t>6cc44821f36f3156c782da72dd634e47</t>
  </si>
  <si>
    <t>7e99ab6d9d5d63b0190513103bdc1188</t>
  </si>
  <si>
    <t>439a47cc365d6e3bd526812ea9de3c29</t>
  </si>
  <si>
    <t>2155593e689475e40e4c8b93143c0287</t>
  </si>
  <si>
    <t>e00d2c49504aeaf7acdc9ff7cf8a6107</t>
  </si>
  <si>
    <t>6a595ba787e397469b1a147508f361a9</t>
  </si>
  <si>
    <t>080199a181c46c657dc5aa235411be3b</t>
  </si>
  <si>
    <t>a819714dd23a6ac18b1be2b13686017b</t>
  </si>
  <si>
    <t>ffff564a4f9085cd26170f4732393726</t>
  </si>
  <si>
    <t>bdf752aa5ccd0dfb9e9ed401b672f133</t>
  </si>
  <si>
    <t>7535f3518e1009b17aa6e3fa553e82bc</t>
  </si>
  <si>
    <t>8b87cd0d43d49b9bdf40f56229364d59</t>
  </si>
  <si>
    <t>729c55b4509d36c18b86f0bacc17ca5d</t>
  </si>
  <si>
    <t>259bd66612b61aa4e82ce3cde9272bbc</t>
  </si>
  <si>
    <t>f9b178c9fdc90bbcfbd6c6b49ed47d4c</t>
  </si>
  <si>
    <t>aefd95d8fa48ead0bcdec7fb758daea0</t>
  </si>
  <si>
    <t>478bfe564db21eeb44386606aa30b650</t>
  </si>
  <si>
    <t>84db874a1a2d895b0eece26cc9bb3dd3</t>
  </si>
  <si>
    <t>4b9750c8ad28220fe6702d4ecb7c898f</t>
  </si>
  <si>
    <t>8b52d90d2e8716dad633486c6cc94ecf</t>
  </si>
  <si>
    <t>d71d863e5ef30d94e440c11be17dcd8f</t>
  </si>
  <si>
    <t>7564c1759c04fc0a38f2aa84f7a370ee</t>
  </si>
  <si>
    <t>6860153b69cc696d5dcfe1cdaaafcf62</t>
  </si>
  <si>
    <t>8569e9a17c2b63e9e6e998dac2dfa533</t>
  </si>
  <si>
    <t>b01c2b7b8599b325103ebcddc67413e1</t>
  </si>
  <si>
    <t>81b6c7c058add831803fcbba6dcc1df2</t>
  </si>
  <si>
    <t>c4369b26f349bc301a680a89415b1344</t>
  </si>
  <si>
    <t>5bc55dbe2f12b6af6d83ed46023e0dc8</t>
  </si>
  <si>
    <t>a0f12db60a5019ce1a4c21fce1697574</t>
  </si>
  <si>
    <t>09738baf9be60e4c294fa5d0bfcc690d</t>
  </si>
  <si>
    <t>252e76235acb79183cfca6e34f13337d</t>
  </si>
  <si>
    <t>20bc10f7f2776f8b2eb6b817d2df190a</t>
  </si>
  <si>
    <t>f0b47fbbc6dee9aafe415a6e33051b3f</t>
  </si>
  <si>
    <t>c92a761aaccfb831d4220d44648f260a</t>
  </si>
  <si>
    <t>4e0d01d5e5e4bd454e71e7cd1491c052</t>
  </si>
  <si>
    <t>aed75ad669fbebd5a385ac7cc2ae7573</t>
  </si>
  <si>
    <t>17f51e7198701186712e53a39c564617</t>
  </si>
  <si>
    <t>41b43381a92451746dc1374dbbd4c43e</t>
  </si>
  <si>
    <t>4100a608bd0aa524b06ffefba973707b</t>
  </si>
  <si>
    <t>2a61c271b1ac763450d846849783e922</t>
  </si>
  <si>
    <t>45f0310974e6082deeda855f91984347</t>
  </si>
  <si>
    <t>ddbcffa21df7d85a96fc395a6d9ca334</t>
  </si>
  <si>
    <t>716586b5781e43926d404ad0f11669e8</t>
  </si>
  <si>
    <t>165f86fe8b799a708a20ee4ba125c289</t>
  </si>
  <si>
    <t>7ddcbb64b5bc1ef36ca8c151f6ec77df</t>
  </si>
  <si>
    <t>a3daee3915d4fb98376e039ede6bdea6</t>
  </si>
  <si>
    <t>2a261b5b644fa05f4f2700eb93544f2c</t>
  </si>
  <si>
    <t>0cf573090c66bb30ac5e53c82bdb0403</t>
  </si>
  <si>
    <t>4dba4de4cd67ba2191c34468ac2ca841</t>
  </si>
  <si>
    <t>784c94d1803e49492d2758907914b26c</t>
  </si>
  <si>
    <t>73bc42701d50d3c0673b38ea8fbe2e32</t>
  </si>
  <si>
    <t>6b20221ff09d73c64c77d9d934b9904c</t>
  </si>
  <si>
    <t>5a9f5760be273f3c7994beec0dbee655</t>
  </si>
  <si>
    <t>00ab8a8b9fe219511dc3f178c6d79698</t>
  </si>
  <si>
    <t>1b8356dabde1d35e17cef975c3f82730</t>
  </si>
  <si>
    <t>fb55982be901439613a95940feefd9ee</t>
  </si>
  <si>
    <t>f1b067568bb39768f754b0d1ab1abcf6</t>
  </si>
  <si>
    <t>25f86162fee18735fffdb762dcb10d7c</t>
  </si>
  <si>
    <t>d918b3f4aa5272c2c3cd088d087ca069</t>
  </si>
  <si>
    <t>ab1f9387c0627dd24000bfbc54fdeee0</t>
  </si>
  <si>
    <t>338aa2ba639b0be9950da484aac036c4</t>
  </si>
  <si>
    <t>8983a3b149303c013fceabef902e835a</t>
  </si>
  <si>
    <t>eae99ba0d11a9e56ddc878519bdb33b1</t>
  </si>
  <si>
    <t>2aa3443d7bf9d9bb11133f420d75e083</t>
  </si>
  <si>
    <t>169e1fedd1319ca92e90e057e7123005</t>
  </si>
  <si>
    <t>1e291c0c369924c39765c90de669e4b4</t>
  </si>
  <si>
    <t>547b95702aec86f05ac37e61d164891c</t>
  </si>
  <si>
    <t>91c82ace62e0ca1b69b1a45bcc214b45</t>
  </si>
  <si>
    <t>1996942dc085d7773ba77a529b163cd0</t>
  </si>
  <si>
    <t>c7b3b8509e06ae21abdd78b541215cda</t>
  </si>
  <si>
    <t>8f71fe1e1b5bbb6773e7276b5c37ef65</t>
  </si>
  <si>
    <t>95ec4458365c4d11f452ccf538377619</t>
  </si>
  <si>
    <t>5edf955f0c8417e3fea7288360c2e22d</t>
  </si>
  <si>
    <t>4200ddf1967c5e41e48db62bc6d4b5ac</t>
  </si>
  <si>
    <t>188c9cb0aff9e485e3f84752731c633a</t>
  </si>
  <si>
    <t>2b10e945dae5434075c8bb2be0d17325</t>
  </si>
  <si>
    <t>eb53f94fdc60278efcef123bb275658a</t>
  </si>
  <si>
    <t>372645c7439f9661fbbacfd129aa92ec</t>
  </si>
  <si>
    <t>525947dbe3304ac32bf51602f9557c12</t>
  </si>
  <si>
    <t>e38bfda757257dee1985af625f8911fc</t>
  </si>
  <si>
    <t>2742ee84b28b08268f169c5483f71b4a</t>
  </si>
  <si>
    <t>1613b819ab5dae53aead2dbb4ebdb378</t>
  </si>
  <si>
    <t>3dd2a17168ec895c781a9191c1e95ad7</t>
  </si>
  <si>
    <t>de722cd6dad950a92b7d4f82673f8833</t>
  </si>
  <si>
    <t>89e53f7e4890b10cd3fabafe0e4c2989</t>
  </si>
  <si>
    <t>5348b1bdd951b67a4d2a58992e2233ed</t>
  </si>
  <si>
    <t>914c9e9af640dd56f48764a225b00f89</t>
  </si>
  <si>
    <t>193cea27ec2ebc61c91cf7dd70420fad</t>
  </si>
  <si>
    <t>cc62ab8550303ced5351594a4fd87884</t>
  </si>
  <si>
    <t>95e03ca3d4146e4011985981aeb959b9</t>
  </si>
  <si>
    <t>5b226d7c52f86ac72457617f78cff95d</t>
  </si>
  <si>
    <t>5fc3e6a4b52b0c414458104ed4037f1c</t>
  </si>
  <si>
    <t>b114bf337c0626166abe574eee9e3f32</t>
  </si>
  <si>
    <t>fafb498dd2f33cbb55cbd0f7d7706047</t>
  </si>
  <si>
    <t>461f43be3bdf8844e65b62d9ac2c7a5a</t>
  </si>
  <si>
    <t>4ce8f190d8026353d3d91d907ad68f23</t>
  </si>
  <si>
    <t>157c3e4b42f81ac4a44e8b1ca2fe9876</t>
  </si>
  <si>
    <t>2e0ce433616916840a405d0853407af8</t>
  </si>
  <si>
    <t>de64d6bf725afcae6b5bb5f3304646f3</t>
  </si>
  <si>
    <t>a94036c0bb4dfce8d5762777c07b7be2</t>
  </si>
  <si>
    <t>677883eb52acde220f6d79fe67bba70a</t>
  </si>
  <si>
    <t>c1000786be861c72021fee27d0add9fd</t>
  </si>
  <si>
    <t>2a1348e9addc1af5aaa619b1a3679d6b</t>
  </si>
  <si>
    <t>eec68ed7d496bb2ee6aa0a69bb78acd2</t>
  </si>
  <si>
    <t>5f5b43b2bffa8656e4bc6efeb13cc649</t>
  </si>
  <si>
    <t>8562e2c780a345b609e1b802d7e3e4ae</t>
  </si>
  <si>
    <t>b3cf0a98f31b76ed0cec13d9c77102c4</t>
  </si>
  <si>
    <t>2bfc998cf625e54b2c6447bfc7c18cb4</t>
  </si>
  <si>
    <t>bef21943bc2335188429e1638ef99b81</t>
  </si>
  <si>
    <t>e49c26c3edfa46d227d5121a6b6e4d37</t>
  </si>
  <si>
    <t>4c42f0c72caf632a20df25562451c1a8</t>
  </si>
  <si>
    <t>3cfa1358a6caa965278721344c8d76f2</t>
  </si>
  <si>
    <t>80033c8e73f5b367b3809549337f0122</t>
  </si>
  <si>
    <t>e61b1e021d5ed7e513da1851597760cc</t>
  </si>
  <si>
    <t>ca5c923962558430573f83661dbe36d6</t>
  </si>
  <si>
    <t>66922902710d126a0e7d26b0e3805106</t>
  </si>
  <si>
    <t>fed5c40c27e1c88560a9e92d82ee0825</t>
  </si>
  <si>
    <t>05c693a8085dad009cebdcf2830ab738</t>
  </si>
  <si>
    <t>aa280035c50ba62c746480a59045eec4</t>
  </si>
  <si>
    <t>98e91d0f32954dcd8505875bb2b42cdb</t>
  </si>
  <si>
    <t>ce169d5f9421a6f21e41a7bf54d0b98e</t>
  </si>
  <si>
    <t>658c48e890d98bb89d28a9d5e6309676</t>
  </si>
  <si>
    <t>180fbb426ea5ab0708d43ad3f3839bb9</t>
  </si>
  <si>
    <t>8b9d6eec4a7eb7d0f9d579ce0b38324d</t>
  </si>
  <si>
    <t>ffd34459c21034d1da6df9800de0d7a3</t>
  </si>
  <si>
    <t>3db75f31b76375c502f64d550dcd1166</t>
  </si>
  <si>
    <t>cc81f952b83d2bdcfbd980e2a7249adf</t>
  </si>
  <si>
    <t>718539d38d07dd351c76db862760e2e2</t>
  </si>
  <si>
    <t>78304982b107fb026e5e9a4a1f48acae</t>
  </si>
  <si>
    <t>9f1c3e71d56894398a42b050b07f1baa</t>
  </si>
  <si>
    <t>f5a7d79f27ac4b76ffb13c8ee63d4f07</t>
  </si>
  <si>
    <t>f12ff17ad8bbf01ec5c33b17e506649b</t>
  </si>
  <si>
    <t>10876ffa7227a74d878729d3f6bea35d</t>
  </si>
  <si>
    <t>7ada7bee4052075cf6310885da8c4392</t>
  </si>
  <si>
    <t>caa41bf17e27022341da028e79152c4c</t>
  </si>
  <si>
    <t>2b87ded5c8c2c971d4d5a2e4bd7b85bc</t>
  </si>
  <si>
    <t>af62192c9415dbf2b36c294762acd9ed</t>
  </si>
  <si>
    <t>63b464dbf392c7b80d12d932fa7cafed</t>
  </si>
  <si>
    <t>1a2d00b771a438bee7055bbd0086e003</t>
  </si>
  <si>
    <t>d2f2c2b94c6ac44ece0bd0dd202c7939</t>
  </si>
  <si>
    <t>7aab18bec732db73232f712de3ba14fc</t>
  </si>
  <si>
    <t>3b9c4a90ade7d4cb7e5b5c5ba475ef9a</t>
  </si>
  <si>
    <t>b92e3c8f9738272ff7c59e111e108d7c</t>
  </si>
  <si>
    <t>7c4bc321009f51cefbb3877de6b98bae</t>
  </si>
  <si>
    <t>4d9e8a6d8d07e4f47e093b8c2999ae01</t>
  </si>
  <si>
    <t>ccd686475dbff77b93871eae4754526b</t>
  </si>
  <si>
    <t>bacb1f0ed56ad24198f5810d2b3fe9a5</t>
  </si>
  <si>
    <t>cd82271424be9568801391194697361c</t>
  </si>
  <si>
    <t>062ce95fa2ad4dfaedfc79260130565f</t>
  </si>
  <si>
    <t>1c9b5793de6c3d9117b6218552c87a8f</t>
  </si>
  <si>
    <t>2a211896ec7ab72cedc7939e9ffb01b4</t>
  </si>
  <si>
    <t>2b849e71ada03a262ef4338a7abd8b79</t>
  </si>
  <si>
    <t>8d98dedc3c19de17f1a090195e85d6b6</t>
  </si>
  <si>
    <t>85af7fadae5de53760a7d131bdf776f7</t>
  </si>
  <si>
    <t>d4e12e7884759a14fa0f5f896c791cae</t>
  </si>
  <si>
    <t>dfb97c88e066dc22165f31648efe1312</t>
  </si>
  <si>
    <t>6ea7a562f5a6249001ce232582060265</t>
  </si>
  <si>
    <t>95d8de3420cf92ad4824b588db2604cf</t>
  </si>
  <si>
    <t>72f3781e31206029b40584266bb01799</t>
  </si>
  <si>
    <t>f921da19d229dad9bf3a94e86e7f7f32</t>
  </si>
  <si>
    <t>04e38a233f726ef161074ab1c9b0399a</t>
  </si>
  <si>
    <t>d285360f29ac7fd97640bf0baef03de0</t>
  </si>
  <si>
    <t>2eb70248d66e0e3ef83659f71b244378</t>
  </si>
  <si>
    <t>688ad0169550f8e2eb0307b61df3ba12</t>
  </si>
  <si>
    <t>e940125d0a3c309f58f41cd21e39af06</t>
  </si>
  <si>
    <t>6039e27294dc75811c0d8a39069f52c0</t>
  </si>
  <si>
    <t>a55b9bc476c34d53d8f3f27c922f6374</t>
  </si>
  <si>
    <t>6e7b435ac3c84fc5348dba974e184322</t>
  </si>
  <si>
    <t>c3002d67c0b8c6449c3a80c1556ad8c5</t>
  </si>
  <si>
    <t>3faadd91c89ff779e6cd1fd09a46ee39</t>
  </si>
  <si>
    <t>7d0e0214a0852cf0c90032c7992cf27f</t>
  </si>
  <si>
    <t>2a6fbeaa7ab9e5d59a35841a8da71ce4</t>
  </si>
  <si>
    <t>7f55769896fc6596e7251490b8b5e536</t>
  </si>
  <si>
    <t>9d6c66334a27b9dcf34b71cd371638de</t>
  </si>
  <si>
    <t>a233df9a388d27dbdfd31731d4236db0</t>
  </si>
  <si>
    <t>784ba75dd9d20200c4caed3d7a77141a</t>
  </si>
  <si>
    <t>ecbe401f10ecd3b822d940d63cc3311e</t>
  </si>
  <si>
    <t>cd68562d3f44870c08922d380acae552</t>
  </si>
  <si>
    <t>c7b3cf9de7be95b3e09e7a63315685eb</t>
  </si>
  <si>
    <t>a8856d651600289b162f857e26838480</t>
  </si>
  <si>
    <t>3c4223262d31fa35043380da246fb0fa</t>
  </si>
  <si>
    <t>cb3dd9ce66268c7a3ca7241ac70ab58c</t>
  </si>
  <si>
    <t>c977ac034427790e883ab55f4baa68c2</t>
  </si>
  <si>
    <t>fd1446e03cb63518fdc2d2e91f6208b2</t>
  </si>
  <si>
    <t>aba1721a889e04decc910aa13b768ef4</t>
  </si>
  <si>
    <t>1531b09bff3fb016e5f0b4435b643672</t>
  </si>
  <si>
    <t>909b87db6cb3a7ab26bd03cc59860136</t>
  </si>
  <si>
    <t>9453bde60c4ee52155c963641736cfc5</t>
  </si>
  <si>
    <t>c6bf4cdc2fc9ca1189d18f026d95af07</t>
  </si>
  <si>
    <t>fcf19b6b1ff4a17bcd6ca9675b58aa6f</t>
  </si>
  <si>
    <t>d86a6c48f83b045cbba6df84926a1f25</t>
  </si>
  <si>
    <t>c8b3445d737de6befde0c88ede534a5e</t>
  </si>
  <si>
    <t>6a31191d5ac5852b0478f6e245ac5b02</t>
  </si>
  <si>
    <t>7357b52d27cbaa90f81a96cbc1279396</t>
  </si>
  <si>
    <t>a00cd7752fb98e0a8382def60ecc0b17</t>
  </si>
  <si>
    <t>47a4d6ab2e9b253f8c3c8aefa0c40285</t>
  </si>
  <si>
    <t>3fa43718c1d128c8d2f148530e9493f5</t>
  </si>
  <si>
    <t>259f7b5e6e482c230e5bfaa670b6bb8f</t>
  </si>
  <si>
    <t>25d6edcd216a9ee579f19f92d694f7d5</t>
  </si>
  <si>
    <t>b76364870c38ddd7dcc9dd9ab5abeeb4</t>
  </si>
  <si>
    <t>63d6e7ab30f482382c9dfbbccae7da54</t>
  </si>
  <si>
    <t>b2a6d334e2833acea353624840e25a0e</t>
  </si>
  <si>
    <t>61194019f380f0b760c31e66ee97e50d</t>
  </si>
  <si>
    <t>209699610264262664b7357184f3b83f</t>
  </si>
  <si>
    <t>dd3575a8c5e2139f680a9816a15c8f2a</t>
  </si>
  <si>
    <t>f62cbf4416c9ef8e1b4e8d5279891f24</t>
  </si>
  <si>
    <t>5232994b2d1d55105b92d445d97d0f62</t>
  </si>
  <si>
    <t>49ebaaba28aca545f9a5ff9fc17ae988</t>
  </si>
  <si>
    <t>921d31a1daa51460b7a95ea5f3ab64d5</t>
  </si>
  <si>
    <t>0df3984f9dfb3d49ac6366acbd3bbb85</t>
  </si>
  <si>
    <t>2dd91cf063cf57cb0eebef072746daab</t>
  </si>
  <si>
    <t>eb6913790ee61d3d4d8dffcbbedea827</t>
  </si>
  <si>
    <t>382229d1e840115ffe3dbf5ff460e417</t>
  </si>
  <si>
    <t>42737e3759311804e830f222c6135e30</t>
  </si>
  <si>
    <t>e439f7176d763f92de325271111b2fd5</t>
  </si>
  <si>
    <t>e71435b372f90893385344e8be3a7696</t>
  </si>
  <si>
    <t>9baf5cb77970f539089d09a38bcec5c3</t>
  </si>
  <si>
    <t>8d4e92265a16e69a1e1d76e67e46d72f</t>
  </si>
  <si>
    <t>54219883e72aad869adfb2a54b7bfa0f</t>
  </si>
  <si>
    <t>4413a608a42bd21bbf9d5abbd58c249a</t>
  </si>
  <si>
    <t>2fd89f236e3e8f4b81b7b74f09f40186</t>
  </si>
  <si>
    <t>f214d28e8d8e3ef068748498ccc2f813</t>
  </si>
  <si>
    <t>0f5d0170c03b333aa1a44fa11e040e75</t>
  </si>
  <si>
    <t>0a4093a4af429dc0a9334300e5c13ae5</t>
  </si>
  <si>
    <t>49bfa76ac7062b8b5a0bf9601623d612</t>
  </si>
  <si>
    <t>6a8a889bde935bafa76d7848782dfaf9</t>
  </si>
  <si>
    <t>25e2023ed83352bde98dc1490d14c3d8</t>
  </si>
  <si>
    <t>993245facdeea0014e73a3e18750c123</t>
  </si>
  <si>
    <t>2c7f01e4f39f8ca21caddb86374d7b4b</t>
  </si>
  <si>
    <t>5f8c74f4a3d2b616857fcb7d4dd1f61a</t>
  </si>
  <si>
    <t>83e197e95a1bbabc8c75e883ed016c47</t>
  </si>
  <si>
    <t>2b3b11d70c32fbfc8e850fb68985a000</t>
  </si>
  <si>
    <t>70849ca4f400aaabb62cb7462a6f1428</t>
  </si>
  <si>
    <t>f1c7f353075ce59d8a6f3cf58f419c9c</t>
  </si>
  <si>
    <t>964093075b6885bfcc6520dd216e4d8f</t>
  </si>
  <si>
    <t>1a405418406359cc2b8815f93bf359c2</t>
  </si>
  <si>
    <t>60e77eeb5275ed33a04d1fd482feaac8</t>
  </si>
  <si>
    <t>542b3d80712d51eefe3a3cd1c5f4e8fe</t>
  </si>
  <si>
    <t>a56b51724402d77b13ba844e67130c4a</t>
  </si>
  <si>
    <t>8f119a0aee85c0c8fc534629734e94fd</t>
  </si>
  <si>
    <t>86b8032cbb666ec9ca1f2aa4d4cace06</t>
  </si>
  <si>
    <t>dee656f0f566ed1aa85bd137c943f08f</t>
  </si>
  <si>
    <t>b4183f86c9a0c7a13138ff4575114f76</t>
  </si>
  <si>
    <t>06c6e01186af8b98ee1fc9e01f9471e9</t>
  </si>
  <si>
    <t>fc906263ca5083d09dce42fe02247800</t>
  </si>
  <si>
    <t>0a6cff78b203b5224378cf8db2dff5a6</t>
  </si>
  <si>
    <t>ce3ad9de960102d0677a81f5d0bb7b2d</t>
  </si>
  <si>
    <t>8aa6223e400af9c97b07c75993142721</t>
  </si>
  <si>
    <t>1f9ab4708f3056ede07124aad39a2554</t>
  </si>
  <si>
    <t>d9440686faf90019c12440cb9c783e4d</t>
  </si>
  <si>
    <t>d17f467e4bf608a510c20d82f4ba3b6b</t>
  </si>
  <si>
    <t>ccc61dc31608c5b78cf0cbe85582fb77</t>
  </si>
  <si>
    <t>e0cf79767c5b016251fe139915c59a26</t>
  </si>
  <si>
    <t>186fe07c8b8005ec6a498587ffbc1352</t>
  </si>
  <si>
    <t>1a300f482e35d7eac74b229be067aefd</t>
  </si>
  <si>
    <t>f9d151cf2fc10d41cce64b782856320f</t>
  </si>
  <si>
    <t>130482add9fd75ccb6c57ba007694a2d</t>
  </si>
  <si>
    <t>6d2c14b30e95a30ea57059b97cdd9fe7</t>
  </si>
  <si>
    <t>764292b2b0f73f77a0272be03fdd45f3</t>
  </si>
  <si>
    <t>bd23da7354813347129d751591d1a6e2</t>
  </si>
  <si>
    <t>0f3777229e40207d248acfd6e1f716b6</t>
  </si>
  <si>
    <t>e2aee0892199b1d92530e371abd825bf</t>
  </si>
  <si>
    <t>095cb863f2b04911455ad33f5177062e</t>
  </si>
  <si>
    <t>2059c39f76271d4ca3f15b5ffaccc8b8</t>
  </si>
  <si>
    <t>9646c3513289980f17226a2fc4720dbd</t>
  </si>
  <si>
    <t>8817f0cda3d5b42e5f949ee3be9dc80c</t>
  </si>
  <si>
    <t>aa74ebe862c9061d4272681810675a01</t>
  </si>
  <si>
    <t>4c1e109ecdf58453de365d217cefa64c</t>
  </si>
  <si>
    <t>200b6dfc80a2ec5fee97a72da6589698</t>
  </si>
  <si>
    <t>6cd68b3ed6d59aaa9fece558ad360c0a</t>
  </si>
  <si>
    <t>be764855458cd43b36c334faa773f7d5</t>
  </si>
  <si>
    <t>af7cdac9d9897cddead9c6b08976c642</t>
  </si>
  <si>
    <t>9ea1152d6d52dc57ab2ea49aa626adc1</t>
  </si>
  <si>
    <t>79a8800eb81425242b64f54f687f9af3</t>
  </si>
  <si>
    <t>4b5e26931a0b0d3a690a3f520329a975</t>
  </si>
  <si>
    <t>566f6035da0eb2a5d974ac66ae6d148c</t>
  </si>
  <si>
    <t>2009a095de2a2a41626f6c6d7722678d</t>
  </si>
  <si>
    <t>3516632e8f52b679ff83d1665ecc990e</t>
  </si>
  <si>
    <t>0b6a32b32a7dc68b12e8a0e0805c44d5</t>
  </si>
  <si>
    <t>a7ca7fd9bf5015bfeecc4010e8fa4ce7</t>
  </si>
  <si>
    <t>9a03a4e9eb0b947652fae4f6121a3f5e</t>
  </si>
  <si>
    <t>625dac8156b3157351e7257305148f3f</t>
  </si>
  <si>
    <t>99f265229d46f700208ad7cb1ff48aae</t>
  </si>
  <si>
    <t>3104dbf304c25fa1812a11ad924f8b57</t>
  </si>
  <si>
    <t>e62b2d6ac10570a035a30bafcf01d263</t>
  </si>
  <si>
    <t>e5178e8bcef1146c07bf05c267ed1729</t>
  </si>
  <si>
    <t>2ec8497962cc5f7730756635a5cbbf16</t>
  </si>
  <si>
    <t>ed7090839f8e749840a20f1c1cc78717</t>
  </si>
  <si>
    <t>ce8a29973a1fed3f8d22ea5514d9ea07</t>
  </si>
  <si>
    <t>a76d6212f99d1253fb7bcfe02ce87d8a</t>
  </si>
  <si>
    <t>17823ffd2de8234f0e885a71109613a4</t>
  </si>
  <si>
    <t>2ea92fab7565c4fe9f91a5e4e1756258</t>
  </si>
  <si>
    <t>c3c075d20bbf03a458eb5c4458d82380</t>
  </si>
  <si>
    <t>294d41c2e68c3452a16c269c5a969537</t>
  </si>
  <si>
    <t>f63e5eb82736ac58d9d286f64fe5c44f</t>
  </si>
  <si>
    <t>08ad4ac1388e4420ca531c3edfc46198</t>
  </si>
  <si>
    <t>caa526308abc9a77d0c56869139dbae9</t>
  </si>
  <si>
    <t>39f9ab5ea27485a4c3d32ee4c45630d8</t>
  </si>
  <si>
    <t>8016b7670842c9e99086f95ca96d7356</t>
  </si>
  <si>
    <t>430315b7bb4b6e4b3c978f9dfa9b0558</t>
  </si>
  <si>
    <t>a8b0dd2c57b49b649373ff5a495a697e</t>
  </si>
  <si>
    <t>8e8a7ce9f2f970dc00e2acf6f6e199f6</t>
  </si>
  <si>
    <t>84d2057bc1f88332d0892eea0e997d28</t>
  </si>
  <si>
    <t>31b8c37adb9572ed34757d9368d987ac</t>
  </si>
  <si>
    <t>056010e0e6196d99309275e1b2d12c80</t>
  </si>
  <si>
    <t>b561927807645834b59ef0d16ba55a24</t>
  </si>
  <si>
    <t>9fdc434e0c81bc6d990065c2a7efb4de</t>
  </si>
  <si>
    <t>7b52ce3d6635ac7eb9d2bbb3dc931843</t>
  </si>
  <si>
    <t>2bb3e85f2a403543fdb64e266e70c792</t>
  </si>
  <si>
    <t>76d64c4aca3a7baf218bf93ef7fa768d</t>
  </si>
  <si>
    <t>77fa3381855b6763c52ca3b72824f508</t>
  </si>
  <si>
    <t>9c0f79b9daf5436386477b4e17b94389</t>
  </si>
  <si>
    <t>09c3a2ea33f044aebffecd6681e00133</t>
  </si>
  <si>
    <t>8c591ab0ca519558779df02023177f44</t>
  </si>
  <si>
    <t>e30d5b80f5e85b8f9e7c627b5d594b38</t>
  </si>
  <si>
    <t>1336efc61c316ddf92c899eb817f7cae</t>
  </si>
  <si>
    <t>879f3fcede3745f74eef673bf8d5805a</t>
  </si>
  <si>
    <t>ef66e63137bdd1b2e44aa968646fc1e3</t>
  </si>
  <si>
    <t>d5b703c271f43f9c588a6f512a00f77e</t>
  </si>
  <si>
    <t>a7e03f1bcebad9ca43f8f4dbda9bc1b6</t>
  </si>
  <si>
    <t>c19965667589410161de452ee07d33af</t>
  </si>
  <si>
    <t>d23019c84ffae2d5ef2270367b8605fc</t>
  </si>
  <si>
    <t>bee2e070c39f3dd2f6883a17a5f0da45</t>
  </si>
  <si>
    <t>12fc9ab82dd45f3824881d94f79edb38</t>
  </si>
  <si>
    <t>116ccb1a1604bc88e4d234a8c23f33de</t>
  </si>
  <si>
    <t>f83a5f8708629c8efc042168299e8641</t>
  </si>
  <si>
    <t>26dbcaad027ebbead6bb387c7d68abca</t>
  </si>
  <si>
    <t>5cde85235c4ae7747e9b48de95178a14</t>
  </si>
  <si>
    <t>c863f578eb77e9238bfc0db8d0ffa3c8</t>
  </si>
  <si>
    <t>431dc11c26a67c6a49e81cee84f35b28</t>
  </si>
  <si>
    <t>66e0557ecc2b4dbea057e93f215f68d8</t>
  </si>
  <si>
    <t>44d097d59e8430f88a67517cd0c4f865</t>
  </si>
  <si>
    <t>fb05d01823da2c4e90924c5486134808</t>
  </si>
  <si>
    <t>bb7181410b4e02f93f3697f765db53c7</t>
  </si>
  <si>
    <t>f4041d76285c2a34ad5013e8d287a400</t>
  </si>
  <si>
    <t>cbd2c1ba72b7f4ce36a69fd430c019ae</t>
  </si>
  <si>
    <t>5b8423dc7f23089c9c59c5d140eb5a1c</t>
  </si>
  <si>
    <t>5c087f345e870429ec3ea20a49a79735</t>
  </si>
  <si>
    <t>3e5201fe0d1ba474d9b90152c83c706c</t>
  </si>
  <si>
    <t>ca36223e14b83df526098afff99de992</t>
  </si>
  <si>
    <t>0a27cbaaeacef635e4aa37885a1e5e93</t>
  </si>
  <si>
    <t>6fd3f7378cd65325e10cb21733778416</t>
  </si>
  <si>
    <t>870d0118f7a9d85960f29ad89d5d989a</t>
  </si>
  <si>
    <t>009af1277432f1a05742df69cdf72d1e</t>
  </si>
  <si>
    <t>76f4d017416dbf316f05abe3a1aa04df</t>
  </si>
  <si>
    <t>b000447e24e31a4d7e628ca4d0622131</t>
  </si>
  <si>
    <t>e338f548cda0b52650b9acfd317a74db</t>
  </si>
  <si>
    <t>4f823b57fbf2a359f9df38dc72ef0da6</t>
  </si>
  <si>
    <t>0d33a55da925bbf1ff02af5f6059fc7f</t>
  </si>
  <si>
    <t>a87567bdce60de6f901e3d7c6d8df820</t>
  </si>
  <si>
    <t>318f287a62ab7ac10b703ac37435a231</t>
  </si>
  <si>
    <t>e7d5464b94c9a5963f7c686fc80145ad</t>
  </si>
  <si>
    <t>58f1a6197ed863543e0136bdedb3fce2</t>
  </si>
  <si>
    <t>1becf32f9c527bad8d88e8e6aa99f021</t>
  </si>
  <si>
    <t>63888810573fd78e60644cdf803cd2fa</t>
  </si>
  <si>
    <t>0a57f7d2c983bcf8188589a5fea4a8da</t>
  </si>
  <si>
    <t>fddc61a36e83f12b665d068c07411aa7</t>
  </si>
  <si>
    <t>54a1852d1b8f10312c55e906355666ee</t>
  </si>
  <si>
    <t>02ce467092b184e71d3967d29110adc1</t>
  </si>
  <si>
    <t>17a019676883dce326999c11a46a14f0</t>
  </si>
  <si>
    <t>86b29e90cab127b7231caf9eb85d4353</t>
  </si>
  <si>
    <t>77a399638eca91f6fa1a508a30e01565</t>
  </si>
  <si>
    <t>25cf099de44674fde97473224f9d59ab</t>
  </si>
  <si>
    <t>f3c62fde9d2e2acf6c7c46648571c070</t>
  </si>
  <si>
    <t>e0eabded302882513ced4ea3eb0c7059</t>
  </si>
  <si>
    <t>3efd399c5d016b9e6a5ad3196eade44f</t>
  </si>
  <si>
    <t>503c1de08ae81a2d86f17951b204db55</t>
  </si>
  <si>
    <t>42fd6f72ca3e6f53b25d7a19b0536630</t>
  </si>
  <si>
    <t>c234a60a994181f45605566bef8fe3b4</t>
  </si>
  <si>
    <t>d101c6da914ae3d53f7bee42283f2fe2</t>
  </si>
  <si>
    <t>e4985e03cd939f1a9f81c65e949f1688</t>
  </si>
  <si>
    <t>61963c77fd2c3db173915d9dc837ee12</t>
  </si>
  <si>
    <t>63c4a70e0a12b4bd9475fca9e9937e76</t>
  </si>
  <si>
    <t>50063fba038aabf31446889396187973</t>
  </si>
  <si>
    <t>f5a590cf36251cf1162ea35bef76fe84</t>
  </si>
  <si>
    <t>9446c80fe62e667a43387750f8a8f6d0</t>
  </si>
  <si>
    <t>c4101d1b4e0fabda6c62a8074e92cbbc</t>
  </si>
  <si>
    <t>9674754b5a0cb32b638cec001178f799</t>
  </si>
  <si>
    <t>8fc31e1c7f966b5262cfcc89e159d9a7</t>
  </si>
  <si>
    <t>fd386aa7bed2af3c7035c65506c9b4a3</t>
  </si>
  <si>
    <t>89b121bee266dcd25688a1ba72eefb61</t>
  </si>
  <si>
    <t>d465fef4e52e46bc9e04996b37789bbd</t>
  </si>
  <si>
    <t>59f17be62604541797d4df87ae80cf73</t>
  </si>
  <si>
    <t>34282a40b7d2b7aae8762762cb6ebcad</t>
  </si>
  <si>
    <t>1d373b3e02a3212aff33054cbf30abf1</t>
  </si>
  <si>
    <t>3918bb60ff48662029ca9f1e1f7b9842</t>
  </si>
  <si>
    <t>d57e18d5f73c7ccb7f7339b61166898d</t>
  </si>
  <si>
    <t>3e31fd1419cc4cd6adad1925e72e3a03</t>
  </si>
  <si>
    <t>49ae25c5f82cd4bc8057d0b16d45af3a</t>
  </si>
  <si>
    <t>45ba18c210d42734ec52c0c1c574e9ee</t>
  </si>
  <si>
    <t>72ef87b1953a2844ed089bd6dcf73913</t>
  </si>
  <si>
    <t>fb00f51d564e36645bf7eab56ce5fd43</t>
  </si>
  <si>
    <t>373ee4a3a775a733770ca3f790b8b9ac</t>
  </si>
  <si>
    <t>810cb3c5af006624fa32d362077af85f</t>
  </si>
  <si>
    <t>f497ba62f1d6b4f6a3a3266fa8623ad3</t>
  </si>
  <si>
    <t>6df688df543f90e9b38f4319e75a9d88</t>
  </si>
  <si>
    <t>6d85d9d5f551adaa92a276918f462fbe</t>
  </si>
  <si>
    <t>1f1bb1f0859883505541bdd6606193e5</t>
  </si>
  <si>
    <t>87ceed33e1f7fe39fa06b69c9fdf9e53</t>
  </si>
  <si>
    <t>ea566164622c6b439516ab18062c42cd</t>
  </si>
  <si>
    <t>560ed840b584c6aef5c8959366dfd41e</t>
  </si>
  <si>
    <t>b44076f8988fe82b676a754e798ab0f9</t>
  </si>
  <si>
    <t>60495adb1f1a49c8aea75e5e56a47a48</t>
  </si>
  <si>
    <t>8d7654102992872ef4342f91f9997e64</t>
  </si>
  <si>
    <t>392e0502231ae2f8b29994ef6398cd77</t>
  </si>
  <si>
    <t>5b3b5f9ae84ca9ead3138b199420cc94</t>
  </si>
  <si>
    <t>adbc26658d6c7b4b6219f9d934598091</t>
  </si>
  <si>
    <t>6d1befe53a3d28e0d0d8b3bfcce11195</t>
  </si>
  <si>
    <t>bba74270a87732727b5a3b4fd9ac1c39</t>
  </si>
  <si>
    <t>04574f4bc055655311e798b4e277b9af</t>
  </si>
  <si>
    <t>fe7ad3e3828f32193dfbe6359f733a8f</t>
  </si>
  <si>
    <t>b9d2933371226d828303d9235b89369c</t>
  </si>
  <si>
    <t>0030e635639c898b323826589761cf23</t>
  </si>
  <si>
    <t>acadd4d36859671cb635527c6c977533</t>
  </si>
  <si>
    <t>3cacd5299c846cb08ae1e445fd78392b</t>
  </si>
  <si>
    <t>c7dcd301ecfe5ab7f778ac172cf74be7</t>
  </si>
  <si>
    <t>f908d3bf313a1308bfb2a46ea2685347</t>
  </si>
  <si>
    <t>25e6ffe976bd75618accfe16cefcbd0d</t>
  </si>
  <si>
    <t>fb2f2ec90b4ee90ad257bbf89d01247e</t>
  </si>
  <si>
    <t>db6677c6f890ba1730c0b75bd8132579</t>
  </si>
  <si>
    <t>72602b08ac8b5e5664b105ce8e0ce5b9</t>
  </si>
  <si>
    <t>b9b44a9826ac288d8d3caf327f709007</t>
  </si>
  <si>
    <t>7a241947449cc45dbfda4f9d0798d9d0</t>
  </si>
  <si>
    <t>f60e19fc3b0ee38735e6a6fefe937bdf</t>
  </si>
  <si>
    <t>18fa9cc25ea8b54f32d029f261673c0f</t>
  </si>
  <si>
    <t>0b35c634521043bf4b47e21547b99ab5</t>
  </si>
  <si>
    <t>22c5ddc22ea8cae84fc9917def682dc6</t>
  </si>
  <si>
    <t>87d780fa7d2cf3710aa02dc4ca8db985</t>
  </si>
  <si>
    <t>bf35317e81a1e1477a2256328bce9e9f</t>
  </si>
  <si>
    <t>3fc18e3aefe7b9346bd15de863fa0365</t>
  </si>
  <si>
    <t>fb1f078a066428f00c1d71d6b9df3ff8</t>
  </si>
  <si>
    <t>eebb3372362aa9a46975164bed19a7e7</t>
  </si>
  <si>
    <t>49b624365d1b55a1747aedf255a15e62</t>
  </si>
  <si>
    <t>1ee03eca6034b77b25d08c004bc79dd8</t>
  </si>
  <si>
    <t>51e8feeedd83467b86a79aa2769367c5</t>
  </si>
  <si>
    <t>6413f7a28e149a324c4a914000399fb2</t>
  </si>
  <si>
    <t>61fef484fda8aa0f5bad54aa9c640d3f</t>
  </si>
  <si>
    <t>29e6e05b65f93bc224c644319dc52ecf</t>
  </si>
  <si>
    <t>7cd29da0653abeb444703cc5a957f479</t>
  </si>
  <si>
    <t>472e6464088101bf2ec351d222c415ab</t>
  </si>
  <si>
    <t>f043e249c55c1ab30bd9761c2294911f</t>
  </si>
  <si>
    <t>aa762680c40618316a896838866140ea</t>
  </si>
  <si>
    <t>61eee7a9f1884caed59c316047c5832f</t>
  </si>
  <si>
    <t>8f79239910bb0bf15488ef9abd9e6593</t>
  </si>
  <si>
    <t>30360c8b0b2ac6918f53ab66bc3c306f</t>
  </si>
  <si>
    <t>8ae520247981aa06bc94abddf5f46d34</t>
  </si>
  <si>
    <t>192d363be840c4c307c77a1880c1d8d6</t>
  </si>
  <si>
    <t>32bb152336c896d906a6344cdbe1993c</t>
  </si>
  <si>
    <t>ee14580a079d31644603ec91e37c7ed2</t>
  </si>
  <si>
    <t>d3674f271c91f824f82d24d92011f669</t>
  </si>
  <si>
    <t>782447ddd6d2ba5b64cb23ef7a8db626</t>
  </si>
  <si>
    <t>7b7f91e98f8c6def45a1407923304402</t>
  </si>
  <si>
    <t>1906cb28cdc0781f04a95d4d3d0d980d</t>
  </si>
  <si>
    <t>154f1553226255086ce3e22b1b013415</t>
  </si>
  <si>
    <t>0127db1f4effcf8f5b88d80588bc5624</t>
  </si>
  <si>
    <t>4e064cdbe4079c84a33181a96cf5609b</t>
  </si>
  <si>
    <t>1f50c7757334d6acef5e3c5fa64eb3c7</t>
  </si>
  <si>
    <t>dbb9b48c841a0e39e21f98e1a6b2ec3e</t>
  </si>
  <si>
    <t>88dd63919fc9ab693803578a04a20209</t>
  </si>
  <si>
    <t>965ab297b516455ba5bae37d17bc51f8</t>
  </si>
  <si>
    <t>b83cedfb587e7911540e3f576d6917ce</t>
  </si>
  <si>
    <t>d011223de539cd224b5c5c8082313d46</t>
  </si>
  <si>
    <t>774ea72f37a7fbf1fb32b973a18f2348</t>
  </si>
  <si>
    <t>1164c17af70425821f88bfbdc9e907a3</t>
  </si>
  <si>
    <t>43cb1d661a38ba864fc53fe1b6edb0ed</t>
  </si>
  <si>
    <t>e48b04bf1aa1ef711caebeb7aede6180</t>
  </si>
  <si>
    <t>03c14a3d479e334e87ee5baf2563811d</t>
  </si>
  <si>
    <t>eeb6de78f79159600292e314a77cbd18</t>
  </si>
  <si>
    <t>f89caa3ea4fb5f7b6e7fb2bb4ba61881</t>
  </si>
  <si>
    <t>b781cf30a200b5eff2787c2074d67045</t>
  </si>
  <si>
    <t>331e79a28ee5afbb321a3146653085f2</t>
  </si>
  <si>
    <t>3eef0cb94ba82de806bb30ab743c7655</t>
  </si>
  <si>
    <t>f40876e0ef3cd5f9132b1f16b04b1346</t>
  </si>
  <si>
    <t>8203048d6e95e42c60a24edf3425ab90</t>
  </si>
  <si>
    <t>b36f3c918c91478c4559160022d3f14e</t>
  </si>
  <si>
    <t>441d3f638e532d223ae9a0661abb6de6</t>
  </si>
  <si>
    <t>ab37272e0676ac205aba0db310cfaaa0</t>
  </si>
  <si>
    <t>2a217b8a9a09c938d8db704d99d7f053</t>
  </si>
  <si>
    <t>06f756df8d80309915285f3ee6ea1059</t>
  </si>
  <si>
    <t>3138a5168026c06238f332528ec8e0ee</t>
  </si>
  <si>
    <t>ffad1e7127fb622cb64a900751590acd</t>
  </si>
  <si>
    <t>331a9e69c95aad991177b0f1ef85a261</t>
  </si>
  <si>
    <t>161c9558fccfbf0a9ed72b42285635ec</t>
  </si>
  <si>
    <t>9fe172fa8e662ca8572cf12abf8bce23</t>
  </si>
  <si>
    <t>a2bd7f16312b272bf77b7e1464ef7638</t>
  </si>
  <si>
    <t>4992e76a42cb3aad7a7047e0d3d7e729</t>
  </si>
  <si>
    <t>8fd009f43c970fdd7db487475a59cc7a</t>
  </si>
  <si>
    <t>5fd924b4836098a5be0ecf81ba054ce0</t>
  </si>
  <si>
    <t>b94d4eb757243e4bb42453bd0be1958d</t>
  </si>
  <si>
    <t>312ba1d77e9c332ef21f9598b7f64cd7</t>
  </si>
  <si>
    <t>9a2e821cfc513051382e27606ab3325c</t>
  </si>
  <si>
    <t>43423cdffde7fda63d0414ed38c11a73</t>
  </si>
  <si>
    <t>b1fc4f64df5a0e8b6913ab38803c57a9</t>
  </si>
  <si>
    <t>8ce0b48cdcc4b753ae4de64497998338</t>
  </si>
  <si>
    <t>75d34ebb1bd0bd7dde40dd507b8169c3</t>
  </si>
  <si>
    <t>0e687d00ba3214b4aca6397a14d49373</t>
  </si>
  <si>
    <t>4917cee8d902e13428c3ec4b1ca6f315</t>
  </si>
  <si>
    <t>2ed52188df2df50745b4f6a9b0fa1c06</t>
  </si>
  <si>
    <t>1b8ee158f59c098470fad33f39660964</t>
  </si>
  <si>
    <t>27535386be7362e36d9e78c2afb8c0e5</t>
  </si>
  <si>
    <t>94144541854e298c2d976cb893b81343</t>
  </si>
  <si>
    <t>da2cfe68ae3f2f454b5aba2ee09ab5c4</t>
  </si>
  <si>
    <t>c5944369a5cc96d600713f640e46ab5e</t>
  </si>
  <si>
    <t>de70c9ebe399d6ff687b4b64fd51aa29</t>
  </si>
  <si>
    <t>04ea859686940874c6f624314a14070a</t>
  </si>
  <si>
    <t>d624126b9206f595fb3fbb6ba03b28a8</t>
  </si>
  <si>
    <t>5d345f462eb17adfd93612708672afb7</t>
  </si>
  <si>
    <t>fd4a96848f84ddaabcdc5bdbf831a194</t>
  </si>
  <si>
    <t>165fc07beebdcb6190fba8a06db2a449</t>
  </si>
  <si>
    <t>41c24b8ce92d1a2cac62db5edfd088b2</t>
  </si>
  <si>
    <t>1b7384e0f9f5e4cb914cd3f5535a4cab</t>
  </si>
  <si>
    <t>dd12801e4d1919e84bf6f90167f22fb5</t>
  </si>
  <si>
    <t>bc0d2d816d425e6ce3e80d8b9887d324</t>
  </si>
  <si>
    <t>2e7980421ad7946eab8a71b637955704</t>
  </si>
  <si>
    <t>8b50a72d52d7a91fb19d19fbe069e2f2</t>
  </si>
  <si>
    <t>22594ba8fd9a72ad95d352929c821560</t>
  </si>
  <si>
    <t>8c81b8075a4b824afebae3dc276889eb</t>
  </si>
  <si>
    <t>cb81df0e3ccece253557f2a07df4727e</t>
  </si>
  <si>
    <t>70906e04da1eebf3d1b8791bd09ffe85</t>
  </si>
  <si>
    <t>6722735e7b6ea43bbd86b1c9074c3057</t>
  </si>
  <si>
    <t>2cb98e27ce1c18abdb42209b34c382a7</t>
  </si>
  <si>
    <t>054515fd15bc1a2029f10de97ffa9120</t>
  </si>
  <si>
    <t>3b09eb8e2d6bb856f77327ebf539e959</t>
  </si>
  <si>
    <t>87cb507e0daa37bbf34956fd59eba832</t>
  </si>
  <si>
    <t>555cdc8ae3abc9870afa02367539b799</t>
  </si>
  <si>
    <t>683487a7a9ad71b5776c9b9bcad37eed</t>
  </si>
  <si>
    <t>30b159b653b87754d7a38446c7ef4669</t>
  </si>
  <si>
    <t>29fd9022374ff3fef2e8f82c39b4133e</t>
  </si>
  <si>
    <t>ba2fafdf0c3e7418202575a48d00bd15</t>
  </si>
  <si>
    <t>e87093a08e761c9fbf7dd461227f66c1</t>
  </si>
  <si>
    <t>5fda5f5969ed8a446022953a89e1c81a</t>
  </si>
  <si>
    <t>20fb650ad1615624d7e202031400f695</t>
  </si>
  <si>
    <t>3b0f7951038b105522c2d566b54421f7</t>
  </si>
  <si>
    <t>f20e2a3811156fe0a12b4cd5c3638195</t>
  </si>
  <si>
    <t>432c37c9dfba871172ec162e20118b8c</t>
  </si>
  <si>
    <t>ee6540b34ea60c885c775fa9b52e81e3</t>
  </si>
  <si>
    <t>1c36a5285f7f3b1ed2637d7c528ce5ff</t>
  </si>
  <si>
    <t>d1b65fc7debc3361ea86b5f14c68d2e2</t>
  </si>
  <si>
    <t>446f791c0261ad0a93d4dced49d5d0bc</t>
  </si>
  <si>
    <t>97de9cc5ef2b385440117d854522881d</t>
  </si>
  <si>
    <t>4cb922d064b9a86b25b900350108771e</t>
  </si>
  <si>
    <t>6f33a4a09ae1180a0ee1ff4682b2d21f</t>
  </si>
  <si>
    <t>725c32fa80c2faacc4fc88450d27314e</t>
  </si>
  <si>
    <t>d12ad7f92749db41296a64e02c0bd5c8</t>
  </si>
  <si>
    <t>557484a8965bdc4e548658239f7663fd</t>
  </si>
  <si>
    <t>81a1104df0f08b59c68aa5b03cfe398e</t>
  </si>
  <si>
    <t>bc1771eea502c7888f4fa3d568a69111</t>
  </si>
  <si>
    <t>951e8cef368f09bb3f3d03c00ca4702c</t>
  </si>
  <si>
    <t>e303dfa61ada1f0823b4775f192606b3</t>
  </si>
  <si>
    <t>058cb5aeb36d7c0fcae20fc85d5e0a59</t>
  </si>
  <si>
    <t>a237de12bdf0bfe4fe220bae65a89731</t>
  </si>
  <si>
    <t>3e49ed0eb3b0fd7c15032a2e250d43d5</t>
  </si>
  <si>
    <t>5058e8c1e82653974541e83690655b4a</t>
  </si>
  <si>
    <t>7416f209ecc901d8c6c64377f12cd1d5</t>
  </si>
  <si>
    <t>7ea3919d7abd2b09549543a2508e7b26</t>
  </si>
  <si>
    <t>9117307cf75efa6e964d697f0d1297f9</t>
  </si>
  <si>
    <t>0ea22c1cfbdc755f86b9b54b39c16043</t>
  </si>
  <si>
    <t>cf18e908cb8600dcd21a719db24c48d8</t>
  </si>
  <si>
    <t>9bb8ca338e5588c361e34eae02e8fad6</t>
  </si>
  <si>
    <t>5f67c6082caacb26e431a7b17940cece</t>
  </si>
  <si>
    <t>71d22271ee986bf5a46a2c199da0265b</t>
  </si>
  <si>
    <t>1191e61a83c807323c6c1cb5eac9ff3c</t>
  </si>
  <si>
    <t>a00a22560435cc439faf6163eabc1ef8</t>
  </si>
  <si>
    <t>951cb45d30e716a846d8cf5874034e56</t>
  </si>
  <si>
    <t>0fa699aaa0a38aa5d1de8e7fe04d2204</t>
  </si>
  <si>
    <t>eddd1991bd6d9309995a480c39b95137</t>
  </si>
  <si>
    <t>13b4ff901d43edec666e3253b14b3a8f</t>
  </si>
  <si>
    <t>d0fe4295267f15ccaceac4fb233d8c9a</t>
  </si>
  <si>
    <t>651ddf320f742699115641fac3e69bc9</t>
  </si>
  <si>
    <t>dc48030c42aec9ae7ec9757387ba4250</t>
  </si>
  <si>
    <t>8af4a717d0442a5fbe332dc587583296</t>
  </si>
  <si>
    <t>5f82c0dd37c20e3f5010be5f3c6a9ff1</t>
  </si>
  <si>
    <t>febab0275244b9a49a623f0bd613ca2f</t>
  </si>
  <si>
    <t>ea02a373dc65fa3648ef3bac7fb86e9c</t>
  </si>
  <si>
    <t>609e1a9a6c2539919b8205cf7c4e6ff0</t>
  </si>
  <si>
    <t>ddaad3142473118e7c6c4848683026b9</t>
  </si>
  <si>
    <t>3d621842b2ed28e2b474132480edac3c</t>
  </si>
  <si>
    <t>6973a06f484aacf400ece213dbf3d946</t>
  </si>
  <si>
    <t>2b4ad41f87f5ca9daba350c8f886b729</t>
  </si>
  <si>
    <t>36c2fb4fa746273709c373f6d6ec6796</t>
  </si>
  <si>
    <t>00ee68308b45bc5e2660cd833c3f81cc</t>
  </si>
  <si>
    <t>e1e932dfb67414e80b87ad97688cf2a3</t>
  </si>
  <si>
    <t>fde0cc9ea29c8ccfc0a2c22256a58c71</t>
  </si>
  <si>
    <t>dea1ae8abcd2a440ab30613558fbfc66</t>
  </si>
  <si>
    <t>63ee501f72520d5ec54cef5fd3a21a20</t>
  </si>
  <si>
    <t>acb6c2ca5c82411c1fdb88d5fd5eb95e</t>
  </si>
  <si>
    <t>e493b6001e292d2cdb2c6172bac9d0a4</t>
  </si>
  <si>
    <t>8eadcea593a48a928f1e2d702e816d60</t>
  </si>
  <si>
    <t>25ce1fd278819fb92db46f69fdbc5eb6</t>
  </si>
  <si>
    <t>6bd503a8230299c9316fb0f726933927</t>
  </si>
  <si>
    <t>f35927953ed82e19d06ad3aac2f06353</t>
  </si>
  <si>
    <t>d95767fa0df02e36e44e71e86a07af1b</t>
  </si>
  <si>
    <t>eb0db7338f21fb5467875d41aaebe7b3</t>
  </si>
  <si>
    <t>11eac105f3f90a9b87b19c89d91e24f3</t>
  </si>
  <si>
    <t>6401d2f82d6e6c52998ce626fe4eda24</t>
  </si>
  <si>
    <t>835f0f7810c76831d6c7d24c7a646d4d</t>
  </si>
  <si>
    <t>1d7db62a21ffb4f220d3e8a05fa77e02</t>
  </si>
  <si>
    <t>643214e62b870443ccbe55ab29a4dccf</t>
  </si>
  <si>
    <t>7b35ccd93a2184646c03b70326626923</t>
  </si>
  <si>
    <t>b40ec43bdfc6d6fdd65e882066a5c895</t>
  </si>
  <si>
    <t>d696750e550fd0f733979dd7e5dff921</t>
  </si>
  <si>
    <t>9de4643a8dbde634fe55621059d92273</t>
  </si>
  <si>
    <t>9275e1f75faf1d3d1f54e4cb63d12a36</t>
  </si>
  <si>
    <t>dd2ca29c9d0f93d3b1d28d7d7ee3025c</t>
  </si>
  <si>
    <t>5b0cc932433fa5184b5b94bfe6bcc256</t>
  </si>
  <si>
    <t>7134464bd4e33be7a2604345a4c0ccf4</t>
  </si>
  <si>
    <t>c3aad7dc65449ae90a5e9c3c6c1e78e0</t>
  </si>
  <si>
    <t>a314a62cff3e5725f545fa263aed7a7b</t>
  </si>
  <si>
    <t>8f3746a9c5411cc7cfb03660326cd189</t>
  </si>
  <si>
    <t>7d39a5380ff19ab4ac1facc7dcd05480</t>
  </si>
  <si>
    <t>4d38a4daf13a87012b73156f834afec0</t>
  </si>
  <si>
    <t>6f059a5e46fe4a3903ea525124d77b49</t>
  </si>
  <si>
    <t>cd6efc47efaabf134f8bdb654e10b4f1</t>
  </si>
  <si>
    <t>7b31b39ebebeb8282009c48e5587b1d0</t>
  </si>
  <si>
    <t>51ce083cd2b9078656a94655ab45b8a4</t>
  </si>
  <si>
    <t>90d0df1dcc6b9808cd5f1451917e1ad0</t>
  </si>
  <si>
    <t>f1bad58626618e14b6b25b096acee146</t>
  </si>
  <si>
    <t>e72246bac78dfdb31d5a07c47fd21dc6</t>
  </si>
  <si>
    <t>f6ba4f9e6851627ea2d5ec8b06d471d2</t>
  </si>
  <si>
    <t>15c2f1db81672725401439acc4872622</t>
  </si>
  <si>
    <t>994f04b3718c2bab35c2adfa8afecd2a</t>
  </si>
  <si>
    <t>1c33c71830d320620439a3236a1c4ae1</t>
  </si>
  <si>
    <t>7c256e07dc557658d97d070c34cde789</t>
  </si>
  <si>
    <t>0f0c984a4a955310903b6b6008660bad</t>
  </si>
  <si>
    <t>46b769809b6fb1728843192da1732171</t>
  </si>
  <si>
    <t>d566c37fa119d5e66c4e9052e83ee4ea</t>
  </si>
  <si>
    <t>d8f254be723da6488610b42935533b05</t>
  </si>
  <si>
    <t>f8077831f3c3f393fb67b93c5acd8daf</t>
  </si>
  <si>
    <t>4c4a28727e951ccf6f37590a7028e182</t>
  </si>
  <si>
    <t>bba3293d6f5d5af2f415e004e8b93ae3</t>
  </si>
  <si>
    <t>ee57070aa3b24a06fdd0e02efd2d757d</t>
  </si>
  <si>
    <t>202d6bc7af7609f371b94e032925d314</t>
  </si>
  <si>
    <t>423b46d7ff817b1cd19ab195c7b76546</t>
  </si>
  <si>
    <t>a0b940038a7c1b3af0958334fdbf3212</t>
  </si>
  <si>
    <t>ed77034b92386a1a8cfd3c648d715dde</t>
  </si>
  <si>
    <t>4ae634441e444ca4bc85903cafe98d73</t>
  </si>
  <si>
    <t>7500a93e5485588cedc511badf55e56e</t>
  </si>
  <si>
    <t>a7c73814e6894bc049f7aac7d37f7175</t>
  </si>
  <si>
    <t>6fd98945d378fd5d76031095b1ba6523</t>
  </si>
  <si>
    <t>b16d3dadc47d4eb18be3d88bad0775ce</t>
  </si>
  <si>
    <t>2fc738cd8396c43c0235072751a180cf</t>
  </si>
  <si>
    <t>9548f3f06fa6c1983a2278e2a16ecdcb</t>
  </si>
  <si>
    <t>e2a44ba73fdd5e184c188e4f45e32eec</t>
  </si>
  <si>
    <t>3a9621dab36a841a88d2bf767f12fee4</t>
  </si>
  <si>
    <t>8b78fb97dfb22b6e0e32d34284716d91</t>
  </si>
  <si>
    <t>4ef2894feb9fb3f164a68f654f841447</t>
  </si>
  <si>
    <t>e26901d5ab434ce92fd9b5c256820a4e</t>
  </si>
  <si>
    <t>22a0a4cfaf39559db703230823bdc13a</t>
  </si>
  <si>
    <t>4170f6a9367e6b5d6401d03ce6d54569</t>
  </si>
  <si>
    <t>25292482a61cb3298df8dbe15ea69daf</t>
  </si>
  <si>
    <t>ac8e7cf3a658f63dc68dd7f3b8b5f97b</t>
  </si>
  <si>
    <t>7c2d0df8e5fbfa71d54a400b33a8502e</t>
  </si>
  <si>
    <t>7e1fb0a3ebfb01ffb3a7dae98bf3238d</t>
  </si>
  <si>
    <t>47fc9ac35ea613a0fc62033750123d2f</t>
  </si>
  <si>
    <t>7bd043584ab4b147b9b19d9e97b299a9</t>
  </si>
  <si>
    <t>0d95dd6703959afe6f64c7ebd49bd9e9</t>
  </si>
  <si>
    <t>16c1c1a3dc1ddc2fd5e32ae7fe616b0b</t>
  </si>
  <si>
    <t>242edc6b84c00f0d48c664a020a92c52</t>
  </si>
  <si>
    <t>c5e19a898511a0e8b60bd98fbc1d72eb</t>
  </si>
  <si>
    <t>2d2c62bef4c8ba0dd74e0e228e808539</t>
  </si>
  <si>
    <t>16bf176650a888512655cc94f61860e3</t>
  </si>
  <si>
    <t>574597aaf385996112490308e37399ce</t>
  </si>
  <si>
    <t>812f1a638bcd733dd09a574e2424dff0</t>
  </si>
  <si>
    <t>82c51c3938503a4ddc096fbed86428d6</t>
  </si>
  <si>
    <t>cfe94489ddd337d1e29e12f2a7205d10</t>
  </si>
  <si>
    <t>55cfb8318af6fe90dfacf0892abb2cee</t>
  </si>
  <si>
    <t>ecaaaccb5eb3102553f001d62db6389e</t>
  </si>
  <si>
    <t>5b59b0c94f8e31d14fe89dbbfda3df6c</t>
  </si>
  <si>
    <t>dd2bdf855a9172734fbc3744021ae9b9</t>
  </si>
  <si>
    <t>17eebb377a986cfb90285ec913767939</t>
  </si>
  <si>
    <t>fdc7f0715c1b1ee11b31922f0b23c0b4</t>
  </si>
  <si>
    <t>2f46e035eccda1e1e2127096bb7483e7</t>
  </si>
  <si>
    <t>14d7985702e72162bbf13b6beb74ab2b</t>
  </si>
  <si>
    <t>00fefaf41156bb4b0d850fb27da97897</t>
  </si>
  <si>
    <t>9b013e03b2ab786505a1d3b5c0756754</t>
  </si>
  <si>
    <t>9e2ce829b01f3d1a0a9d5ddf7ee21864</t>
  </si>
  <si>
    <t>16c4e87b98a9370a9cbc3a4658a3f45b</t>
  </si>
  <si>
    <t>548ace38f22cc53db6f049c551d31397</t>
  </si>
  <si>
    <t>79ed755314cfe6df0daef2c6cd3022cd</t>
  </si>
  <si>
    <t>06ead9c0b05b368667d858c09148af03</t>
  </si>
  <si>
    <t>264afa6d3b31bde30f0f2693c84795d9</t>
  </si>
  <si>
    <t>dc404a1496a08f9f5540c8b5d4b92925</t>
  </si>
  <si>
    <t>0657f64d203d600602279807d6cb1dd8</t>
  </si>
  <si>
    <t>4f0d637c1197fd65405ebd755ac9f86b</t>
  </si>
  <si>
    <t>4385083fee716d237634eed19cf376c9</t>
  </si>
  <si>
    <t>79ea753b9ec382b3bf6b03d449ac9b3b</t>
  </si>
  <si>
    <t>6cf476a4ca74498db55cbccdaa9dcfb6</t>
  </si>
  <si>
    <t>4520766ec412348b8d4caa5e8a18c464</t>
  </si>
  <si>
    <t>374fb6698c278b6af1c7b7c8fb95585e</t>
  </si>
  <si>
    <t>120fa011365fc39efe382cba4e50999e</t>
  </si>
  <si>
    <t>a7216be504e1ff211b67479ab193a552</t>
  </si>
  <si>
    <t>a2e874074c877c5a05abae80ad6e488f</t>
  </si>
  <si>
    <t>4d8e210a4855c77238ef8d6c145ff24e</t>
  </si>
  <si>
    <t>49770e2e1a22b61e15a13c2cbfbfcbbd</t>
  </si>
  <si>
    <t>0433830caca22b01a0f477d31307b043</t>
  </si>
  <si>
    <t>ba90964cff9b9e0e6f32b23b82465f7b</t>
  </si>
  <si>
    <t>054b1ab366729788a3717961085aec01</t>
  </si>
  <si>
    <t>9cb67ae6cec5627ef21cbadcdb357054</t>
  </si>
  <si>
    <t>542917da124346b47ea1ac79a93ce454</t>
  </si>
  <si>
    <t>ff92ca9bb0b3f4ec00a9b76c9f68cb3a</t>
  </si>
  <si>
    <t>72172e982e8b92155069e4201c92c0bb</t>
  </si>
  <si>
    <t>10be5827cbcb06a81f220d46dafd0af0</t>
  </si>
  <si>
    <t>362052fcdf7c9e3596a0a6c97536cdc3</t>
  </si>
  <si>
    <t>b372ee768ed69e46ca8cdbd267aa7a38</t>
  </si>
  <si>
    <t>5aad359a63cbb4fc35ead44346a3eeb4</t>
  </si>
  <si>
    <t>d20b021d3efdf267a402c402a48ea64b</t>
  </si>
  <si>
    <t>e2e426d1332240070b0a836a854d057b</t>
  </si>
  <si>
    <t>cce6ab8d1682639fe45ab70234f1665f</t>
  </si>
  <si>
    <t>7cdffa73c5aa5471607b4ac982baa201</t>
  </si>
  <si>
    <t>980036ff323e235a27b7999d343a8990</t>
  </si>
  <si>
    <t>e883aa812c37a7413226856f4579fe91</t>
  </si>
  <si>
    <t>b8e35c1ace7b632cf4b643d6d30e4e08</t>
  </si>
  <si>
    <t>4914f8796af2ecd359fd8f44b9b92339</t>
  </si>
  <si>
    <t>59f09deeea7c839a9212a19f3416b892</t>
  </si>
  <si>
    <t>729f06993dac8e860d4f02d7088ca48a</t>
  </si>
  <si>
    <t>af2d506fb01b724e03591349ad36b67e</t>
  </si>
  <si>
    <t>13db47eae724e2848e12b71a617a3a41</t>
  </si>
  <si>
    <t>ddc50b859563aa0b3d663559f3696690</t>
  </si>
  <si>
    <t>696c39c44288187022347dcb177ac304</t>
  </si>
  <si>
    <t>97512d3fc193b2d1dfcdba0f9d1f0f8a</t>
  </si>
  <si>
    <t>d5ad2be418dec48e9d0c4745e431c384</t>
  </si>
  <si>
    <t>bb4dc25bd765b4b6beb85469e9b4bc55</t>
  </si>
  <si>
    <t>b56906f7fd1696e043f1bcce164c487b</t>
  </si>
  <si>
    <t>cd9dfd413f60d6cdb25aa4a3e1960e59</t>
  </si>
  <si>
    <t>0ffa40d54288e4f3499b8780dd0f144f</t>
  </si>
  <si>
    <t>e251ebd2858be1aa7d9b2087a6992580</t>
  </si>
  <si>
    <t>87700264f353c44d18c38c328d1fcd25</t>
  </si>
  <si>
    <t>c5038055690911ed8e218cceb07acdf8</t>
  </si>
  <si>
    <t>ff5f8606556b625613f069a5a9a48966</t>
  </si>
  <si>
    <t>a04087ab6a96ffa041f8a2701a72b616</t>
  </si>
  <si>
    <t>51e3084a334ce75dc646c9c6eea90e37</t>
  </si>
  <si>
    <t>ab5da1daa941470d14366f4e76a99dd2</t>
  </si>
  <si>
    <t>056193fc88b3f131fae751356896b168</t>
  </si>
  <si>
    <t>5769ef0a239114ac3a854af00df129e4</t>
  </si>
  <si>
    <t>b37c4c02bda3161a7546a4e6d222d5b2</t>
  </si>
  <si>
    <t>0e2d365a247d105fefc31b17ab8706d9</t>
  </si>
  <si>
    <t>289cdb325fb7e7f891c38608bf9e0962</t>
  </si>
  <si>
    <t>6e1b14d3cbb5fb3a2c00351007127dfd</t>
  </si>
  <si>
    <t>c874b6cca27efc978feed6fd55b2985c</t>
  </si>
  <si>
    <t>7fab1a1472fdd934397068931f63f3ca</t>
  </si>
  <si>
    <t>e9ba3ec00ccd563b43e5de69a74a43d7</t>
  </si>
  <si>
    <t>b22934d8dedd07b3033be2bf6da70bcb</t>
  </si>
  <si>
    <t>87d30a6a0cbf89356e49324971ab1d24</t>
  </si>
  <si>
    <t>b4af6057abfd298e3bddc365a8fe14ed</t>
  </si>
  <si>
    <t>31561f325664a8a7aba4c8d0c3a9b3db</t>
  </si>
  <si>
    <t>0bb7cb61f1957f79dac582ab66ccdc1f</t>
  </si>
  <si>
    <t>a4aa7c1427c31344e5f7cc3d839fe562</t>
  </si>
  <si>
    <t>a42680488264322b4082817cfb32d64d</t>
  </si>
  <si>
    <t>ed4acab38528488b65a9a9c603ff024a</t>
  </si>
  <si>
    <t>f10f55939660d23138e46c72acb7498b</t>
  </si>
  <si>
    <t>c4d51195486dc781531876a7d00453d8</t>
  </si>
  <si>
    <t>173e9fe34bfe97f3a5e6dc57fe897b74</t>
  </si>
  <si>
    <t>14555ba663de8689feacf1d0819cc3b3</t>
  </si>
  <si>
    <t>b38b25d838ae0b8385e8cc68b9017644</t>
  </si>
  <si>
    <t>fad44952713764836814be105382aee5</t>
  </si>
  <si>
    <t>913b240ad06c85be83709dffc26d59f6</t>
  </si>
  <si>
    <t>2582fbe637afdcd03817b1b16b78fd60</t>
  </si>
  <si>
    <t>ab29983671266e9f7c999f8c6ce26541</t>
  </si>
  <si>
    <t>66fd84ee7528c0c0de85d0f44a73d5ab</t>
  </si>
  <si>
    <t>74fc0f00f12925f590846cc41144df80</t>
  </si>
  <si>
    <t>e067ad2c1c0b48758eb1b5228bcf7a68</t>
  </si>
  <si>
    <t>f5307d7c949134b78e68c51c13cc426e</t>
  </si>
  <si>
    <t>638882546765f357dc667b5987ceb69d</t>
  </si>
  <si>
    <t>f67efa3f0b6761102a7f8c6b7b571f5d</t>
  </si>
  <si>
    <t>1fd95182c672cf5b10c82207ca5dab97</t>
  </si>
  <si>
    <t>d3a8b40808854363a045f0f4131b0894</t>
  </si>
  <si>
    <t>ce6bbfa347690099b21b9d688772d5ab</t>
  </si>
  <si>
    <t>1b0e39ec889889ea1d492603d8512bfb</t>
  </si>
  <si>
    <t>cd46a885543f0e169a49f1eb25c04e43</t>
  </si>
  <si>
    <t>7e0dc102074f8285580c9777f79c90cf</t>
  </si>
  <si>
    <t>f83c9874b5b5044ea58fef1be68c1ea8</t>
  </si>
  <si>
    <t>dca18a6e2fb6da75092ed874094ed7b6</t>
  </si>
  <si>
    <t>3ecb405a579723d0b1b5161dd32daf28</t>
  </si>
  <si>
    <t>b64d51f0435e884e8de603b1655155ae</t>
  </si>
  <si>
    <t>0eb8e03d4ef83152c4642b606b5bbdec</t>
  </si>
  <si>
    <t>cac4c8e7b1ca6252d8f20b2fc1a2e4af</t>
  </si>
  <si>
    <t>5373e18844eec682770d139ba29cd32c</t>
  </si>
  <si>
    <t>8bab563be2e3316280e3990af91da7b7</t>
  </si>
  <si>
    <t>561cea7963070b5a99b20b962862a0e1</t>
  </si>
  <si>
    <t>2efbce46d36d9af306d4300db163b276</t>
  </si>
  <si>
    <t>b494891378bd8f4560abe576c52deacd</t>
  </si>
  <si>
    <t>74b682dc1f077ca680e639b504f4effe</t>
  </si>
  <si>
    <t>f1da618218e0af87b633532b561f5e6d</t>
  </si>
  <si>
    <t>b8578d2d823bd8e251f6fdd02b40902d</t>
  </si>
  <si>
    <t>cd89ce90d4c33b04851f90bcf1ec521a</t>
  </si>
  <si>
    <t>34056b8b55c1775a22af2331670a799c</t>
  </si>
  <si>
    <t>ff28477a5bcb2fc34bb86a6c2eea1566</t>
  </si>
  <si>
    <t>99008b78e9206243c95a95cf02a71905</t>
  </si>
  <si>
    <t>40d54b51e962dbe09cabbcfd33298dee</t>
  </si>
  <si>
    <t>ccf72249cc35d9121279de015c5657fc</t>
  </si>
  <si>
    <t>c68fb906c8f4b4b946d8386bfa6e5467</t>
  </si>
  <si>
    <t>c94d19d021d4a8fbae5a45f904aeea90</t>
  </si>
  <si>
    <t>701938c450705b8ae65fc923b70f35c7</t>
  </si>
  <si>
    <t>725cbfcaff95a4d43742fdf13cf43c75</t>
  </si>
  <si>
    <t>4a0c2a56e65c941a0bb9874c47dd66d8</t>
  </si>
  <si>
    <t>aa6746e94490239d3d9ee6ab89779aba</t>
  </si>
  <si>
    <t>d8cabd83757ecf48a7d2628dee9135c1</t>
  </si>
  <si>
    <t>059ca09d32720d9adce3ae12e181339d</t>
  </si>
  <si>
    <t>fb69f3c3b63f63da92e215ddf61e0b01</t>
  </si>
  <si>
    <t>8626b155de04e2d0d6e1e907fbcf0cd2</t>
  </si>
  <si>
    <t>63bd0e7bb0fdb40cbd6777aa5c7d5a56</t>
  </si>
  <si>
    <t>5160d23075764e18e07c1f4a87fad743</t>
  </si>
  <si>
    <t>a8f944abeac7d4fc5f2663bd8f22f931</t>
  </si>
  <si>
    <t>0432ead42b6c8a0bdf68154add917fdf</t>
  </si>
  <si>
    <t>db5efde3ad0cc579b130d71c4b2db522</t>
  </si>
  <si>
    <t>c7f27c5bef2338541c772b5776403e6a</t>
  </si>
  <si>
    <t>0e323ee8f8dc60a0b875e9ac4daf1337</t>
  </si>
  <si>
    <t>f699b297070aa38aaf3de9639302506a</t>
  </si>
  <si>
    <t>867dda95bbba37fe56fa288449fa122f</t>
  </si>
  <si>
    <t>70d01ae15a5d5ee38388b90c0470d9b0</t>
  </si>
  <si>
    <t>430f4c8e02bd4e1fe6330c38689b54f3</t>
  </si>
  <si>
    <t>252641aa4855aef622089db60c4ad90a</t>
  </si>
  <si>
    <t>88e59749c8b39fd1a9b7458147e0dc62</t>
  </si>
  <si>
    <t>20f160a9cf2e856ee5eba259e9ae33f9</t>
  </si>
  <si>
    <t>e5ae72c62ebfa708624f5029d609b160</t>
  </si>
  <si>
    <t>cc68bcd2a2720e95aef8b6cb71f62ed9</t>
  </si>
  <si>
    <t>ee6c49af1a2de55aa0e076257ab4ab99</t>
  </si>
  <si>
    <t>525d714f91bdf4dc6849c3ed6323e6a8</t>
  </si>
  <si>
    <t>caf230c721f149691d0307f0868beac6</t>
  </si>
  <si>
    <t>668e8ee8f69c3545109fc40f72336e8f</t>
  </si>
  <si>
    <t>48401d4a555fd20aa93a202a4ed3b598</t>
  </si>
  <si>
    <t>52d76513f0c4d97f3b99570e2c94ee31</t>
  </si>
  <si>
    <t>c2613aec0520c43e665ff0d037adbfa7</t>
  </si>
  <si>
    <t>3a362c0e7f9a69276e2d95869a3e143b</t>
  </si>
  <si>
    <t>660422061e06da17ca6101e9d6b7aae8</t>
  </si>
  <si>
    <t>e1b36152443e58d382896be5d3af22d4</t>
  </si>
  <si>
    <t>d4e4b5192cba4e0e66eb12a9d347239d</t>
  </si>
  <si>
    <t>5ac9d9e379c606e36a8094a6046f75dc</t>
  </si>
  <si>
    <t>633ecdf879b94b5337cca303328e4a25</t>
  </si>
  <si>
    <t>bd6e6fce9ada76ea2db0f1912e8e478f</t>
  </si>
  <si>
    <t>cc7d8d232e6f5f27b70be81b68e27d6e</t>
  </si>
  <si>
    <t>1302fd16bdfe85e523940c846370ef2c</t>
  </si>
  <si>
    <t>a369d693961cb93b61ca2cc518872a85</t>
  </si>
  <si>
    <t>727a46f0b58a9ef165af9f7ebcfebfa9</t>
  </si>
  <si>
    <t>830102bc96abe72181372676df005601</t>
  </si>
  <si>
    <t>d6c2073fdc29a2931d1900fe474134ec</t>
  </si>
  <si>
    <t>217cb0f28c6def3c3be057a952d78189</t>
  </si>
  <si>
    <t>a62e25e09e05e6faf31d90c6ec1aa3d1</t>
  </si>
  <si>
    <t>481aad97c80d6786a7c6096991003274</t>
  </si>
  <si>
    <t>cba32576375902a87170bedaed045b71</t>
  </si>
  <si>
    <t>63940cd00d32f9443e5371765ffc4d6a</t>
  </si>
  <si>
    <t>1caf283236cd69af44cbc09a0a1e7d32</t>
  </si>
  <si>
    <t>c7c2108eae6fb6e6822c8128f5a98afd</t>
  </si>
  <si>
    <t>3dbbce181edfaa4a597ec858c382d2ec</t>
  </si>
  <si>
    <t>704706b137a32978f55b31f47aa806b5</t>
  </si>
  <si>
    <t>af5dce27d2097e3cbfeb25ad9eac092c</t>
  </si>
  <si>
    <t>cfd414b4463647f58c7775eaae06893d</t>
  </si>
  <si>
    <t>2f9c0e14be2e1e641c76a4d0b3032043</t>
  </si>
  <si>
    <t>cbf09e831b0c11f6f23ffb51004db972</t>
  </si>
  <si>
    <t>f940327804bdcb40342a12c93de069b8</t>
  </si>
  <si>
    <t>de533fe5b9448ea9792195806938dbf5</t>
  </si>
  <si>
    <t>a53d9459ab35c28053d6b7732fb8ca07</t>
  </si>
  <si>
    <t>2b7aa376a6e728560bddb5558cc48e89</t>
  </si>
  <si>
    <t>16ed6a6e3fce23b741650437fe58d65b</t>
  </si>
  <si>
    <t>e5a38146df062edaf55c38afa99e42dc</t>
  </si>
  <si>
    <t>d339b523c298009f15d242a3a99392c7</t>
  </si>
  <si>
    <t>3d8fa2f5b647373c8620330c4e077a9f</t>
  </si>
  <si>
    <t>a934e0f29d3b0843308564ed3ec07058</t>
  </si>
  <si>
    <t>13c2ed7698b3ca92dad49e849219da59</t>
  </si>
  <si>
    <t>f1f01d27cb8664e16d57ef4a8075f3be</t>
  </si>
  <si>
    <t>e03102efbc2229024c89be731f0aedcb</t>
  </si>
  <si>
    <t>2c9e548be18521d1c43cde1c582c6de8</t>
  </si>
  <si>
    <t>0fa690a43af8987193508e22fd5b32ac</t>
  </si>
  <si>
    <t>53336f97ddbe53e2a617d07b17447b95</t>
  </si>
  <si>
    <t>66077cc774ac8ba7c7fcb45fd8e03474</t>
  </si>
  <si>
    <t>d3e1006ba3735c0d44160026b6e0ced3</t>
  </si>
  <si>
    <t>198ec19b3806cc2ad217e159e4e09d58</t>
  </si>
  <si>
    <t>c8a06a6cf1dbd09f3273d65d3dc2da99</t>
  </si>
  <si>
    <t>7668f663b32b0678da61622125b39545</t>
  </si>
  <si>
    <t>c5d5fed9e3002dc5313d874d7f9a0ff0</t>
  </si>
  <si>
    <t>7b0df942f46435babab05d49b744b2c4</t>
  </si>
  <si>
    <t>664085fcb2616db929da15dc9ac204b4</t>
  </si>
  <si>
    <t>8802c7b83ddf545be6b7846f575d2fc5</t>
  </si>
  <si>
    <t>485452467ff670447e84a8370c3fc898</t>
  </si>
  <si>
    <t>6c09be1fc42a113b2f3e558d7df2f133</t>
  </si>
  <si>
    <t>671585f5a2af58b6e276bc01003c0d2b</t>
  </si>
  <si>
    <t>ee406bf28024d97771c4b1e8b7e8e219</t>
  </si>
  <si>
    <t>9e10ae46a3021a02f1692448ef9fa1db</t>
  </si>
  <si>
    <t>154e7e31ebfa092203795c972e5804a6</t>
  </si>
  <si>
    <t>7b4d5bca6951e2d3f89fa2bdfa6791aa</t>
  </si>
  <si>
    <t>e8f48f7c1f715c4178d57c50dc622da7</t>
  </si>
  <si>
    <t>386486367c1f9d4f587a8864ccb6902b</t>
  </si>
  <si>
    <t>5ca739ddd646d1ba53cca4e3c099a953</t>
  </si>
  <si>
    <t>406822777a0b9eb5c50e442dd4cd3ec5</t>
  </si>
  <si>
    <t>7d854ab97c64ef9df2bbfaf332765786</t>
  </si>
  <si>
    <t>84a87daa85c8b432d90bc1baa0cb4388</t>
  </si>
  <si>
    <t>fdba6f37e0258dbca54eb0ed8b293ae0</t>
  </si>
  <si>
    <t>f0aeff7723abbe804226f96c5b1db7ef</t>
  </si>
  <si>
    <t>671d1f1a67e731435bc7a91569004038</t>
  </si>
  <si>
    <t>f20a14d45e85b05ef554d10d7283f7da</t>
  </si>
  <si>
    <t>927225847efa8853ebf52c9b5b9b8cc6</t>
  </si>
  <si>
    <t>cc971e0365873137b8bef2ebad633e6f</t>
  </si>
  <si>
    <t>18241450338cbc5751c433970f3f1060</t>
  </si>
  <si>
    <t>6513f1270c9ff1de6da7c745ae2910ae</t>
  </si>
  <si>
    <t>b3cd491b3a347c8becc23fa5515440f9</t>
  </si>
  <si>
    <t>b6d44737c043328708f6749c2dbe50bd</t>
  </si>
  <si>
    <t>816c0585d491ed8127cebbb3dc7c89cf</t>
  </si>
  <si>
    <t>dd533b429f380718b70ad9922c294bae</t>
  </si>
  <si>
    <t>03552ec45033c8658713c541f6af9f05</t>
  </si>
  <si>
    <t>78714a5ecea485034c6cde8417c6c1c8</t>
  </si>
  <si>
    <t>7721582bb750762d81850267d19881c1</t>
  </si>
  <si>
    <t>a9e0a3a894f4bf7844830c090853c3e1</t>
  </si>
  <si>
    <t>f74eb9bc847b5e5e906e5e214bb451b8</t>
  </si>
  <si>
    <t>77d1b9fb8d3858f503316105e9ac6c51</t>
  </si>
  <si>
    <t>3dabf82e264128dda5088dc804e09cc8</t>
  </si>
  <si>
    <t>99002261c568a84cce14d43fcffb43ea</t>
  </si>
  <si>
    <t>87283a98b24f9f1ac3a31b631073cf47</t>
  </si>
  <si>
    <t>33b67c1594a903b27b5163c0efb15a5d</t>
  </si>
  <si>
    <t>6a23c2eb9acc78f8ec403be9c6210dd4</t>
  </si>
  <si>
    <t>7f72a8900b3d2fc8fa2635b7836d6e6e</t>
  </si>
  <si>
    <t>bb1713a6219e4b6575cdd9c380638a65</t>
  </si>
  <si>
    <t>7c6473a2c5d2f22701b1a4340f1b6066</t>
  </si>
  <si>
    <t>e9c6969d40e6a3d2d0f90013165c2b98</t>
  </si>
  <si>
    <t>4a351fa3b10c2b78daee983c534c56fd</t>
  </si>
  <si>
    <t>afeeea6271148ee1bb15173b8187c431</t>
  </si>
  <si>
    <t>d88a953f5d1e00cbfb5785dcb8a9f81f</t>
  </si>
  <si>
    <t>aa5d6a9bd4be367ae1a3a29c323c7c11</t>
  </si>
  <si>
    <t>9b609e296b89940552cdce39983b2f71</t>
  </si>
  <si>
    <t>5e655ad6a29335c852b7829a5e340c80</t>
  </si>
  <si>
    <t>f91abf665b0b3d4f46b39c2cafdf6415</t>
  </si>
  <si>
    <t>de80c37c338574091896b7fdc81dc376</t>
  </si>
  <si>
    <t>5b85809efd0d0e4dea1a9544e1280ed9</t>
  </si>
  <si>
    <t>2820a0ee65a765e5dbb7ef1da30d2f4f</t>
  </si>
  <si>
    <t>b1b3948701c5c72445495bd161b83a4c</t>
  </si>
  <si>
    <t>a294436012a512193adfae667b8465f8</t>
  </si>
  <si>
    <t>8032bb148ff355a9d402573fbd6c4b89</t>
  </si>
  <si>
    <t>4b6b3a7072d549354c3743dedbf4170a</t>
  </si>
  <si>
    <t>d1dae3e210576b5698e7847df9c3e1a3</t>
  </si>
  <si>
    <t>b2d98b6f547c14e29a9e72b8e630d936</t>
  </si>
  <si>
    <t>004c9cd9d87a3c30c522c48c4fc07416</t>
  </si>
  <si>
    <t>b75bc6d95abd11862892008658b17f49</t>
  </si>
  <si>
    <t>b3e40ff639c185b9d726b4b19c17e6cd</t>
  </si>
  <si>
    <t>852dd510258cc0df3ed7b8d8417cebb2</t>
  </si>
  <si>
    <t>8b5227e28272123eefd613a10ffd7704</t>
  </si>
  <si>
    <t>d3ab527ab0d134eb8a034cab8e52a589</t>
  </si>
  <si>
    <t>7736ea239e147291f6adb766c992beb1</t>
  </si>
  <si>
    <t>642a40d4d73b4b2604968937de13634a</t>
  </si>
  <si>
    <t>c62b9187381d86ae031b0bac9ead4b3d</t>
  </si>
  <si>
    <t>860dd3635c61aba2d7ddea90b7d471b2</t>
  </si>
  <si>
    <t>8b2492b7ff4468839593fafeed55bad9</t>
  </si>
  <si>
    <t>62c2b9bd44500d0305b1e50e2c9bd34d</t>
  </si>
  <si>
    <t>002100f778ceb8431b7a1020ff7ab48f</t>
  </si>
  <si>
    <t>cb790fa02cc6097dcbf8f9f05904a005</t>
  </si>
  <si>
    <t>c8bcb1f3775756d1cf29af0e65f4fb47</t>
  </si>
  <si>
    <t>c157bdeedcbc9a8e3c8bf0d87ff24428</t>
  </si>
  <si>
    <t>67d4137622a3e1586ab26438993b898f</t>
  </si>
  <si>
    <t>290ada89b05e1dca2a4fe42f1cfc012e</t>
  </si>
  <si>
    <t>54aa8463e87776b5612f4bdc4bd5d4de</t>
  </si>
  <si>
    <t>40df4be4429553e18755913ac3cfeac5</t>
  </si>
  <si>
    <t>ff1e15b778c700abdd4d239b81ac466d</t>
  </si>
  <si>
    <t>c7849d509582f1b40fe3269fbecfb00d</t>
  </si>
  <si>
    <t>a9fb80187bf64d19dd2804f25e83c5e6</t>
  </si>
  <si>
    <t>f615fe7efbef0f4f08fd3086bc7a3e60</t>
  </si>
  <si>
    <t>977f845fc71d6dfd5af3a0aaaabf2161</t>
  </si>
  <si>
    <t>f1d4ce8c6dd66c47bbaa8c6781c2a923</t>
  </si>
  <si>
    <t>23d8439935522540cfd5bbb8b1208a2d</t>
  </si>
  <si>
    <t>db4e12399028c661997d99981af68642</t>
  </si>
  <si>
    <t>91247af15fbe5fcdce542685c643b6a9</t>
  </si>
  <si>
    <t>4d68f0bb076a44142f1d1725ba3b3bc8</t>
  </si>
  <si>
    <t>3a490ba60afa30ece0e7d50cfe74a4f0</t>
  </si>
  <si>
    <t>115e606ac8059e4cfa1c6c3310fb365c</t>
  </si>
  <si>
    <t>09364ccfda8448d03ae4082f6044b16e</t>
  </si>
  <si>
    <t>98a940d42d3ac029e40441023676ddfe</t>
  </si>
  <si>
    <t>57e7f9befd08f9e14bc4545abf760d0e</t>
  </si>
  <si>
    <t>12530458b22303a822da23e0ef0c400b</t>
  </si>
  <si>
    <t>715bbd5ba4e6b74cb0d2f29eb45058b0</t>
  </si>
  <si>
    <t>143bc7fcaf6929ef5979e58abf39d4ed</t>
  </si>
  <si>
    <t>44e086c4a977f37a888627b43880586c</t>
  </si>
  <si>
    <t>a783f0d718c28a1375f64c1dfff1818a</t>
  </si>
  <si>
    <t>f9be8e0e5acd947d8f49dbc390b9ab20</t>
  </si>
  <si>
    <t>6f62dd1f280a651e3334c84c4f1d96b6</t>
  </si>
  <si>
    <t>687a2683f42fcf1b80098d2e38e23c6e</t>
  </si>
  <si>
    <t>73bcea88583002fe12b7399af4ae60da</t>
  </si>
  <si>
    <t>d39421ec4cc2bf52e35f8bf00f1ec314</t>
  </si>
  <si>
    <t>d93d7e81a8d724c4ef661e75647cf325</t>
  </si>
  <si>
    <t>5a93f3ab0ef4c84ed5e1b5dbf23978bc</t>
  </si>
  <si>
    <t>62e2471b884366ac7e2f2b28c3ed62a5</t>
  </si>
  <si>
    <t>955d159d5f3a5d16c3808fcb7705224f</t>
  </si>
  <si>
    <t>066a6914e1ebf3ea95a216c73a986b91</t>
  </si>
  <si>
    <t>4a0d1ccdddf9a6fda274fad13550f595</t>
  </si>
  <si>
    <t>619d72a5e53d41d7646274a3fa20c2c4</t>
  </si>
  <si>
    <t>eba7488e1c67729f045ab43fac426f2e</t>
  </si>
  <si>
    <t>437caf429e4e9beec15877117a13bb45</t>
  </si>
  <si>
    <t>f181738b150df1f37cb0bd72e705b193</t>
  </si>
  <si>
    <t>14e40526732f35d38620a487e0776b27</t>
  </si>
  <si>
    <t>68ad45d48d69404aeb71ce87e1b2c948</t>
  </si>
  <si>
    <t>7c5b05cbdb5542049f38d90d7815b97d</t>
  </si>
  <si>
    <t>5f5ee6e720308ce93007ce17c0835883</t>
  </si>
  <si>
    <t>3a734b715d333a2588a3d54a0c9b8746</t>
  </si>
  <si>
    <t>c45f017c36f9112a8bb4f170edfb1870</t>
  </si>
  <si>
    <t>efdc6e0a04b68a8c329d485ab2bde52e</t>
  </si>
  <si>
    <t>de75785dc5be712c4d4ed4ec5b422ce1</t>
  </si>
  <si>
    <t>d7423500e1911ba5972c229b2fb974ca</t>
  </si>
  <si>
    <t>18290697e1929309b3195d2931c91b09</t>
  </si>
  <si>
    <t>21c62b998a043ebe31161d38f84929fc</t>
  </si>
  <si>
    <t>c8327011b01e4666db6770ebb8a86fa9</t>
  </si>
  <si>
    <t>d94a40fd42351c259927028d163af842</t>
  </si>
  <si>
    <t>a86859b91d632c991b914aead6ec8ad4</t>
  </si>
  <si>
    <t>612170e34b97004b3ba37eae81836b4c</t>
  </si>
  <si>
    <t>dbd91d7511ed7f4e61be3a191082644e</t>
  </si>
  <si>
    <t>1612209b0b37fbe80e1e8e1b7d19ca1d</t>
  </si>
  <si>
    <t>f58e45b16a42a325c144eb2c46a2bc57</t>
  </si>
  <si>
    <t>33f17ed3c6906f7a7ae17a0843536db4</t>
  </si>
  <si>
    <t>c073cc5c3c6cff45b33fda27f5f3f807</t>
  </si>
  <si>
    <t>c4f7fee5b0db50e87766f5a4d1b1b758</t>
  </si>
  <si>
    <t>ba0d049a05e69aa1b806f625df623063</t>
  </si>
  <si>
    <t>76c47a299e4a8fe992316a85865acbe9</t>
  </si>
  <si>
    <t>196616257eff8bc851dc4fc041cbbbe9</t>
  </si>
  <si>
    <t>5bd3ba44eb990450377a2cd863821cca</t>
  </si>
  <si>
    <t>38e679b9e0064cd94c6f035707344dae</t>
  </si>
  <si>
    <t>70cbbf603be04fd0947d83608b9a2266</t>
  </si>
  <si>
    <t>99c97d191bcc87e072acc4521bce44d4</t>
  </si>
  <si>
    <t>e882b2a25a10b9c057cc49695f222c19</t>
  </si>
  <si>
    <t>3fdb534dccf5bc9ab0406944b913787d</t>
  </si>
  <si>
    <t>270d3ef21830ad0ecf3a6c53d08a533a</t>
  </si>
  <si>
    <t>adda822b6a549cd98b20e557b88d230d</t>
  </si>
  <si>
    <t>9c1c0c36cd23c20897e473901a8fb149</t>
  </si>
  <si>
    <t>ee99cd2d468819078af4687f923cf17b</t>
  </si>
  <si>
    <t>17a053fcb14bd219540cbde0df490be0</t>
  </si>
  <si>
    <t>3e19791ee3fa124c96da5a87616794ac</t>
  </si>
  <si>
    <t>e2c92f9c1c7746d899d18f2e158bbff7</t>
  </si>
  <si>
    <t>c681df24c54f79b5eab51e15b603abf8</t>
  </si>
  <si>
    <t>f582884ed8bb76a4b6317b8c9e966d98</t>
  </si>
  <si>
    <t>f67ad6b3366ae186b8d29087e6d5ebd0</t>
  </si>
  <si>
    <t>c9dcb2deb4a49214eb9e72aafd096eef</t>
  </si>
  <si>
    <t>4f915391faab8ae23c234735d5080c31</t>
  </si>
  <si>
    <t>599e5320aef0c7dd9e3fed9b2f673d41</t>
  </si>
  <si>
    <t>d03698c2efd04a549382afa6623e27fb</t>
  </si>
  <si>
    <t>competitor_price</t>
  </si>
  <si>
    <t>price_gap</t>
  </si>
  <si>
    <t xml:space="preserve"> price _diff_percent</t>
  </si>
  <si>
    <t>pricing_status</t>
  </si>
  <si>
    <t>Row Labels</t>
  </si>
  <si>
    <t>overpriced</t>
  </si>
  <si>
    <t>(blank)</t>
  </si>
  <si>
    <t>Grand Total</t>
  </si>
  <si>
    <t>competitive</t>
  </si>
  <si>
    <t>underprived</t>
  </si>
  <si>
    <t>Count of product_id</t>
  </si>
  <si>
    <t>blank</t>
  </si>
  <si>
    <t>Average of price</t>
  </si>
  <si>
    <t>Average of competitor_price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</si>
</sst>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[Pricing_analysis_final.xlsx]Sheet2!PivotTable2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Sheet2!$A$4:$A$8</c:f>
              <c:strCache>
                <c:ptCount val="4"/>
                <c:pt idx="0">
                  <c:v>overpriced</c:v>
                </c:pt>
                <c:pt idx="1">
                  <c:v>blank</c:v>
                </c:pt>
                <c:pt idx="2">
                  <c:v>competitive</c:v>
                </c:pt>
                <c:pt idx="3">
                  <c:v>underprived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524</c:v>
                </c:pt>
                <c:pt idx="2">
                  <c:v>994</c:v>
                </c:pt>
                <c:pt idx="3">
                  <c:v>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E-462E-BB01-67D0F5C9C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[Pricing_analysis_final.xlsx]Sheet3!PivotTable3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Average of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Sheet3!$A$4:$A$687</c:f>
              <c:strCache>
                <c:ptCount val="683"/>
                <c:pt idx="0">
                  <c:v>001cca7ae9ae17fb1caed9dfb1094831</c:v>
                </c:pt>
                <c:pt idx="1">
                  <c:v>002100f778ceb8431b7a1020ff7ab48f</c:v>
                </c:pt>
                <c:pt idx="2">
                  <c:v>004c9cd9d87a3c30c522c48c4fc07416</c:v>
                </c:pt>
                <c:pt idx="3">
                  <c:v>00720abe85ba0859807595bbf045a33b</c:v>
                </c:pt>
                <c:pt idx="4">
                  <c:v>00ee68308b45bc5e2660cd833c3f81cc</c:v>
                </c:pt>
                <c:pt idx="5">
                  <c:v>00fc707aaaad2d31347cf883cd2dfe10</c:v>
                </c:pt>
                <c:pt idx="6">
                  <c:v>01cf7e3d21494c41fb86034f2e714fa1</c:v>
                </c:pt>
                <c:pt idx="7">
                  <c:v>01fdefa7697d26ad920e9e0346d4bd1b</c:v>
                </c:pt>
                <c:pt idx="8">
                  <c:v>0241d4d5d36f10f80c644447315af0bd</c:v>
                </c:pt>
                <c:pt idx="9">
                  <c:v>0432ead42b6c8a0bdf68154add917fdf</c:v>
                </c:pt>
                <c:pt idx="10">
                  <c:v>04aba03279157f6d4e0fe8ccaf21963c</c:v>
                </c:pt>
                <c:pt idx="11">
                  <c:v>04e38a233f726ef161074ab1c9b0399a</c:v>
                </c:pt>
                <c:pt idx="12">
                  <c:v>0509040ea3fe50071181bbc359eb7738</c:v>
                </c:pt>
                <c:pt idx="13">
                  <c:v>056b4ada5bbc2c50cc7842547dda6b51</c:v>
                </c:pt>
                <c:pt idx="14">
                  <c:v>058cb5aeb36d7c0fcae20fc85d5e0a59</c:v>
                </c:pt>
                <c:pt idx="15">
                  <c:v>058fd0aa2bfdb2274e05e1ae971dabb6</c:v>
                </c:pt>
                <c:pt idx="16">
                  <c:v>062ce95fa2ad4dfaedfc79260130565f</c:v>
                </c:pt>
                <c:pt idx="17">
                  <c:v>06532f10282704ef4c69168b914b77be</c:v>
                </c:pt>
                <c:pt idx="18">
                  <c:v>06579cb253ecd5a3a12a9e6eb6bf8f47</c:v>
                </c:pt>
                <c:pt idx="19">
                  <c:v>066a6914e1ebf3ea95a216c73a986b91</c:v>
                </c:pt>
                <c:pt idx="20">
                  <c:v>0691148aee60ca47977c187804f935ae</c:v>
                </c:pt>
                <c:pt idx="21">
                  <c:v>06a2c3af7b3aee5d69171b0e14f0ee87</c:v>
                </c:pt>
                <c:pt idx="22">
                  <c:v>06e5eefc71ec47ae763c5c6f8db7064f</c:v>
                </c:pt>
                <c:pt idx="23">
                  <c:v>070d165398b553f3b4b851c216b8a358</c:v>
                </c:pt>
                <c:pt idx="24">
                  <c:v>080102cd0a76b09e0dcf55fcacc60e05</c:v>
                </c:pt>
                <c:pt idx="25">
                  <c:v>080199a181c46c657dc5aa235411be3b</c:v>
                </c:pt>
                <c:pt idx="26">
                  <c:v>08061dc0fc165ed41288cc7acde738ee</c:v>
                </c:pt>
                <c:pt idx="27">
                  <c:v>0887a9f087bcd5d9f6642b52f897fc6c</c:v>
                </c:pt>
                <c:pt idx="28">
                  <c:v>08ad4ac1388e4420ca531c3edfc46198</c:v>
                </c:pt>
                <c:pt idx="29">
                  <c:v>0adac9fbd9a2b63cccaac4f8756c1ca8</c:v>
                </c:pt>
                <c:pt idx="30">
                  <c:v>0b35c634521043bf4b47e21547b99ab5</c:v>
                </c:pt>
                <c:pt idx="31">
                  <c:v>0b90b6df587eb83608a64ea8b390cf07</c:v>
                </c:pt>
                <c:pt idx="32">
                  <c:v>0bae85eb84b9fb3bd773911e89288d54</c:v>
                </c:pt>
                <c:pt idx="33">
                  <c:v>0be8ff43f22e456b4e0371b2245e4d01</c:v>
                </c:pt>
                <c:pt idx="34">
                  <c:v>0bf0150d5b9d60d9cd2906003332f085</c:v>
                </c:pt>
                <c:pt idx="35">
                  <c:v>0c7533c71df861ec58ad7ff999ed0e8d</c:v>
                </c:pt>
                <c:pt idx="36">
                  <c:v>0c8380b62e38e8a1e6adbeba7eb9688c</c:v>
                </c:pt>
                <c:pt idx="37">
                  <c:v>0d33a55da925bbf1ff02af5f6059fc7f</c:v>
                </c:pt>
                <c:pt idx="38">
                  <c:v>0d83f8e03188682112cc0d93523705cc</c:v>
                </c:pt>
                <c:pt idx="39">
                  <c:v>0db783cfcd3b73998abc6e10e59a102f</c:v>
                </c:pt>
                <c:pt idx="40">
                  <c:v>0dd184061fb0eaa7ca37932c68ab91c5</c:v>
                </c:pt>
                <c:pt idx="41">
                  <c:v>0df3984f9dfb3d49ac6366acbd3bbb85</c:v>
                </c:pt>
                <c:pt idx="42">
                  <c:v>0ea22c1cfbdc755f86b9b54b39c16043</c:v>
                </c:pt>
                <c:pt idx="43">
                  <c:v>0ec28cec4046a4a199b6de9b4c891d97</c:v>
                </c:pt>
                <c:pt idx="44">
                  <c:v>0f0c984a4a955310903b6b6008660bad</c:v>
                </c:pt>
                <c:pt idx="45">
                  <c:v>0ffa40d54288e4f3499b8780dd0f144f</c:v>
                </c:pt>
                <c:pt idx="46">
                  <c:v>1025f0e2d44d7041d6cf58b6550e0bfa</c:v>
                </c:pt>
                <c:pt idx="47">
                  <c:v>1127b7f2594683f2510f1c2c834a486b</c:v>
                </c:pt>
                <c:pt idx="48">
                  <c:v>116ccb1a1604bc88e4d234a8c23f33de</c:v>
                </c:pt>
                <c:pt idx="49">
                  <c:v>11bfa66332777660bd0640ee84d47006</c:v>
                </c:pt>
                <c:pt idx="50">
                  <c:v>11eac105f3f90a9b87b19c89d91e24f3</c:v>
                </c:pt>
                <c:pt idx="51">
                  <c:v>128639473a139ac0f3e5f5ade55873a5</c:v>
                </c:pt>
                <c:pt idx="52">
                  <c:v>12b9676b00f60f3b700e83af21824c0e</c:v>
                </c:pt>
                <c:pt idx="53">
                  <c:v>1336efc61c316ddf92c899eb817f7cae</c:v>
                </c:pt>
                <c:pt idx="54">
                  <c:v>13c2ed7698b3ca92dad49e849219da59</c:v>
                </c:pt>
                <c:pt idx="55">
                  <c:v>13fa2a6c6b9d0f43cb588d7c82117a12</c:v>
                </c:pt>
                <c:pt idx="56">
                  <c:v>1464afc72f696af775557a821c2e253f</c:v>
                </c:pt>
                <c:pt idx="57">
                  <c:v>14d7985702e72162bbf13b6beb74ab2b</c:v>
                </c:pt>
                <c:pt idx="58">
                  <c:v>1554a68530182680ad5c8b042c3ab563</c:v>
                </c:pt>
                <c:pt idx="59">
                  <c:v>157c3e4b42f81ac4a44e8b1ca2fe9876</c:v>
                </c:pt>
                <c:pt idx="60">
                  <c:v>16090f2ca825584b5a147ab24aa30c86</c:v>
                </c:pt>
                <c:pt idx="61">
                  <c:v>165fc07beebdcb6190fba8a06db2a449</c:v>
                </c:pt>
                <c:pt idx="62">
                  <c:v>1690cada046eb7e92c12f98b1f8a8167</c:v>
                </c:pt>
                <c:pt idx="63">
                  <c:v>17a053fcb14bd219540cbde0df490be0</c:v>
                </c:pt>
                <c:pt idx="64">
                  <c:v>17e34d8224d27a541263c4c64b11a56b</c:v>
                </c:pt>
                <c:pt idx="65">
                  <c:v>17f51e7198701186712e53a39c564617</c:v>
                </c:pt>
                <c:pt idx="66">
                  <c:v>1835b56ce799e6a4dc4eddc053f04066</c:v>
                </c:pt>
                <c:pt idx="67">
                  <c:v>1838dd9b8977065acf51d95e0053ea7a</c:v>
                </c:pt>
                <c:pt idx="68">
                  <c:v>18a349e75d307f4b4cc646a691ed4216</c:v>
                </c:pt>
                <c:pt idx="69">
                  <c:v>18e694e0e48ed6f7aa3f24aade5fd697</c:v>
                </c:pt>
                <c:pt idx="70">
                  <c:v>1900267e848ceeba8fa32d80c1a5f5a8</c:v>
                </c:pt>
                <c:pt idx="71">
                  <c:v>1996942dc085d7773ba77a529b163cd0</c:v>
                </c:pt>
                <c:pt idx="72">
                  <c:v>1a3df491d1c4f1589fc2b934ada68bf2</c:v>
                </c:pt>
                <c:pt idx="73">
                  <c:v>1b4c3a6f53068f0b6944d2d005c9fc89</c:v>
                </c:pt>
                <c:pt idx="74">
                  <c:v>1b7e5006cb25dd23ce8686691013b121</c:v>
                </c:pt>
                <c:pt idx="75">
                  <c:v>1b8356dabde1d35e17cef975c3f82730</c:v>
                </c:pt>
                <c:pt idx="76">
                  <c:v>1b938a7ec6ac5061a66a3766e0e75f90</c:v>
                </c:pt>
                <c:pt idx="77">
                  <c:v>1bb2bdb95f4841f1bba2c0d2cd83d3c9</c:v>
                </c:pt>
                <c:pt idx="78">
                  <c:v>1c129092bf23f28a5930387c980c0dfc</c:v>
                </c:pt>
                <c:pt idx="79">
                  <c:v>1c56ffe0e9dea2657fc6e95b53f40b13</c:v>
                </c:pt>
                <c:pt idx="80">
                  <c:v>1c68394e931a64f90ea236c5ea590300</c:v>
                </c:pt>
                <c:pt idx="81">
                  <c:v>1ca7077d890b907f89be8c954a02686a</c:v>
                </c:pt>
                <c:pt idx="82">
                  <c:v>1caf283236cd69af44cbc09a0a1e7d32</c:v>
                </c:pt>
                <c:pt idx="83">
                  <c:v>1d1bbb8ac1581824986f582583fff01d</c:v>
                </c:pt>
                <c:pt idx="84">
                  <c:v>1d8dbc4f32378d715c717c1c1fc57bae</c:v>
                </c:pt>
                <c:pt idx="85">
                  <c:v>1da3aeb70d7989d1e6d9b0e887f97c23</c:v>
                </c:pt>
                <c:pt idx="86">
                  <c:v>1e8b33f18b4f7598d87f5cbee2282cc2</c:v>
                </c:pt>
                <c:pt idx="87">
                  <c:v>1f1bb1f0859883505541bdd6606193e5</c:v>
                </c:pt>
                <c:pt idx="88">
                  <c:v>1f50f920176fa81dab994f9023523100</c:v>
                </c:pt>
                <c:pt idx="89">
                  <c:v>1f9ab4708f3056ede07124aad39a2554</c:v>
                </c:pt>
                <c:pt idx="90">
                  <c:v>2009a095de2a2a41626f6c6d7722678d</c:v>
                </c:pt>
                <c:pt idx="91">
                  <c:v>2059c39f76271d4ca3f15b5ffaccc8b8</c:v>
                </c:pt>
                <c:pt idx="92">
                  <c:v>20d83f3ef0e6925fd74bfd59170babf7</c:v>
                </c:pt>
                <c:pt idx="93">
                  <c:v>2138ccb85b11a4ec1e37afbd1c8eda1f</c:v>
                </c:pt>
                <c:pt idx="94">
                  <c:v>213b25e6f54661939f11710a6fddb871</c:v>
                </c:pt>
                <c:pt idx="95">
                  <c:v>2156f2671501a81034d7d07f217609d0</c:v>
                </c:pt>
                <c:pt idx="96">
                  <c:v>218d46b86c1881d022bce9c68a7d4b15</c:v>
                </c:pt>
                <c:pt idx="97">
                  <c:v>2199e7fe213c16213bf5d6a7eadc9a5d</c:v>
                </c:pt>
                <c:pt idx="98">
                  <c:v>21c62b998a043ebe31161d38f84929fc</c:v>
                </c:pt>
                <c:pt idx="99">
                  <c:v>229c3efbfb0ea2058de4ccdfbc3d784a</c:v>
                </c:pt>
                <c:pt idx="100">
                  <c:v>23c38debaffe4a25a30fdbd9b586a13f</c:v>
                </c:pt>
                <c:pt idx="101">
                  <c:v>23d7c96d4a1160db1c726b248601b25a</c:v>
                </c:pt>
                <c:pt idx="102">
                  <c:v>2528513dd95219a6013d4d05176e391a</c:v>
                </c:pt>
                <c:pt idx="103">
                  <c:v>252e76235acb79183cfca6e34f13337d</c:v>
                </c:pt>
                <c:pt idx="104">
                  <c:v>259f7b5e6e482c230e5bfaa670b6bb8f</c:v>
                </c:pt>
                <c:pt idx="105">
                  <c:v>25be943a321c8938947bdaabca979a90</c:v>
                </c:pt>
                <c:pt idx="106">
                  <c:v>25c5c91f63607446a97b143d2d535d31</c:v>
                </c:pt>
                <c:pt idx="107">
                  <c:v>25cf099de44674fde97473224f9d59ab</c:v>
                </c:pt>
                <c:pt idx="108">
                  <c:v>25e6ffe976bd75618accfe16cefcbd0d</c:v>
                </c:pt>
                <c:pt idx="109">
                  <c:v>2709af9587499e95e803a6498a5a56e9</c:v>
                </c:pt>
                <c:pt idx="110">
                  <c:v>270d3ef21830ad0ecf3a6c53d08a533a</c:v>
                </c:pt>
                <c:pt idx="111">
                  <c:v>282f23a9769b2690c5dda22e316f9941</c:v>
                </c:pt>
                <c:pt idx="112">
                  <c:v>289cdb325fb7e7f891c38608bf9e0962</c:v>
                </c:pt>
                <c:pt idx="113">
                  <c:v>29e6e05b65f93bc224c644319dc52ecf</c:v>
                </c:pt>
                <c:pt idx="114">
                  <c:v>2a1348e9addc1af5aaa619b1a3679d6b</c:v>
                </c:pt>
                <c:pt idx="115">
                  <c:v>2a261b5b644fa05f4f2700eb93544f2c</c:v>
                </c:pt>
                <c:pt idx="116">
                  <c:v>2a61c271b1ac763450d846849783e922</c:v>
                </c:pt>
                <c:pt idx="117">
                  <c:v>2a6fbeaa7ab9e5d59a35841a8da71ce4</c:v>
                </c:pt>
                <c:pt idx="118">
                  <c:v>2a84855fd20af891be03bc5924d2b453</c:v>
                </c:pt>
                <c:pt idx="119">
                  <c:v>2aa3443d7bf9d9bb11133f420d75e083</c:v>
                </c:pt>
                <c:pt idx="120">
                  <c:v>2b1a40c1daabc6ca280c4b815c101841</c:v>
                </c:pt>
                <c:pt idx="121">
                  <c:v>2c9e548be18521d1c43cde1c582c6de8</c:v>
                </c:pt>
                <c:pt idx="122">
                  <c:v>2cb98e27ce1c18abdb42209b34c382a7</c:v>
                </c:pt>
                <c:pt idx="123">
                  <c:v>2d2c62bef4c8ba0dd74e0e228e808539</c:v>
                </c:pt>
                <c:pt idx="124">
                  <c:v>2d50d6282f8aa2257819a77bfaa0efe0</c:v>
                </c:pt>
                <c:pt idx="125">
                  <c:v>2dee2ce60de9709b1a24083217181a1f</c:v>
                </c:pt>
                <c:pt idx="126">
                  <c:v>2e0dba2da448400b1c11d7b4b22f32a4</c:v>
                </c:pt>
                <c:pt idx="127">
                  <c:v>2e1c9f22be269ef4643f826c9e650a52</c:v>
                </c:pt>
                <c:pt idx="128">
                  <c:v>2e90cb1677d35cfe24eef47d441b7c87</c:v>
                </c:pt>
                <c:pt idx="129">
                  <c:v>2eb70248d66e0e3ef83659f71b244378</c:v>
                </c:pt>
                <c:pt idx="130">
                  <c:v>3078096983cf766a32a06257648502d1</c:v>
                </c:pt>
                <c:pt idx="131">
                  <c:v>30829ded4523ab9224b93bc49a62c95f</c:v>
                </c:pt>
                <c:pt idx="132">
                  <c:v>312ba1d77e9c332ef21f9598b7f64cd7</c:v>
                </c:pt>
                <c:pt idx="133">
                  <c:v>31344c16881c08a8a72c6d2eb29918c1</c:v>
                </c:pt>
                <c:pt idx="134">
                  <c:v>31561f325664a8a7aba4c8d0c3a9b3db</c:v>
                </c:pt>
                <c:pt idx="135">
                  <c:v>318f287a62ab7ac10b703ac37435a231</c:v>
                </c:pt>
                <c:pt idx="136">
                  <c:v>31da954dc0855f2495c6310f70a2f931</c:v>
                </c:pt>
                <c:pt idx="137">
                  <c:v>323ce52b5b81df2cd804b017b7f09aa7</c:v>
                </c:pt>
                <c:pt idx="138">
                  <c:v>325f3178fb58e2a9778334621eecdbf9</c:v>
                </c:pt>
                <c:pt idx="139">
                  <c:v>3340ef1913fb70d28420f6ceb685c339</c:v>
                </c:pt>
                <c:pt idx="140">
                  <c:v>33576ec5412fb5905d876f12f33bfde6</c:v>
                </c:pt>
                <c:pt idx="141">
                  <c:v>3361277dc30b7cccdb0c286b24219756</c:v>
                </c:pt>
                <c:pt idx="142">
                  <c:v>33a6f4b1e7cdc205511e76ba1b6e0186</c:v>
                </c:pt>
                <c:pt idx="143">
                  <c:v>34056b8b55c1775a22af2331670a799c</c:v>
                </c:pt>
                <c:pt idx="144">
                  <c:v>34d1ca11b242c0fee2c834ae8d788566</c:v>
                </c:pt>
                <c:pt idx="145">
                  <c:v>3504c0cb71d7fa48d967e0e4c94d59d9</c:v>
                </c:pt>
                <c:pt idx="146">
                  <c:v>36a968b544695394e4e9d7572688598f</c:v>
                </c:pt>
                <c:pt idx="147">
                  <c:v>373ee4a3a775a733770ca3f790b8b9ac</c:v>
                </c:pt>
                <c:pt idx="148">
                  <c:v>37515688008a7a40ac93e3b2e4ab203f</c:v>
                </c:pt>
                <c:pt idx="149">
                  <c:v>3785b653b1b82de85ab47dd139938091</c:v>
                </c:pt>
                <c:pt idx="150">
                  <c:v>37be5a7c751166fbc5f8ccba4119e043</c:v>
                </c:pt>
                <c:pt idx="151">
                  <c:v>382229d1e840115ffe3dbf5ff460e417</c:v>
                </c:pt>
                <c:pt idx="152">
                  <c:v>38e679b9e0064cd94c6f035707344dae</c:v>
                </c:pt>
                <c:pt idx="153">
                  <c:v>38e6dada03429a47197d5d584d793b41</c:v>
                </c:pt>
                <c:pt idx="154">
                  <c:v>391fc6631aebcf3004804e51b40bcf1e</c:v>
                </c:pt>
                <c:pt idx="155">
                  <c:v>392353362d22cc2c236e1ee81ff19890</c:v>
                </c:pt>
                <c:pt idx="156">
                  <c:v>392e0502231ae2f8b29994ef6398cd77</c:v>
                </c:pt>
                <c:pt idx="157">
                  <c:v>3a490ba60afa30ece0e7d50cfe74a4f0</c:v>
                </c:pt>
                <c:pt idx="158">
                  <c:v>3a734b715d333a2588a3d54a0c9b8746</c:v>
                </c:pt>
                <c:pt idx="159">
                  <c:v>3afc536624bc2e65bddfb5db33cc01f3</c:v>
                </c:pt>
                <c:pt idx="160">
                  <c:v>3b15288545f8928d3e65a8f949a28291</c:v>
                </c:pt>
                <c:pt idx="161">
                  <c:v>3b872fd4747f01cc56206f2934198618</c:v>
                </c:pt>
                <c:pt idx="162">
                  <c:v>3bb548e3cb7f70f28e3f11ee9dce0e59</c:v>
                </c:pt>
                <c:pt idx="163">
                  <c:v>3c03b12bab54d8b37d79d914bfdb1aa0</c:v>
                </c:pt>
                <c:pt idx="164">
                  <c:v>3c487ae8f8d7542beff5788e2e0aea83</c:v>
                </c:pt>
                <c:pt idx="165">
                  <c:v>3c7c4a49ec3c6550809089c6a2ca9370</c:v>
                </c:pt>
                <c:pt idx="166">
                  <c:v>3cfa1358a6caa965278721344c8d76f2</c:v>
                </c:pt>
                <c:pt idx="167">
                  <c:v>3d621842b2ed28e2b474132480edac3c</c:v>
                </c:pt>
                <c:pt idx="168">
                  <c:v>3d871de0142ce09b7081e2b9d1733cb1</c:v>
                </c:pt>
                <c:pt idx="169">
                  <c:v>3d8fa2f5b647373c8620330c4e077a9f</c:v>
                </c:pt>
                <c:pt idx="170">
                  <c:v>3db66a856d18a9cba7c9241fc5221c50</c:v>
                </c:pt>
                <c:pt idx="171">
                  <c:v>3dbbce181edfaa4a597ec858c382d2ec</c:v>
                </c:pt>
                <c:pt idx="172">
                  <c:v>3df020b72d3d44b3af9d110fa3940b65</c:v>
                </c:pt>
                <c:pt idx="173">
                  <c:v>406822777a0b9eb5c50e442dd4cd3ec5</c:v>
                </c:pt>
                <c:pt idx="174">
                  <c:v>40d54b51e962dbe09cabbcfd33298dee</c:v>
                </c:pt>
                <c:pt idx="175">
                  <c:v>4170f6a9367e6b5d6401d03ce6d54569</c:v>
                </c:pt>
                <c:pt idx="176">
                  <c:v>41ab63a91b8b264e8c8780368bf1dd5b</c:v>
                </c:pt>
                <c:pt idx="177">
                  <c:v>41b39e28db005d9731d9d485a83b4c38</c:v>
                </c:pt>
                <c:pt idx="178">
                  <c:v>4200ddf1967c5e41e48db62bc6d4b5ac</c:v>
                </c:pt>
                <c:pt idx="179">
                  <c:v>42b729f859728f5079499127a9c2ef37</c:v>
                </c:pt>
                <c:pt idx="180">
                  <c:v>430315b7bb4b6e4b3c978f9dfa9b0558</c:v>
                </c:pt>
                <c:pt idx="181">
                  <c:v>4305fe92735c8a43d154ff6dd2b8d927</c:v>
                </c:pt>
                <c:pt idx="182">
                  <c:v>431af27f296bc6519d890aa5a05fdb11</c:v>
                </c:pt>
                <c:pt idx="183">
                  <c:v>4324dd16853115efb0fd9d0d131ba6f4</c:v>
                </c:pt>
                <c:pt idx="184">
                  <c:v>432c37c9dfba871172ec162e20118b8c</c:v>
                </c:pt>
                <c:pt idx="185">
                  <c:v>4391ea5c5990502176a1dcda44a2373d</c:v>
                </c:pt>
                <c:pt idx="186">
                  <c:v>439a47cc365d6e3bd526812ea9de3c29</c:v>
                </c:pt>
                <c:pt idx="187">
                  <c:v>43f8c9950d11ecd03a0304a49e010da6</c:v>
                </c:pt>
                <c:pt idx="188">
                  <c:v>45ba18c210d42734ec52c0c1c574e9ee</c:v>
                </c:pt>
                <c:pt idx="189">
                  <c:v>46dc3b2cc0980fb8ec44634e21d2718e</c:v>
                </c:pt>
                <c:pt idx="190">
                  <c:v>478bfe564db21eeb44386606aa30b650</c:v>
                </c:pt>
                <c:pt idx="191">
                  <c:v>47efca563408aae19bb7206c2d969ea9</c:v>
                </c:pt>
                <c:pt idx="192">
                  <c:v>48162d548f5b1b11b9d29d1e01f75a61</c:v>
                </c:pt>
                <c:pt idx="193">
                  <c:v>4830e40640734fc1c52cd21127c341d4</c:v>
                </c:pt>
                <c:pt idx="194">
                  <c:v>48436dade18ac8b2bce089ec2a041202</c:v>
                </c:pt>
                <c:pt idx="195">
                  <c:v>485452467ff670447e84a8370c3fc898</c:v>
                </c:pt>
                <c:pt idx="196">
                  <c:v>4869f7a5dfa277a7dca6462dcf3b52b2</c:v>
                </c:pt>
                <c:pt idx="197">
                  <c:v>4917cee8d902e13428c3ec4b1ca6f315</c:v>
                </c:pt>
                <c:pt idx="198">
                  <c:v>4992e76a42cb3aad7a7047e0d3d7e729</c:v>
                </c:pt>
                <c:pt idx="199">
                  <c:v>4a3ca9315b744ce9f8e9374361493884</c:v>
                </c:pt>
                <c:pt idx="200">
                  <c:v>4a3ccda38b2129705f3fb522db62ca31</c:v>
                </c:pt>
                <c:pt idx="201">
                  <c:v>4b9750c8ad28220fe6702d4ecb7c898f</c:v>
                </c:pt>
                <c:pt idx="202">
                  <c:v>4bf2f4ee540798a61f9636d12cd9cc80</c:v>
                </c:pt>
                <c:pt idx="203">
                  <c:v>4c03b9dd4c11ee2cb35c96c49efc9420</c:v>
                </c:pt>
                <c:pt idx="204">
                  <c:v>4c2b230173bb36f9b240f2b8ac11786e</c:v>
                </c:pt>
                <c:pt idx="205">
                  <c:v>4c8b8048e33af2bf94f2eb547746a916</c:v>
                </c:pt>
                <c:pt idx="206">
                  <c:v>4d6d651bd7684af3fffabd5f08d12e5a</c:v>
                </c:pt>
                <c:pt idx="207">
                  <c:v>4e06067cc08b3f41d837768d392c3ee3</c:v>
                </c:pt>
                <c:pt idx="208">
                  <c:v>4e17c65a516f69d023a2ae78b84f28d6</c:v>
                </c:pt>
                <c:pt idx="209">
                  <c:v>4e922959ae960d389249c378d1c939f5</c:v>
                </c:pt>
                <c:pt idx="210">
                  <c:v>4f0d637c1197fd65405ebd755ac9f86b</c:v>
                </c:pt>
                <c:pt idx="211">
                  <c:v>503c1de08ae81a2d86f17951b204db55</c:v>
                </c:pt>
                <c:pt idx="212">
                  <c:v>5058e8c1e82653974541e83690655b4a</c:v>
                </c:pt>
                <c:pt idx="213">
                  <c:v>5160d23075764e18e07c1f4a87fad743</c:v>
                </c:pt>
                <c:pt idx="214">
                  <c:v>516e7738bd8f735ac19a010ee5450d8d</c:v>
                </c:pt>
                <c:pt idx="215">
                  <c:v>51702dc2a3e106c76dbff722b5bf0726</c:v>
                </c:pt>
                <c:pt idx="216">
                  <c:v>51e4e89242cbb846c2deff3dc015650e</c:v>
                </c:pt>
                <c:pt idx="217">
                  <c:v>522620dcb18a6b31cd7bdf73665113a9</c:v>
                </c:pt>
                <c:pt idx="218">
                  <c:v>52562a9f449c3dc3d53f5f5b9ed74903</c:v>
                </c:pt>
                <c:pt idx="219">
                  <c:v>527801b552d0077ffd170872eb49683b</c:v>
                </c:pt>
                <c:pt idx="220">
                  <c:v>52d76513f0c4d97f3b99570e2c94ee31</c:v>
                </c:pt>
                <c:pt idx="221">
                  <c:v>530ec6109d11eaaf87999465c6afee01</c:v>
                </c:pt>
                <c:pt idx="222">
                  <c:v>53243585a1d6dc2643021fd1853d8905</c:v>
                </c:pt>
                <c:pt idx="223">
                  <c:v>53336f97ddbe53e2a617d07b17447b95</c:v>
                </c:pt>
                <c:pt idx="224">
                  <c:v>537eb890efff034a88679788b647c564</c:v>
                </c:pt>
                <c:pt idx="225">
                  <c:v>53e4c6e0f4312d4d2107a8c9cddf45cd</c:v>
                </c:pt>
                <c:pt idx="226">
                  <c:v>54065e9aef7e9e9c2dc23b7594db021a</c:v>
                </c:pt>
                <c:pt idx="227">
                  <c:v>54219883e72aad869adfb2a54b7bfa0f</c:v>
                </c:pt>
                <c:pt idx="228">
                  <c:v>542917da124346b47ea1ac79a93ce454</c:v>
                </c:pt>
                <c:pt idx="229">
                  <c:v>54965bbe3e4f07ae045b90b0b8541f52</c:v>
                </c:pt>
                <c:pt idx="230">
                  <c:v>54a1852d1b8f10312c55e906355666ee</c:v>
                </c:pt>
                <c:pt idx="231">
                  <c:v>54aa8463e87776b5612f4bdc4bd5d4de</c:v>
                </c:pt>
                <c:pt idx="232">
                  <c:v>55029529919c0123526150bd26ca8f20</c:v>
                </c:pt>
                <c:pt idx="233">
                  <c:v>559d56f3b8f0bc2e5a9a62fe2ce2a39f</c:v>
                </c:pt>
                <c:pt idx="234">
                  <c:v>562fc2f2c2863ab7e79a9e4388a58a14</c:v>
                </c:pt>
                <c:pt idx="235">
                  <c:v>5656537e588803a555b8eb41f07a944b</c:v>
                </c:pt>
                <c:pt idx="236">
                  <c:v>56642bcb79900e777d68e91915cb4267</c:v>
                </c:pt>
                <c:pt idx="237">
                  <c:v>5670f4db5b62c43d542e1b2d56b0cf7c</c:v>
                </c:pt>
                <c:pt idx="238">
                  <c:v>56e361f411e38dcef17cdc2a3d99628b</c:v>
                </c:pt>
                <c:pt idx="239">
                  <c:v>582d4f8675b945722eda7c0cb61ba4c7</c:v>
                </c:pt>
                <c:pt idx="240">
                  <c:v>58f1a6197ed863543e0136bdedb3fce2</c:v>
                </c:pt>
                <c:pt idx="241">
                  <c:v>594f9aaa48e5bf431f011ddc5669b0d5</c:v>
                </c:pt>
                <c:pt idx="242">
                  <c:v>5996cddab893a4652a15592fb58ab8db</c:v>
                </c:pt>
                <c:pt idx="243">
                  <c:v>59b22a78efb79a4797979612b885db36</c:v>
                </c:pt>
                <c:pt idx="244">
                  <c:v>59fb871bf6f4522a87ba567b42dafecf</c:v>
                </c:pt>
                <c:pt idx="245">
                  <c:v>5a8e7d5003a1f221f9e1d6e411de7c23</c:v>
                </c:pt>
                <c:pt idx="246">
                  <c:v>5a93f3ab0ef4c84ed5e1b5dbf23978bc</c:v>
                </c:pt>
                <c:pt idx="247">
                  <c:v>5b0cc932433fa5184b5b94bfe6bcc256</c:v>
                </c:pt>
                <c:pt idx="248">
                  <c:v>5b179e9e8cc7ab6fd113a46ca584da81</c:v>
                </c:pt>
                <c:pt idx="249">
                  <c:v>5b2e94f2c22b39ccc24d34ad0f669672</c:v>
                </c:pt>
                <c:pt idx="250">
                  <c:v>5b51032eddd242adc84c38acab88f23d</c:v>
                </c:pt>
                <c:pt idx="251">
                  <c:v>5b67882648febfb6e1225e6ad7164f6b</c:v>
                </c:pt>
                <c:pt idx="252">
                  <c:v>5b85809efd0d0e4dea1a9544e1280ed9</c:v>
                </c:pt>
                <c:pt idx="253">
                  <c:v>5bc237df65098fe211bb4818f4d26d78</c:v>
                </c:pt>
                <c:pt idx="254">
                  <c:v>5bc55dbe2f12b6af6d83ed46023e0dc8</c:v>
                </c:pt>
                <c:pt idx="255">
                  <c:v>5c243662ce92d84573bfaff24c3e3700</c:v>
                </c:pt>
                <c:pt idx="256">
                  <c:v>5cf13accae3222c70a9cac40818ae839</c:v>
                </c:pt>
                <c:pt idx="257">
                  <c:v>5dceca129747e92ff8ef7a997dc4f8ca</c:v>
                </c:pt>
                <c:pt idx="258">
                  <c:v>5f3ae9136c875522250f8184f253413a</c:v>
                </c:pt>
                <c:pt idx="259">
                  <c:v>5f5b43b2bffa8656e4bc6efeb13cc649</c:v>
                </c:pt>
                <c:pt idx="260">
                  <c:v>5f67c6082caacb26e431a7b17940cece</c:v>
                </c:pt>
                <c:pt idx="261">
                  <c:v>5fd924b4836098a5be0ecf81ba054ce0</c:v>
                </c:pt>
                <c:pt idx="262">
                  <c:v>602044f2c16190c2c6e45eb35c2e21cb</c:v>
                </c:pt>
                <c:pt idx="263">
                  <c:v>6039e27294dc75811c0d8a39069f52c0</c:v>
                </c:pt>
                <c:pt idx="264">
                  <c:v>6061155addc1e54b4cfb51c1c2a32ad8</c:v>
                </c:pt>
                <c:pt idx="265">
                  <c:v>609e1a9a6c2539919b8205cf7c4e6ff0</c:v>
                </c:pt>
                <c:pt idx="266">
                  <c:v>610f72e407cdd7caaa2f8167b0163fd8</c:v>
                </c:pt>
                <c:pt idx="267">
                  <c:v>612170e34b97004b3ba37eae81836b4c</c:v>
                </c:pt>
                <c:pt idx="268">
                  <c:v>620c87c171fb2a6dd6e8bb4dec959fc6</c:v>
                </c:pt>
                <c:pt idx="269">
                  <c:v>624f4ece8da4aafb77699233d480f8ef</c:v>
                </c:pt>
                <c:pt idx="270">
                  <c:v>6338ea67c41078a46ad99cc009654956</c:v>
                </c:pt>
                <c:pt idx="271">
                  <c:v>633ecdf879b94b5337cca303328e4a25</c:v>
                </c:pt>
                <c:pt idx="272">
                  <c:v>634964b17796e64304cadf1ad3050fb7</c:v>
                </c:pt>
                <c:pt idx="273">
                  <c:v>63b464dbf392c7b80d12d932fa7cafed</c:v>
                </c:pt>
                <c:pt idx="274">
                  <c:v>640e21a7d01df7614a3b4923e990d40c</c:v>
                </c:pt>
                <c:pt idx="275">
                  <c:v>6426d21aca402a131fc0a5d0960a3c90</c:v>
                </c:pt>
                <c:pt idx="276">
                  <c:v>643214e62b870443ccbe55ab29a4dccf</c:v>
                </c:pt>
                <c:pt idx="277">
                  <c:v>6481e96574816ead57975da2c0f6d80d</c:v>
                </c:pt>
                <c:pt idx="278">
                  <c:v>6560211a19b47992c3666cc44a7e94c0</c:v>
                </c:pt>
                <c:pt idx="279">
                  <c:v>65b081a070633e057c462abdd6fb9dd8</c:v>
                </c:pt>
                <c:pt idx="280">
                  <c:v>65febd49fd28ec955651299159b1f527</c:v>
                </c:pt>
                <c:pt idx="281">
                  <c:v>66922902710d126a0e7d26b0e3805106</c:v>
                </c:pt>
                <c:pt idx="282">
                  <c:v>669ae81880e08f269a64487cfb287169</c:v>
                </c:pt>
                <c:pt idx="283">
                  <c:v>66e0557ecc2b4dbea057e93f215f68d8</c:v>
                </c:pt>
                <c:pt idx="284">
                  <c:v>66fd84ee7528c0c0de85d0f44a73d5ab</c:v>
                </c:pt>
                <c:pt idx="285">
                  <c:v>671585f5a2af58b6e276bc01003c0d2b</c:v>
                </c:pt>
                <c:pt idx="286">
                  <c:v>6860153b69cc696d5dcfe1cdaaafcf62</c:v>
                </c:pt>
                <c:pt idx="287">
                  <c:v>688756f717c462a206ad854c5027a64a</c:v>
                </c:pt>
                <c:pt idx="288">
                  <c:v>6973a06f484aacf400ece213dbf3d946</c:v>
                </c:pt>
                <c:pt idx="289">
                  <c:v>6a38087bc8ad4f89ff453561005f6dea</c:v>
                </c:pt>
                <c:pt idx="290">
                  <c:v>6a51fc556dab5f766ced6fbc860bc613</c:v>
                </c:pt>
                <c:pt idx="291">
                  <c:v>6a8a889bde935bafa76d7848782dfaf9</c:v>
                </c:pt>
                <c:pt idx="292">
                  <c:v>6a8b085f816a1f75f92dbac6eb545f8f</c:v>
                </c:pt>
                <c:pt idx="293">
                  <c:v>6b243f80ed07b10f0e8aa0f21a205f3c</c:v>
                </c:pt>
                <c:pt idx="294">
                  <c:v>6b536a23086fba0d58c08d68814397f6</c:v>
                </c:pt>
                <c:pt idx="295">
                  <c:v>6bd503a8230299c9316fb0f726933927</c:v>
                </c:pt>
                <c:pt idx="296">
                  <c:v>6c7d50c24b3ccd2fd83b44d8bb34e073</c:v>
                </c:pt>
                <c:pt idx="297">
                  <c:v>6cd68b3ed6d59aaa9fece558ad360c0a</c:v>
                </c:pt>
                <c:pt idx="298">
                  <c:v>6cf476a4ca74498db55cbccdaa9dcfb6</c:v>
                </c:pt>
                <c:pt idx="299">
                  <c:v>6d66611d7c44cc30ce351abc49a68421</c:v>
                </c:pt>
                <c:pt idx="300">
                  <c:v>6df688df543f90e9b38f4319e75a9d88</c:v>
                </c:pt>
                <c:pt idx="301">
                  <c:v>6e864f5c4669eff3d98140a07cc50202</c:v>
                </c:pt>
                <c:pt idx="302">
                  <c:v>6edacfd9f9074789dad6d62ba7950b9c</c:v>
                </c:pt>
                <c:pt idx="303">
                  <c:v>6f892e20a171e98efe17fdb971ff319b</c:v>
                </c:pt>
                <c:pt idx="304">
                  <c:v>6fc26fe110feebd80a433e1f012a84f9</c:v>
                </c:pt>
                <c:pt idx="305">
                  <c:v>6fd52c528dcb38be2eea044946b811f8</c:v>
                </c:pt>
                <c:pt idx="306">
                  <c:v>7008613ea464bad5cb9b83456e1e6a8f</c:v>
                </c:pt>
                <c:pt idx="307">
                  <c:v>701938c450705b8ae65fc923b70f35c7</c:v>
                </c:pt>
                <c:pt idx="308">
                  <c:v>702835e4b785b67a084280efca355756</c:v>
                </c:pt>
                <c:pt idx="309">
                  <c:v>7040e82f899a04d1b434b795a43b4617</c:v>
                </c:pt>
                <c:pt idx="310">
                  <c:v>70849ca4f400aaabb62cb7462a6f1428</c:v>
                </c:pt>
                <c:pt idx="311">
                  <c:v>709e16e2b25c7474d980076c6bfc4806</c:v>
                </c:pt>
                <c:pt idx="312">
                  <c:v>70a12e78e608ac31179aea7f8422044b</c:v>
                </c:pt>
                <c:pt idx="313">
                  <c:v>70c27847eca8195c983ed7e798c56743</c:v>
                </c:pt>
                <c:pt idx="314">
                  <c:v>710e3548e02bc1d2831dfc4f1b5b14d4</c:v>
                </c:pt>
                <c:pt idx="315">
                  <c:v>7139dc5186aa238b006e066d8fbab2e4</c:v>
                </c:pt>
                <c:pt idx="316">
                  <c:v>7142540dd4c91e2237acb7e911c4eba2</c:v>
                </c:pt>
                <c:pt idx="317">
                  <c:v>715bbd5ba4e6b74cb0d2f29eb45058b0</c:v>
                </c:pt>
                <c:pt idx="318">
                  <c:v>718539d38d07dd351c76db862760e2e2</c:v>
                </c:pt>
                <c:pt idx="319">
                  <c:v>71dc18fd8cbf5fd77f45dd8b427abb34</c:v>
                </c:pt>
                <c:pt idx="320">
                  <c:v>7202e2ba20579a9bd1acb29e61fe71f6</c:v>
                </c:pt>
                <c:pt idx="321">
                  <c:v>7210cd29727d674c00741e5e387b3ccd</c:v>
                </c:pt>
                <c:pt idx="322">
                  <c:v>725c32fa80c2faacc4fc88450d27314e</c:v>
                </c:pt>
                <c:pt idx="323">
                  <c:v>7299e27ed73d2ad986de7f7c77d919fa</c:v>
                </c:pt>
                <c:pt idx="324">
                  <c:v>729b2d09b2a0bdab221076327f13d050</c:v>
                </c:pt>
                <c:pt idx="325">
                  <c:v>729f06993dac8e860d4f02d7088ca48a</c:v>
                </c:pt>
                <c:pt idx="326">
                  <c:v>72c5da29406b4234927b81855e7b64f6</c:v>
                </c:pt>
                <c:pt idx="327">
                  <c:v>7357b52d27cbaa90f81a96cbc1279396</c:v>
                </c:pt>
                <c:pt idx="328">
                  <c:v>7586919161935337bf6b6d7ff5779648</c:v>
                </c:pt>
                <c:pt idx="329">
                  <c:v>75d34ebb1bd0bd7dde40dd507b8169c3</c:v>
                </c:pt>
                <c:pt idx="330">
                  <c:v>76c47a299e4a8fe992316a85865acbe9</c:v>
                </c:pt>
                <c:pt idx="331">
                  <c:v>76d5af76d0271110f9af36c92573f765</c:v>
                </c:pt>
                <c:pt idx="332">
                  <c:v>76d64c4aca3a7baf218bf93ef7fa768d</c:v>
                </c:pt>
                <c:pt idx="333">
                  <c:v>7722b1df1b0e383e000397b2c11e3e19</c:v>
                </c:pt>
                <c:pt idx="334">
                  <c:v>77530e9772f57a62c906e1c21538ab82</c:v>
                </c:pt>
                <c:pt idx="335">
                  <c:v>77a515caa36327151d1cc6c32a9f00e1</c:v>
                </c:pt>
                <c:pt idx="336">
                  <c:v>784ba75dd9d20200c4caed3d7a77141a</c:v>
                </c:pt>
                <c:pt idx="337">
                  <c:v>7901646fdd36a55f564ffaf2dbccaaf7</c:v>
                </c:pt>
                <c:pt idx="338">
                  <c:v>79ebd9a61bac3eaf882805ed4ecfa12a</c:v>
                </c:pt>
                <c:pt idx="339">
                  <c:v>79ed755314cfe6df0daef2c6cd3022cd</c:v>
                </c:pt>
                <c:pt idx="340">
                  <c:v>7a241947449cc45dbfda4f9d0798d9d0</c:v>
                </c:pt>
                <c:pt idx="341">
                  <c:v>7a67c85e85bb2ce8582c35f2203ad736</c:v>
                </c:pt>
                <c:pt idx="342">
                  <c:v>7ad32824caee82087b3e2e5f33b1bf32</c:v>
                </c:pt>
                <c:pt idx="343">
                  <c:v>7b07b3c7487f0ea825fc6df75abd658b</c:v>
                </c:pt>
                <c:pt idx="344">
                  <c:v>7b0df942f46435babab05d49b744b2c4</c:v>
                </c:pt>
                <c:pt idx="345">
                  <c:v>7b7f91e98f8c6def45a1407923304402</c:v>
                </c:pt>
                <c:pt idx="346">
                  <c:v>7c5b05cbdb5542049f38d90d7815b97d</c:v>
                </c:pt>
                <c:pt idx="347">
                  <c:v>7c67e1448b00f6e969d365cea6b010ab</c:v>
                </c:pt>
                <c:pt idx="348">
                  <c:v>7d13fca15225358621be4086e1eb0964</c:v>
                </c:pt>
                <c:pt idx="349">
                  <c:v>7d456afc660226829370f3173d14520c</c:v>
                </c:pt>
                <c:pt idx="350">
                  <c:v>7d76b645482be4a332374e8223836592</c:v>
                </c:pt>
                <c:pt idx="351">
                  <c:v>7d7866a99a8656a42c7ff6352a433410</c:v>
                </c:pt>
                <c:pt idx="352">
                  <c:v>7ddcbb64b5bc1ef36ca8c151f6ec77df</c:v>
                </c:pt>
                <c:pt idx="353">
                  <c:v>7e1fb0a3ebfb01ffb3a7dae98bf3238d</c:v>
                </c:pt>
                <c:pt idx="354">
                  <c:v>7e93a43ef30c4f03f38b393420bc753a</c:v>
                </c:pt>
                <c:pt idx="355">
                  <c:v>80e6699fe29150b372a0c8a1ebf7dcc8</c:v>
                </c:pt>
                <c:pt idx="356">
                  <c:v>813348c996469b40f2e028d5429d3495</c:v>
                </c:pt>
                <c:pt idx="357">
                  <c:v>8160255418d5aaa7dbdc9f4c64ebda44</c:v>
                </c:pt>
                <c:pt idx="358">
                  <c:v>817245bcc3badd82bbd222e0366951a6</c:v>
                </c:pt>
                <c:pt idx="359">
                  <c:v>81a1104df0f08b59c68aa5b03cfe398e</c:v>
                </c:pt>
                <c:pt idx="360">
                  <c:v>81f89e42267213cb94da7ddc301651da</c:v>
                </c:pt>
                <c:pt idx="361">
                  <c:v>822bad9bc42b51213ba522fe87b7ab5d</c:v>
                </c:pt>
                <c:pt idx="362">
                  <c:v>827f8f69dfa529c561901c4f2e0f332f</c:v>
                </c:pt>
                <c:pt idx="363">
                  <c:v>834f3294fba9f932f56edc879193f925</c:v>
                </c:pt>
                <c:pt idx="364">
                  <c:v>835f0f7810c76831d6c7d24c7a646d4d</c:v>
                </c:pt>
                <c:pt idx="365">
                  <c:v>83e197e95a1bbabc8c75e883ed016c47</c:v>
                </c:pt>
                <c:pt idx="366">
                  <c:v>8444e55c1f13cd5c179851e5ca5ebd00</c:v>
                </c:pt>
                <c:pt idx="367">
                  <c:v>850f4f8af5ea87287ac68de36e29107f</c:v>
                </c:pt>
                <c:pt idx="368">
                  <c:v>855668e0971d4dfd7bef1b6a4133b41b</c:v>
                </c:pt>
                <c:pt idx="369">
                  <c:v>8581055ce74af1daba164fdbd55a40de</c:v>
                </c:pt>
                <c:pt idx="370">
                  <c:v>85d9eb9ddc5d00ca9336a2219c97bb13</c:v>
                </c:pt>
                <c:pt idx="371">
                  <c:v>8602a61d680a10a82cceeeda0d99ea3d</c:v>
                </c:pt>
                <c:pt idx="372">
                  <c:v>8648b1e89e9b349e32d3741b30ec737e</c:v>
                </c:pt>
                <c:pt idx="373">
                  <c:v>86ccac0b835037332a596a33b6949ee1</c:v>
                </c:pt>
                <c:pt idx="374">
                  <c:v>870d0118f7a9d85960f29ad89d5d989a</c:v>
                </c:pt>
                <c:pt idx="375">
                  <c:v>87142160b41353c4e5fca2360caf6f92</c:v>
                </c:pt>
                <c:pt idx="376">
                  <c:v>87d30a6a0cbf89356e49324971ab1d24</c:v>
                </c:pt>
                <c:pt idx="377">
                  <c:v>87e24fc7052259b1f7f607d61c10d8be</c:v>
                </c:pt>
                <c:pt idx="378">
                  <c:v>88460e8ebdecbfecb5f9601833981930</c:v>
                </c:pt>
                <c:pt idx="379">
                  <c:v>8931a84a914b3fe9b1ddaa4d704947ca</c:v>
                </c:pt>
                <c:pt idx="380">
                  <c:v>897060da8b9a21f655304d50fd935913</c:v>
                </c:pt>
                <c:pt idx="381">
                  <c:v>8a32e327fe2c1b3511609d81aaf9f042</c:v>
                </c:pt>
                <c:pt idx="382">
                  <c:v>8a432f4e5b471f8da497d7dc517666e2</c:v>
                </c:pt>
                <c:pt idx="383">
                  <c:v>8a87611c08849ffeeccab52aa798b6c7</c:v>
                </c:pt>
                <c:pt idx="384">
                  <c:v>8ae520247981aa06bc94abddf5f46d34</c:v>
                </c:pt>
                <c:pt idx="385">
                  <c:v>8b2492b7ff4468839593fafeed55bad9</c:v>
                </c:pt>
                <c:pt idx="386">
                  <c:v>8b28d096634035667e8263d57ba3368c</c:v>
                </c:pt>
                <c:pt idx="387">
                  <c:v>8b321bb669392f5163d04c59e235e066</c:v>
                </c:pt>
                <c:pt idx="388">
                  <c:v>8b87cd0d43d49b9bdf40f56229364d59</c:v>
                </c:pt>
                <c:pt idx="389">
                  <c:v>8b9d6eec4a7eb7d0f9d579ce0b38324d</c:v>
                </c:pt>
                <c:pt idx="390">
                  <c:v>8c16d1f32a54d92897cc437244442e1b</c:v>
                </c:pt>
                <c:pt idx="391">
                  <c:v>8cbac7e12637ed9cffa18c7875207478</c:v>
                </c:pt>
                <c:pt idx="392">
                  <c:v>8cc6a0e5738e61a87b03c78b2ba9db4b</c:v>
                </c:pt>
                <c:pt idx="393">
                  <c:v>8d79c8a04e42d722a75097ce5cbcf2ef</c:v>
                </c:pt>
                <c:pt idx="394">
                  <c:v>8d956fec2e4337affcb520f56fd8cbfd</c:v>
                </c:pt>
                <c:pt idx="395">
                  <c:v>8e6cc767478edae941d9bd9eb778d77a</c:v>
                </c:pt>
                <c:pt idx="396">
                  <c:v>8e6d7754bc7e0f22c96d255ebda59eba</c:v>
                </c:pt>
                <c:pt idx="397">
                  <c:v>8e8a7ce9f2f970dc00e2acf6f6e199f6</c:v>
                </c:pt>
                <c:pt idx="398">
                  <c:v>8ed8ea9a57c862f2c18c2fe41f601d56</c:v>
                </c:pt>
                <c:pt idx="399">
                  <c:v>8f119a0aee85c0c8fc534629734e94fd</c:v>
                </c:pt>
                <c:pt idx="400">
                  <c:v>8f2ce03f928b567e3d56181ae20ae952</c:v>
                </c:pt>
                <c:pt idx="401">
                  <c:v>8f78f0903005064036736c7173a5c2ed</c:v>
                </c:pt>
                <c:pt idx="402">
                  <c:v>900ba814c251a692506d7834c1218441</c:v>
                </c:pt>
                <c:pt idx="403">
                  <c:v>91f0eec23d4a61d7d7caeefa3f0ad1ca</c:v>
                </c:pt>
                <c:pt idx="404">
                  <c:v>92eb0f42c21942b6552362b9b114707d</c:v>
                </c:pt>
                <c:pt idx="405">
                  <c:v>94144541854e298c2d976cb893b81343</c:v>
                </c:pt>
                <c:pt idx="406">
                  <c:v>94e93ce877be27a515118dbfd2c2be41</c:v>
                </c:pt>
                <c:pt idx="407">
                  <c:v>951e8cef368f09bb3f3d03c00ca4702c</c:v>
                </c:pt>
                <c:pt idx="408">
                  <c:v>955fee9216a65b617aa5c0531780ce60</c:v>
                </c:pt>
                <c:pt idx="409">
                  <c:v>95e03ca3d4146e4011985981aeb959b9</c:v>
                </c:pt>
                <c:pt idx="410">
                  <c:v>95ec4458365c4d11f452ccf538377619</c:v>
                </c:pt>
                <c:pt idx="411">
                  <c:v>9616352088dcf83a7c06637f4ebf1c80</c:v>
                </c:pt>
                <c:pt idx="412">
                  <c:v>9646c3513289980f17226a2fc4720dbd</c:v>
                </c:pt>
                <c:pt idx="413">
                  <c:v>96493fab2fbb13a14d0c0e8772eef5c3</c:v>
                </c:pt>
                <c:pt idx="414">
                  <c:v>966cb4760537b1404caedd472cc610a5</c:v>
                </c:pt>
                <c:pt idx="415">
                  <c:v>9674754b5a0cb32b638cec001178f799</c:v>
                </c:pt>
                <c:pt idx="416">
                  <c:v>974cf2cb8f4b7add98709c30df02fe10</c:v>
                </c:pt>
                <c:pt idx="417">
                  <c:v>97512d3fc193b2d1dfcdba0f9d1f0f8a</c:v>
                </c:pt>
                <c:pt idx="418">
                  <c:v>98dac6635aee4995d501a3972e047414</c:v>
                </c:pt>
                <c:pt idx="419">
                  <c:v>99002261c568a84cce14d43fcffb43ea</c:v>
                </c:pt>
                <c:pt idx="420">
                  <c:v>994f04b3718c2bab35c2adfa8afecd2a</c:v>
                </c:pt>
                <c:pt idx="421">
                  <c:v>99a54764c341d5dc80b4a8fac4eba3fb</c:v>
                </c:pt>
                <c:pt idx="422">
                  <c:v>99eaacc9e6046db1c82b163c5f84869f</c:v>
                </c:pt>
                <c:pt idx="423">
                  <c:v>9a03a4e9eb0b947652fae4f6121a3f5e</c:v>
                </c:pt>
                <c:pt idx="424">
                  <c:v>9b013e03b2ab786505a1d3b5c0756754</c:v>
                </c:pt>
                <c:pt idx="425">
                  <c:v>9baf5cb77970f539089d09a38bcec5c3</c:v>
                </c:pt>
                <c:pt idx="426">
                  <c:v>9c0e69c7bf2619675bbadf47b43f655a</c:v>
                </c:pt>
                <c:pt idx="427">
                  <c:v>9c1c0c36cd23c20897e473901a8fb149</c:v>
                </c:pt>
                <c:pt idx="428">
                  <c:v>9c7fd21e0aa159b20da593371f08ff7c</c:v>
                </c:pt>
                <c:pt idx="429">
                  <c:v>9d5a9018aee56acb367ba9c3f05d1d6a</c:v>
                </c:pt>
                <c:pt idx="430">
                  <c:v>9d7a1d34a5052409006425275ba1c2b4</c:v>
                </c:pt>
                <c:pt idx="431">
                  <c:v>9dda5bbacd45e18d6485fee649205d09</c:v>
                </c:pt>
                <c:pt idx="432">
                  <c:v>9de4643a8dbde634fe55621059d92273</c:v>
                </c:pt>
                <c:pt idx="433">
                  <c:v>9e6229250fedbe05838fef417b74e7fb</c:v>
                </c:pt>
                <c:pt idx="434">
                  <c:v>9f505651f4a6abe901a56cdc21508025</c:v>
                </c:pt>
                <c:pt idx="435">
                  <c:v>a1043bafd471dff536d0c462352beb48</c:v>
                </c:pt>
                <c:pt idx="436">
                  <c:v>a17f621c590ea0fab3d5d883e1630ec6</c:v>
                </c:pt>
                <c:pt idx="437">
                  <c:v>a2deecd5398f5df4987110c80a1972a3</c:v>
                </c:pt>
                <c:pt idx="438">
                  <c:v>a2e874074c877c5a05abae80ad6e488f</c:v>
                </c:pt>
                <c:pt idx="439">
                  <c:v>a35124e2d763d7ca3fbe3b97d143200f</c:v>
                </c:pt>
                <c:pt idx="440">
                  <c:v>a369d693961cb93b61ca2cc518872a85</c:v>
                </c:pt>
                <c:pt idx="441">
                  <c:v>a3a38f4affed601eb87a97788c949667</c:v>
                </c:pt>
                <c:pt idx="442">
                  <c:v>a3b0df0065e264a91b7bbf5f844af5cd</c:v>
                </c:pt>
                <c:pt idx="443">
                  <c:v>a3e9a2c700480d9bb01fba070ba80a0e</c:v>
                </c:pt>
                <c:pt idx="444">
                  <c:v>a416b6a846a11724393025641d4edd5e</c:v>
                </c:pt>
                <c:pt idx="445">
                  <c:v>a420f60ff1aa9acc80d0e42959f2b313</c:v>
                </c:pt>
                <c:pt idx="446">
                  <c:v>a49928bcdf77c55c6d6e05e09a9b4ca5</c:v>
                </c:pt>
                <c:pt idx="447">
                  <c:v>a4b6b9b992b46e9ef863637af96e04bc</c:v>
                </c:pt>
                <c:pt idx="448">
                  <c:v>a5259c149128e82c9d6d46e0c1c812bb</c:v>
                </c:pt>
                <c:pt idx="449">
                  <c:v>a5cba26a62b8b4d0145b68b841e62e7f</c:v>
                </c:pt>
                <c:pt idx="450">
                  <c:v>a673821011d0cec28146ea42f5ab767f</c:v>
                </c:pt>
                <c:pt idx="451">
                  <c:v>a6fe7de3d16f6149ffe280349a8535a0</c:v>
                </c:pt>
                <c:pt idx="452">
                  <c:v>a72c2f59332659e361d647515c698798</c:v>
                </c:pt>
                <c:pt idx="453">
                  <c:v>a7f13822ceb966b076af67121f87b063</c:v>
                </c:pt>
                <c:pt idx="454">
                  <c:v>a888faf2d1baececa6baf9c3d603ee1f</c:v>
                </c:pt>
                <c:pt idx="455">
                  <c:v>aa762680c40618316a896838866140ea</c:v>
                </c:pt>
                <c:pt idx="456">
                  <c:v>aac29b1b99776be73c3049939652091d</c:v>
                </c:pt>
                <c:pt idx="457">
                  <c:v>aaed1309374718fdd995ee4c58c9dfcd</c:v>
                </c:pt>
                <c:pt idx="458">
                  <c:v>aafe36600ce604f205b86b5084d3d767</c:v>
                </c:pt>
                <c:pt idx="459">
                  <c:v>aba1721a889e04decc910aa13b768ef4</c:v>
                </c:pt>
                <c:pt idx="460">
                  <c:v>abbf6046bbdf1028606a5bc7f00c99e7</c:v>
                </c:pt>
                <c:pt idx="461">
                  <c:v>abcd2cb37d46c2c8fb1bf071c859fc5b</c:v>
                </c:pt>
                <c:pt idx="462">
                  <c:v>ac3508719a1d8f5b7614b798f70af136</c:v>
                </c:pt>
                <c:pt idx="463">
                  <c:v>acadd4d36859671cb635527c6c977533</c:v>
                </c:pt>
                <c:pt idx="464">
                  <c:v>acb6c2ca5c82411c1fdb88d5fd5eb95e</c:v>
                </c:pt>
                <c:pt idx="465">
                  <c:v>acce39e832338debb07b02385cde5967</c:v>
                </c:pt>
                <c:pt idx="466">
                  <c:v>ad273c9eb54ecb4532de4bf75bae9e4e</c:v>
                </c:pt>
                <c:pt idx="467">
                  <c:v>ad420dd0c4f92f8af951ac24b86d0cf5</c:v>
                </c:pt>
                <c:pt idx="468">
                  <c:v>adbc26658d6c7b4b6219f9d934598091</c:v>
                </c:pt>
                <c:pt idx="469">
                  <c:v>af7cdac9d9897cddead9c6b08976c642</c:v>
                </c:pt>
                <c:pt idx="470">
                  <c:v>afa6714acee029b2dfdf357e5579cc03</c:v>
                </c:pt>
                <c:pt idx="471">
                  <c:v>b01c2b7b8599b325103ebcddc67413e1</c:v>
                </c:pt>
                <c:pt idx="472">
                  <c:v>b1204cfda1d4948679db3cfc0d3cb95c</c:v>
                </c:pt>
                <c:pt idx="473">
                  <c:v>b16d3dadc47d4eb18be3d88bad0775ce</c:v>
                </c:pt>
                <c:pt idx="474">
                  <c:v>b17b679f4f5ce2e03ce6968c62648246</c:v>
                </c:pt>
                <c:pt idx="475">
                  <c:v>b1a81260566c1bac3114a6d124413f27</c:v>
                </c:pt>
                <c:pt idx="476">
                  <c:v>b1b3948701c5c72445495bd161b83a4c</c:v>
                </c:pt>
                <c:pt idx="477">
                  <c:v>b1fc4f64df5a0e8b6913ab38803c57a9</c:v>
                </c:pt>
                <c:pt idx="478">
                  <c:v>b2479f944e1b90cf8a5de1bbfde284d6</c:v>
                </c:pt>
                <c:pt idx="479">
                  <c:v>b2a6d334e2833acea353624840e25a0e</c:v>
                </c:pt>
                <c:pt idx="480">
                  <c:v>b2ac621f0d0322434d04a12b078b9369</c:v>
                </c:pt>
                <c:pt idx="481">
                  <c:v>b2ba3715d723d245138f291a6fe42594</c:v>
                </c:pt>
                <c:pt idx="482">
                  <c:v>b32be1695eb7ec5f10f72d9610a12527</c:v>
                </c:pt>
                <c:pt idx="483">
                  <c:v>b33e7c55446eabf8fe1a42d037ac7d6d</c:v>
                </c:pt>
                <c:pt idx="484">
                  <c:v>b372ee768ed69e46ca8cdbd267aa7a38</c:v>
                </c:pt>
                <c:pt idx="485">
                  <c:v>b37c4c02bda3161a7546a4e6d222d5b2</c:v>
                </c:pt>
                <c:pt idx="486">
                  <c:v>b410bdd36d5db7a65dcd42b7ead933b8</c:v>
                </c:pt>
                <c:pt idx="487">
                  <c:v>b494891378bd8f4560abe576c52deacd</c:v>
                </c:pt>
                <c:pt idx="488">
                  <c:v>b499c00f28f4b7069ff6550af8c1348a</c:v>
                </c:pt>
                <c:pt idx="489">
                  <c:v>b4f8921fcc4ff77b66bea6dda43dcd51</c:v>
                </c:pt>
                <c:pt idx="490">
                  <c:v>b4ffb71f0cb1b1c3d63fad021ecf93e1</c:v>
                </c:pt>
                <c:pt idx="491">
                  <c:v>b561927807645834b59ef0d16ba55a24</c:v>
                </c:pt>
                <c:pt idx="492">
                  <c:v>b56906f7fd1696e043f1bcce164c487b</c:v>
                </c:pt>
                <c:pt idx="493">
                  <c:v>b64d51f0435e884e8de603b1655155ae</c:v>
                </c:pt>
                <c:pt idx="494">
                  <c:v>b6d44737c043328708f6749c2dbe50bd</c:v>
                </c:pt>
                <c:pt idx="495">
                  <c:v>b74d1c09cb380e1d03a6f859c6f4224b</c:v>
                </c:pt>
                <c:pt idx="496">
                  <c:v>b76dba6c951ab00dc4edf0a1aa88037e</c:v>
                </c:pt>
                <c:pt idx="497">
                  <c:v>b839e41795b7f3ad94cc2014a52f6796</c:v>
                </c:pt>
                <c:pt idx="498">
                  <c:v>b83cedfb587e7911540e3f576d6917ce</c:v>
                </c:pt>
                <c:pt idx="499">
                  <c:v>b8578d2d823bd8e251f6fdd02b40902d</c:v>
                </c:pt>
                <c:pt idx="500">
                  <c:v>b92e3c8f9738272ff7c59e111e108d7c</c:v>
                </c:pt>
                <c:pt idx="501">
                  <c:v>ba143b05f0110f0dc71ad71b4466ce92</c:v>
                </c:pt>
                <c:pt idx="502">
                  <c:v>ba90964cff9b9e0e6f32b23b82465f7b</c:v>
                </c:pt>
                <c:pt idx="503">
                  <c:v>bacb1f0ed56ad24198f5810d2b3fe9a5</c:v>
                </c:pt>
                <c:pt idx="504">
                  <c:v>bba3293d6f5d5af2f415e004e8b93ae3</c:v>
                </c:pt>
                <c:pt idx="505">
                  <c:v>bba74270a87732727b5a3b4fd9ac1c39</c:v>
                </c:pt>
                <c:pt idx="506">
                  <c:v>bc47d5d1490df2b36add65d733eafaba</c:v>
                </c:pt>
                <c:pt idx="507">
                  <c:v>bce6a5ecf98e99fd2a8868b15c51f04b</c:v>
                </c:pt>
                <c:pt idx="508">
                  <c:v>bd0389da23d89b726abf911cccc54596</c:v>
                </c:pt>
                <c:pt idx="509">
                  <c:v>bd23da7354813347129d751591d1a6e2</c:v>
                </c:pt>
                <c:pt idx="510">
                  <c:v>bd4889b5e9133b35b66e42a8665cea5c</c:v>
                </c:pt>
                <c:pt idx="511">
                  <c:v>bf0d50a6410d487dc97d2baac0a8c0be</c:v>
                </c:pt>
                <c:pt idx="512">
                  <c:v>bf84056e679dbe9c69929847a40e338f</c:v>
                </c:pt>
                <c:pt idx="513">
                  <c:v>bfd27a966d91cfaafdb25d076585f0da</c:v>
                </c:pt>
                <c:pt idx="514">
                  <c:v>c003204e1ab016dfa150abc119207b24</c:v>
                </c:pt>
                <c:pt idx="515">
                  <c:v>c03121937e54a93fcc1825c3098bbb6e</c:v>
                </c:pt>
                <c:pt idx="516">
                  <c:v>c092292535a57dacd95a8765f5518f87</c:v>
                </c:pt>
                <c:pt idx="517">
                  <c:v>c157bdeedcbc9a8e3c8bf0d87ff24428</c:v>
                </c:pt>
                <c:pt idx="518">
                  <c:v>c1ed9e3daf6154542826a6996af0fb8c</c:v>
                </c:pt>
                <c:pt idx="519">
                  <c:v>c31eff8334d6b3047ed34bebd4d62c36</c:v>
                </c:pt>
                <c:pt idx="520">
                  <c:v>c3867b4666c7d76867627c2f7fb22e21</c:v>
                </c:pt>
                <c:pt idx="521">
                  <c:v>c3aad7dc65449ae90a5e9c3c6c1e78e0</c:v>
                </c:pt>
                <c:pt idx="522">
                  <c:v>c3cfdc648177fdbbbb35635a37472c53</c:v>
                </c:pt>
                <c:pt idx="523">
                  <c:v>c4d51195486dc781531876a7d00453d8</c:v>
                </c:pt>
                <c:pt idx="524">
                  <c:v>c4f7fee5b0db50e87766f5a4d1b1b758</c:v>
                </c:pt>
                <c:pt idx="525">
                  <c:v>c4fb51fb1c5b7c07bc5e67be6e7e8f6e</c:v>
                </c:pt>
                <c:pt idx="526">
                  <c:v>c54679b132454625907c773d273d4126</c:v>
                </c:pt>
                <c:pt idx="527">
                  <c:v>c68fb906c8f4b4b946d8386bfa6e5467</c:v>
                </c:pt>
                <c:pt idx="528">
                  <c:v>c6bda72e4dbf5c5866b13cb1810c6d03</c:v>
                </c:pt>
                <c:pt idx="529">
                  <c:v>c70c1b0d8ca86052f45a432a38b73958</c:v>
                </c:pt>
                <c:pt idx="530">
                  <c:v>c7dcd301ecfe5ab7f778ac172cf74be7</c:v>
                </c:pt>
                <c:pt idx="531">
                  <c:v>c826c40d7b19f62a09e2d7c5e7295ee2</c:v>
                </c:pt>
                <c:pt idx="532">
                  <c:v>c864036feaab8c1659f65ea4faebe1da</c:v>
                </c:pt>
                <c:pt idx="533">
                  <c:v>c8b3445d737de6befde0c88ede534a5e</c:v>
                </c:pt>
                <c:pt idx="534">
                  <c:v>c9c7905cffc4ef9ff9f113554423e671</c:v>
                </c:pt>
                <c:pt idx="535">
                  <c:v>ca3bd7cd9f149df75950150d010fe4a2</c:v>
                </c:pt>
                <c:pt idx="536">
                  <c:v>cab85505710c7cb9b720bceb52b01cee</c:v>
                </c:pt>
                <c:pt idx="537">
                  <c:v>cac4c8e7b1ca6252d8f20b2fc1a2e4af</c:v>
                </c:pt>
                <c:pt idx="538">
                  <c:v>cac876b37d3abcd6bd76caca30277996</c:v>
                </c:pt>
                <c:pt idx="539">
                  <c:v>cb3dd9ce66268c7a3ca7241ac70ab58c</c:v>
                </c:pt>
                <c:pt idx="540">
                  <c:v>cbf09e831b0c11f6f23ffb51004db972</c:v>
                </c:pt>
                <c:pt idx="541">
                  <c:v>cc419e0650a3c5ba77189a1882b7556a</c:v>
                </c:pt>
                <c:pt idx="542">
                  <c:v>cca3071e3e9bb7d12640c9fbe2301306</c:v>
                </c:pt>
                <c:pt idx="543">
                  <c:v>ccc4bbb5f32a6ab2b7066a4130f114e3</c:v>
                </c:pt>
                <c:pt idx="544">
                  <c:v>cce6ab8d1682639fe45ab70234f1665f</c:v>
                </c:pt>
                <c:pt idx="545">
                  <c:v>cd06602b43d8800bd0afad514919d35c</c:v>
                </c:pt>
                <c:pt idx="546">
                  <c:v>cd68562d3f44870c08922d380acae552</c:v>
                </c:pt>
                <c:pt idx="547">
                  <c:v>cd6efc47efaabf134f8bdb654e10b4f1</c:v>
                </c:pt>
                <c:pt idx="548">
                  <c:v>ce248b21cb2adc36282ede306b7660e5</c:v>
                </c:pt>
                <c:pt idx="549">
                  <c:v>ce3ad9de960102d0677a81f5d0bb7b2d</c:v>
                </c:pt>
                <c:pt idx="550">
                  <c:v>ce7d1888639e6fb06b2749cbfdac1ff7</c:v>
                </c:pt>
                <c:pt idx="551">
                  <c:v>cea729054f157f5870bdd321a958d994</c:v>
                </c:pt>
                <c:pt idx="552">
                  <c:v>ceaec5548eefc6e23e6607c5435102e7</c:v>
                </c:pt>
                <c:pt idx="553">
                  <c:v>cfb1a033743668a192316f3c6d1d2671</c:v>
                </c:pt>
                <c:pt idx="554">
                  <c:v>cfe94489ddd337d1e29e12f2a7205d10</c:v>
                </c:pt>
                <c:pt idx="555">
                  <c:v>d03698c2efd04a549382afa6623e27fb</c:v>
                </c:pt>
                <c:pt idx="556">
                  <c:v>d05ae8f7a5bd1d2a690a44cd079e4e27</c:v>
                </c:pt>
                <c:pt idx="557">
                  <c:v>d101c6da914ae3d53f7bee42283f2fe2</c:v>
                </c:pt>
                <c:pt idx="558">
                  <c:v>d1582f4043306e6b91afa6a8a884f898</c:v>
                </c:pt>
                <c:pt idx="559">
                  <c:v>d17f467e4bf608a510c20d82f4ba3b6b</c:v>
                </c:pt>
                <c:pt idx="560">
                  <c:v>d1b65fc7debc3361ea86b5f14c68d2e2</c:v>
                </c:pt>
                <c:pt idx="561">
                  <c:v>d1c281d3ae149232351cd8c8cc885f0d</c:v>
                </c:pt>
                <c:pt idx="562">
                  <c:v>d20b021d3efdf267a402c402a48ea64b</c:v>
                </c:pt>
                <c:pt idx="563">
                  <c:v>d23019c84ffae2d5ef2270367b8605fc</c:v>
                </c:pt>
                <c:pt idx="564">
                  <c:v>d2374cbcbb3ca4ab1086534108cc3ab7</c:v>
                </c:pt>
                <c:pt idx="565">
                  <c:v>d25aa0aaacb370e912f8cf6efeba38b3</c:v>
                </c:pt>
                <c:pt idx="566">
                  <c:v>d3674f271c91f824f82d24d92011f669</c:v>
                </c:pt>
                <c:pt idx="567">
                  <c:v>d3dcf0604eabf0224fbd5948b5e02f69</c:v>
                </c:pt>
                <c:pt idx="568">
                  <c:v>d4e12e7884759a14fa0f5f896c791cae</c:v>
                </c:pt>
                <c:pt idx="569">
                  <c:v>d4e4b5192cba4e0e66eb12a9d347239d</c:v>
                </c:pt>
                <c:pt idx="570">
                  <c:v>d50d79cb34e38265a8649c383dcffd48</c:v>
                </c:pt>
                <c:pt idx="571">
                  <c:v>d566c37fa119d5e66c4e9052e83ee4ea</c:v>
                </c:pt>
                <c:pt idx="572">
                  <c:v>d57e18d5f73c7ccb7f7339b61166898d</c:v>
                </c:pt>
                <c:pt idx="573">
                  <c:v>d5ba419e26d246a0719437cf37d9b46d</c:v>
                </c:pt>
                <c:pt idx="574">
                  <c:v>d624126b9206f595fb3fbb6ba03b28a8</c:v>
                </c:pt>
                <c:pt idx="575">
                  <c:v>d66c305afaec317ebee552073a674429</c:v>
                </c:pt>
                <c:pt idx="576">
                  <c:v>d71d863e5ef30d94e440c11be17dcd8f</c:v>
                </c:pt>
                <c:pt idx="577">
                  <c:v>d91fb3b7d041e83b64a00a3edfb37e4f</c:v>
                </c:pt>
                <c:pt idx="578">
                  <c:v>d921b68bf747894be13a97ae52b0f386</c:v>
                </c:pt>
                <c:pt idx="579">
                  <c:v>d94a40fd42351c259927028d163af842</c:v>
                </c:pt>
                <c:pt idx="580">
                  <c:v>d98eec89afa3380e14463da2aabaea72</c:v>
                </c:pt>
                <c:pt idx="581">
                  <c:v>da7039f29f90ce5b4846ffc0fcc93beb</c:v>
                </c:pt>
                <c:pt idx="582">
                  <c:v>da8622b14eb17ae2831f4ac5b9dab84a</c:v>
                </c:pt>
                <c:pt idx="583">
                  <c:v>daeb5653dd96c1b11860f72209795012</c:v>
                </c:pt>
                <c:pt idx="584">
                  <c:v>db2956745b3a8e9f3785c99f34b5d25e</c:v>
                </c:pt>
                <c:pt idx="585">
                  <c:v>db4350fd57ae30082dec7acbaacc17f9</c:v>
                </c:pt>
                <c:pt idx="586">
                  <c:v>dbb9b48c841a0e39e21f98e1a6b2ec3e</c:v>
                </c:pt>
                <c:pt idx="587">
                  <c:v>dbc22125167c298ef99da25668e1011f</c:v>
                </c:pt>
                <c:pt idx="588">
                  <c:v>dbd66278cbfe1aa1000f90a217ca4695</c:v>
                </c:pt>
                <c:pt idx="589">
                  <c:v>dc64d75cc406bb0697be983831430e60</c:v>
                </c:pt>
                <c:pt idx="590">
                  <c:v>dd2bdf855a9172734fbc3744021ae9b9</c:v>
                </c:pt>
                <c:pt idx="591">
                  <c:v>dd533b429f380718b70ad9922c294bae</c:v>
                </c:pt>
                <c:pt idx="592">
                  <c:v>dd7ddc04e1b6c2c614352b383efe2d36</c:v>
                </c:pt>
                <c:pt idx="593">
                  <c:v>de23c3b98a88888289c6f5cc1209054a</c:v>
                </c:pt>
                <c:pt idx="594">
                  <c:v>de722cd6dad950a92b7d4f82673f8833</c:v>
                </c:pt>
                <c:pt idx="595">
                  <c:v>dee656f0f566ed1aa85bd137c943f08f</c:v>
                </c:pt>
                <c:pt idx="596">
                  <c:v>df560393f3a51e74553ab94004ba5c87</c:v>
                </c:pt>
                <c:pt idx="597">
                  <c:v>e067ad2c1c0b48758eb1b5228bcf7a68</c:v>
                </c:pt>
                <c:pt idx="598">
                  <c:v>e06f09ec0a4aca210779cf1cfc63cf19</c:v>
                </c:pt>
                <c:pt idx="599">
                  <c:v>e0a366315b1b726b6c7832d664c0f530</c:v>
                </c:pt>
                <c:pt idx="600">
                  <c:v>e0eabded302882513ced4ea3eb0c7059</c:v>
                </c:pt>
                <c:pt idx="601">
                  <c:v>e24d3429d294b2eb200b064ebb035879</c:v>
                </c:pt>
                <c:pt idx="602">
                  <c:v>e24fc9fcd865784fb25705606fe3dfe7</c:v>
                </c:pt>
                <c:pt idx="603">
                  <c:v>e26901d5ab434ce92fd9b5c256820a4e</c:v>
                </c:pt>
                <c:pt idx="604">
                  <c:v>e2aee0892199b1d92530e371abd825bf</c:v>
                </c:pt>
                <c:pt idx="605">
                  <c:v>e2c92f9c1c7746d899d18f2e158bbff7</c:v>
                </c:pt>
                <c:pt idx="606">
                  <c:v>e333046ce6517bd8bb510291d44f0130</c:v>
                </c:pt>
                <c:pt idx="607">
                  <c:v>e38db885400cd35c71dfd162f2c1dbcf</c:v>
                </c:pt>
                <c:pt idx="608">
                  <c:v>e439f7176d763f92de325271111b2fd5</c:v>
                </c:pt>
                <c:pt idx="609">
                  <c:v>e48b04bf1aa1ef711caebeb7aede6180</c:v>
                </c:pt>
                <c:pt idx="610">
                  <c:v>e48cc16ab70bfa09e1401740dce0b3d7</c:v>
                </c:pt>
                <c:pt idx="611">
                  <c:v>e49c26c3edfa46d227d5121a6b6e4d37</c:v>
                </c:pt>
                <c:pt idx="612">
                  <c:v>e59aa562b9f8076dd550fcddf0e73491</c:v>
                </c:pt>
                <c:pt idx="613">
                  <c:v>e5a3438891c0bfdb9394643f95273d8e</c:v>
                </c:pt>
                <c:pt idx="614">
                  <c:v>e5a38146df062edaf55c38afa99e42dc</c:v>
                </c:pt>
                <c:pt idx="615">
                  <c:v>e62b2d6ac10570a035a30bafcf01d263</c:v>
                </c:pt>
                <c:pt idx="616">
                  <c:v>e882b2a25a10b9c057cc49695f222c19</c:v>
                </c:pt>
                <c:pt idx="617">
                  <c:v>e883aa812c37a7413226856f4579fe91</c:v>
                </c:pt>
                <c:pt idx="618">
                  <c:v>e88c9b79e592e370d6bd852eeefbf057</c:v>
                </c:pt>
                <c:pt idx="619">
                  <c:v>e8b4225284fbb02d16f200513f1f395d</c:v>
                </c:pt>
                <c:pt idx="620">
                  <c:v>e9779976487b77c6d4ac45f75ec7afe9</c:v>
                </c:pt>
                <c:pt idx="621">
                  <c:v>e9bc59e7b60fc3063eb2290deda4cced</c:v>
                </c:pt>
                <c:pt idx="622">
                  <c:v>e9c6969d40e6a3d2d0f90013165c2b98</c:v>
                </c:pt>
                <c:pt idx="623">
                  <c:v>e9d99831abad74458942f21e16f33f92</c:v>
                </c:pt>
                <c:pt idx="624">
                  <c:v>ea00f977a203ff88adf7057cb7806998</c:v>
                </c:pt>
                <c:pt idx="625">
                  <c:v>ea566164622c6b439516ab18062c42cd</c:v>
                </c:pt>
                <c:pt idx="626">
                  <c:v>ea67327e24487bdfac5fbfa37ea124df</c:v>
                </c:pt>
                <c:pt idx="627">
                  <c:v>ea8482cd71df3c1969d7b9473ff13abc</c:v>
                </c:pt>
                <c:pt idx="628">
                  <c:v>ebd2d60905fb58271facef5596b620d3</c:v>
                </c:pt>
                <c:pt idx="629">
                  <c:v>ececbfcff9804a2d6b40f589df8eef2b</c:v>
                </c:pt>
                <c:pt idx="630">
                  <c:v>ed4acab38528488b65a9a9c603ff024a</c:v>
                </c:pt>
                <c:pt idx="631">
                  <c:v>edb1ef5e36e0c8cd84eb3c9b003e486d</c:v>
                </c:pt>
                <c:pt idx="632">
                  <c:v>eddd1991bd6d9309995a480c39b95137</c:v>
                </c:pt>
                <c:pt idx="633">
                  <c:v>edf96ef93ed595084bbcbd9224bd2894</c:v>
                </c:pt>
                <c:pt idx="634">
                  <c:v>eeb6de78f79159600292e314a77cbd18</c:v>
                </c:pt>
                <c:pt idx="635">
                  <c:v>eebb3372362aa9a46975164bed19a7e7</c:v>
                </c:pt>
                <c:pt idx="636">
                  <c:v>eed78ac17f7f795a19a709745f00cd4e</c:v>
                </c:pt>
                <c:pt idx="637">
                  <c:v>ef0ace09169ac090589d85746e3e036f</c:v>
                </c:pt>
                <c:pt idx="638">
                  <c:v>ef30892870c278497523264be1be2241</c:v>
                </c:pt>
                <c:pt idx="639">
                  <c:v>ef506c96320abeedfb894c34db06f478</c:v>
                </c:pt>
                <c:pt idx="640">
                  <c:v>ef990a83bbea832f36ebe81376335aa8</c:v>
                </c:pt>
                <c:pt idx="641">
                  <c:v>efcd8d2104f1a05d028af7bad20d974b</c:v>
                </c:pt>
                <c:pt idx="642">
                  <c:v>f00e21b1e91a79653163b7fd8f293ff1</c:v>
                </c:pt>
                <c:pt idx="643">
                  <c:v>f0b47fbbc6dee9aafe415a6e33051b3f</c:v>
                </c:pt>
                <c:pt idx="644">
                  <c:v>f12ff17ad8bbf01ec5c33b17e506649b</c:v>
                </c:pt>
                <c:pt idx="645">
                  <c:v>f181738b150df1f37cb0bd72e705b193</c:v>
                </c:pt>
                <c:pt idx="646">
                  <c:v>f214d28e8d8e3ef068748498ccc2f813</c:v>
                </c:pt>
                <c:pt idx="647">
                  <c:v>f22a247b79dd22ecd91dc8e3b2a1b07c</c:v>
                </c:pt>
                <c:pt idx="648">
                  <c:v>f262cbc1c910c83959f849465454ddd3</c:v>
                </c:pt>
                <c:pt idx="649">
                  <c:v>f3295428338a40977a03f555246a70f4</c:v>
                </c:pt>
                <c:pt idx="650">
                  <c:v>f45122a9ab94eb4f3f8953578bc0c560</c:v>
                </c:pt>
                <c:pt idx="651">
                  <c:v>f457c46070d02cadd8a68551231220dd</c:v>
                </c:pt>
                <c:pt idx="652">
                  <c:v>f46490624488d3ff7ce78613913a7711</c:v>
                </c:pt>
                <c:pt idx="653">
                  <c:v>f4a04f7be452aa3bb31760bf00055dd0</c:v>
                </c:pt>
                <c:pt idx="654">
                  <c:v>f4aba7c0bca51484c30ab7bdc34bcdd1</c:v>
                </c:pt>
                <c:pt idx="655">
                  <c:v>f4c4daa86e30c7e5a553a8d518ac03a5</c:v>
                </c:pt>
                <c:pt idx="656">
                  <c:v>f5a590cf36251cf1162ea35bef76fe84</c:v>
                </c:pt>
                <c:pt idx="657">
                  <c:v>f615fe7efbef0f4f08fd3086bc7a3e60</c:v>
                </c:pt>
                <c:pt idx="658">
                  <c:v>f61c63d13f7cd800549d5acdd390ae72</c:v>
                </c:pt>
                <c:pt idx="659">
                  <c:v>f67efa3f0b6761102a7f8c6b7b571f5d</c:v>
                </c:pt>
                <c:pt idx="660">
                  <c:v>f7ba60f8c3f99e7ee4042fdef03b70c4</c:v>
                </c:pt>
                <c:pt idx="661">
                  <c:v>f7ccf836d21b2fb1de37564105216cc1</c:v>
                </c:pt>
                <c:pt idx="662">
                  <c:v>f80edd2c5aaa505cc4b0a3b219abf4b8</c:v>
                </c:pt>
                <c:pt idx="663">
                  <c:v>f8201cab383e484733266d1906e2fdfa</c:v>
                </c:pt>
                <c:pt idx="664">
                  <c:v>f84a00e60c73a49e7e851c9bdca3a5bb</c:v>
                </c:pt>
                <c:pt idx="665">
                  <c:v>f84fa566034f5e8e880a07ec624c56af</c:v>
                </c:pt>
                <c:pt idx="666">
                  <c:v>f8db351d8c4c4c22c6835c19a46f01b0</c:v>
                </c:pt>
                <c:pt idx="667">
                  <c:v>fa1c13f2614d7b5c4749cbc52fecda94</c:v>
                </c:pt>
                <c:pt idx="668">
                  <c:v>fa40cc5b934574b62717c68f3d678b6d</c:v>
                </c:pt>
                <c:pt idx="669">
                  <c:v>fad44952713764836814be105382aee5</c:v>
                </c:pt>
                <c:pt idx="670">
                  <c:v>fc906263ca5083d09dce42fe02247800</c:v>
                </c:pt>
                <c:pt idx="671">
                  <c:v>fcb5ace8bcc92f75707dc0f01a27d269</c:v>
                </c:pt>
                <c:pt idx="672">
                  <c:v>fd386aa7bed2af3c7035c65506c9b4a3</c:v>
                </c:pt>
                <c:pt idx="673">
                  <c:v>fdb9095204a334cd8872252ffec6f2db</c:v>
                </c:pt>
                <c:pt idx="674">
                  <c:v>fde0cc9ea29c8ccfc0a2c22256a58c71</c:v>
                </c:pt>
                <c:pt idx="675">
                  <c:v>fe2032dab1a61af8794248c8196565c9</c:v>
                </c:pt>
                <c:pt idx="676">
                  <c:v>febab0275244b9a49a623f0bd613ca2f</c:v>
                </c:pt>
                <c:pt idx="677">
                  <c:v>ff063b022a9a0aab91bad2c9088760b7</c:v>
                </c:pt>
                <c:pt idx="678">
                  <c:v>ff1e15b778c700abdd4d239b81ac466d</c:v>
                </c:pt>
                <c:pt idx="679">
                  <c:v>ffad1e7127fb622cb64a900751590acd</c:v>
                </c:pt>
                <c:pt idx="680">
                  <c:v>ffc470761de7d0232558ba5e786e57b7</c:v>
                </c:pt>
                <c:pt idx="681">
                  <c:v>ffff564a4f9085cd26170f4732393726</c:v>
                </c:pt>
                <c:pt idx="682">
                  <c:v>(blank)</c:v>
                </c:pt>
              </c:strCache>
            </c:strRef>
          </c:cat>
          <c:val>
            <c:numRef>
              <c:f>Sheet3!$B$4:$B$687</c:f>
              <c:numCache>
                <c:formatCode>General</c:formatCode>
                <c:ptCount val="683"/>
                <c:pt idx="0">
                  <c:v>107.7</c:v>
                </c:pt>
                <c:pt idx="1">
                  <c:v>19.899999999999999</c:v>
                </c:pt>
                <c:pt idx="2">
                  <c:v>115</c:v>
                </c:pt>
                <c:pt idx="3">
                  <c:v>78</c:v>
                </c:pt>
                <c:pt idx="4">
                  <c:v>70</c:v>
                </c:pt>
                <c:pt idx="5">
                  <c:v>93</c:v>
                </c:pt>
                <c:pt idx="6">
                  <c:v>217.26499999999999</c:v>
                </c:pt>
                <c:pt idx="7">
                  <c:v>104.99</c:v>
                </c:pt>
                <c:pt idx="8">
                  <c:v>156.26666666666668</c:v>
                </c:pt>
                <c:pt idx="9">
                  <c:v>89.9</c:v>
                </c:pt>
                <c:pt idx="10">
                  <c:v>98</c:v>
                </c:pt>
                <c:pt idx="11">
                  <c:v>104.9</c:v>
                </c:pt>
                <c:pt idx="12">
                  <c:v>58.06666666666667</c:v>
                </c:pt>
                <c:pt idx="13">
                  <c:v>142</c:v>
                </c:pt>
                <c:pt idx="14">
                  <c:v>148.5</c:v>
                </c:pt>
                <c:pt idx="15">
                  <c:v>94.5</c:v>
                </c:pt>
                <c:pt idx="16">
                  <c:v>41.9</c:v>
                </c:pt>
                <c:pt idx="17">
                  <c:v>1820</c:v>
                </c:pt>
                <c:pt idx="18">
                  <c:v>69.233333333333334</c:v>
                </c:pt>
                <c:pt idx="19">
                  <c:v>14</c:v>
                </c:pt>
                <c:pt idx="20">
                  <c:v>25.79</c:v>
                </c:pt>
                <c:pt idx="21">
                  <c:v>88.39</c:v>
                </c:pt>
                <c:pt idx="22">
                  <c:v>173.29666666666665</c:v>
                </c:pt>
                <c:pt idx="23">
                  <c:v>109.94499999999999</c:v>
                </c:pt>
                <c:pt idx="24">
                  <c:v>23.4725</c:v>
                </c:pt>
                <c:pt idx="25">
                  <c:v>179.49</c:v>
                </c:pt>
                <c:pt idx="26">
                  <c:v>7.9</c:v>
                </c:pt>
                <c:pt idx="27">
                  <c:v>104</c:v>
                </c:pt>
                <c:pt idx="28">
                  <c:v>25.99</c:v>
                </c:pt>
                <c:pt idx="29">
                  <c:v>25.778571428571432</c:v>
                </c:pt>
                <c:pt idx="30">
                  <c:v>109.9</c:v>
                </c:pt>
                <c:pt idx="31">
                  <c:v>90.323999999999998</c:v>
                </c:pt>
                <c:pt idx="32">
                  <c:v>42.44</c:v>
                </c:pt>
                <c:pt idx="33">
                  <c:v>37.9</c:v>
                </c:pt>
                <c:pt idx="34">
                  <c:v>59.9</c:v>
                </c:pt>
                <c:pt idx="35">
                  <c:v>51.6</c:v>
                </c:pt>
                <c:pt idx="36">
                  <c:v>65.95</c:v>
                </c:pt>
                <c:pt idx="37">
                  <c:v>29.95</c:v>
                </c:pt>
                <c:pt idx="38">
                  <c:v>88.9</c:v>
                </c:pt>
                <c:pt idx="39">
                  <c:v>46.2</c:v>
                </c:pt>
                <c:pt idx="40">
                  <c:v>106</c:v>
                </c:pt>
                <c:pt idx="41">
                  <c:v>106.58999999999999</c:v>
                </c:pt>
                <c:pt idx="42">
                  <c:v>44.900000000000006</c:v>
                </c:pt>
                <c:pt idx="43">
                  <c:v>146.9</c:v>
                </c:pt>
                <c:pt idx="44">
                  <c:v>89.15</c:v>
                </c:pt>
                <c:pt idx="45">
                  <c:v>65</c:v>
                </c:pt>
                <c:pt idx="46">
                  <c:v>94.740731707317096</c:v>
                </c:pt>
                <c:pt idx="47">
                  <c:v>57.793333333333329</c:v>
                </c:pt>
                <c:pt idx="48">
                  <c:v>14</c:v>
                </c:pt>
                <c:pt idx="49">
                  <c:v>60.663333333333334</c:v>
                </c:pt>
                <c:pt idx="50">
                  <c:v>138</c:v>
                </c:pt>
                <c:pt idx="51">
                  <c:v>20.700000000000003</c:v>
                </c:pt>
                <c:pt idx="52">
                  <c:v>182.33333333333334</c:v>
                </c:pt>
                <c:pt idx="53">
                  <c:v>39</c:v>
                </c:pt>
                <c:pt idx="54">
                  <c:v>46.63</c:v>
                </c:pt>
                <c:pt idx="55">
                  <c:v>449</c:v>
                </c:pt>
                <c:pt idx="56">
                  <c:v>35.9</c:v>
                </c:pt>
                <c:pt idx="57">
                  <c:v>159</c:v>
                </c:pt>
                <c:pt idx="58">
                  <c:v>96.35799999999999</c:v>
                </c:pt>
                <c:pt idx="59">
                  <c:v>90</c:v>
                </c:pt>
                <c:pt idx="60">
                  <c:v>38.895714285714284</c:v>
                </c:pt>
                <c:pt idx="61">
                  <c:v>89</c:v>
                </c:pt>
                <c:pt idx="62">
                  <c:v>249</c:v>
                </c:pt>
                <c:pt idx="63">
                  <c:v>329.9</c:v>
                </c:pt>
                <c:pt idx="64">
                  <c:v>197.53555555555559</c:v>
                </c:pt>
                <c:pt idx="65">
                  <c:v>550</c:v>
                </c:pt>
                <c:pt idx="66">
                  <c:v>123.49125000000001</c:v>
                </c:pt>
                <c:pt idx="67">
                  <c:v>34.4</c:v>
                </c:pt>
                <c:pt idx="68">
                  <c:v>73.933333333333337</c:v>
                </c:pt>
                <c:pt idx="69">
                  <c:v>19.45</c:v>
                </c:pt>
                <c:pt idx="70">
                  <c:v>56.656666666666666</c:v>
                </c:pt>
                <c:pt idx="71">
                  <c:v>169.99</c:v>
                </c:pt>
                <c:pt idx="72">
                  <c:v>118.3</c:v>
                </c:pt>
                <c:pt idx="73">
                  <c:v>113.23333333333335</c:v>
                </c:pt>
                <c:pt idx="74">
                  <c:v>314.99</c:v>
                </c:pt>
                <c:pt idx="75">
                  <c:v>71.489999999999995</c:v>
                </c:pt>
                <c:pt idx="76">
                  <c:v>43.9</c:v>
                </c:pt>
                <c:pt idx="77">
                  <c:v>151.44</c:v>
                </c:pt>
                <c:pt idx="78">
                  <c:v>39.683333333333337</c:v>
                </c:pt>
                <c:pt idx="79">
                  <c:v>59</c:v>
                </c:pt>
                <c:pt idx="80">
                  <c:v>103.5275</c:v>
                </c:pt>
                <c:pt idx="81">
                  <c:v>114.66666666666667</c:v>
                </c:pt>
                <c:pt idx="82">
                  <c:v>23.99</c:v>
                </c:pt>
                <c:pt idx="83">
                  <c:v>51.4</c:v>
                </c:pt>
                <c:pt idx="84">
                  <c:v>119.60000000000001</c:v>
                </c:pt>
                <c:pt idx="85">
                  <c:v>17.116249999999997</c:v>
                </c:pt>
                <c:pt idx="86">
                  <c:v>119.4</c:v>
                </c:pt>
                <c:pt idx="87">
                  <c:v>462</c:v>
                </c:pt>
                <c:pt idx="88">
                  <c:v>51.331282051282088</c:v>
                </c:pt>
                <c:pt idx="89">
                  <c:v>172.4</c:v>
                </c:pt>
                <c:pt idx="90">
                  <c:v>21.99</c:v>
                </c:pt>
                <c:pt idx="91">
                  <c:v>53.9</c:v>
                </c:pt>
                <c:pt idx="92">
                  <c:v>59.9</c:v>
                </c:pt>
                <c:pt idx="93">
                  <c:v>27.181000000000004</c:v>
                </c:pt>
                <c:pt idx="94">
                  <c:v>77.900000000000006</c:v>
                </c:pt>
                <c:pt idx="95">
                  <c:v>79</c:v>
                </c:pt>
                <c:pt idx="96">
                  <c:v>112.07142857142857</c:v>
                </c:pt>
                <c:pt idx="97">
                  <c:v>75</c:v>
                </c:pt>
                <c:pt idx="98">
                  <c:v>214</c:v>
                </c:pt>
                <c:pt idx="99">
                  <c:v>258.60000000000002</c:v>
                </c:pt>
                <c:pt idx="100">
                  <c:v>232.75</c:v>
                </c:pt>
                <c:pt idx="101">
                  <c:v>159.9</c:v>
                </c:pt>
                <c:pt idx="102">
                  <c:v>259</c:v>
                </c:pt>
                <c:pt idx="103">
                  <c:v>57.2</c:v>
                </c:pt>
                <c:pt idx="104">
                  <c:v>57.400000000000006</c:v>
                </c:pt>
                <c:pt idx="105">
                  <c:v>189</c:v>
                </c:pt>
                <c:pt idx="106">
                  <c:v>313.20500000000004</c:v>
                </c:pt>
                <c:pt idx="107">
                  <c:v>29.060000000000002</c:v>
                </c:pt>
                <c:pt idx="108">
                  <c:v>35</c:v>
                </c:pt>
                <c:pt idx="109">
                  <c:v>154</c:v>
                </c:pt>
                <c:pt idx="110">
                  <c:v>25</c:v>
                </c:pt>
                <c:pt idx="111">
                  <c:v>39</c:v>
                </c:pt>
                <c:pt idx="112">
                  <c:v>132.19999999999999</c:v>
                </c:pt>
                <c:pt idx="113">
                  <c:v>98.9</c:v>
                </c:pt>
                <c:pt idx="114">
                  <c:v>54.9</c:v>
                </c:pt>
                <c:pt idx="115">
                  <c:v>50</c:v>
                </c:pt>
                <c:pt idx="116">
                  <c:v>32.99</c:v>
                </c:pt>
                <c:pt idx="117">
                  <c:v>56.95</c:v>
                </c:pt>
                <c:pt idx="118">
                  <c:v>77.45</c:v>
                </c:pt>
                <c:pt idx="119">
                  <c:v>48.9</c:v>
                </c:pt>
                <c:pt idx="120">
                  <c:v>366.32</c:v>
                </c:pt>
                <c:pt idx="121">
                  <c:v>37.5</c:v>
                </c:pt>
                <c:pt idx="122">
                  <c:v>62.49</c:v>
                </c:pt>
                <c:pt idx="123">
                  <c:v>220</c:v>
                </c:pt>
                <c:pt idx="124">
                  <c:v>76.333333333333329</c:v>
                </c:pt>
                <c:pt idx="125">
                  <c:v>136.44999999999999</c:v>
                </c:pt>
                <c:pt idx="126">
                  <c:v>14.99</c:v>
                </c:pt>
                <c:pt idx="127">
                  <c:v>64.823333333333338</c:v>
                </c:pt>
                <c:pt idx="128">
                  <c:v>106.95833333333333</c:v>
                </c:pt>
                <c:pt idx="129">
                  <c:v>181.40333333333334</c:v>
                </c:pt>
                <c:pt idx="130">
                  <c:v>63.759999999999991</c:v>
                </c:pt>
                <c:pt idx="131">
                  <c:v>190.9</c:v>
                </c:pt>
                <c:pt idx="132">
                  <c:v>117</c:v>
                </c:pt>
                <c:pt idx="133">
                  <c:v>239.9</c:v>
                </c:pt>
                <c:pt idx="134">
                  <c:v>119.9</c:v>
                </c:pt>
                <c:pt idx="135">
                  <c:v>85</c:v>
                </c:pt>
                <c:pt idx="136">
                  <c:v>179</c:v>
                </c:pt>
                <c:pt idx="137">
                  <c:v>81.933333333333337</c:v>
                </c:pt>
                <c:pt idx="138">
                  <c:v>25.166666666666668</c:v>
                </c:pt>
                <c:pt idx="139">
                  <c:v>195</c:v>
                </c:pt>
                <c:pt idx="140">
                  <c:v>89</c:v>
                </c:pt>
                <c:pt idx="141">
                  <c:v>35.89</c:v>
                </c:pt>
                <c:pt idx="142">
                  <c:v>79.989999999999995</c:v>
                </c:pt>
                <c:pt idx="143">
                  <c:v>124.7</c:v>
                </c:pt>
                <c:pt idx="144">
                  <c:v>185.81</c:v>
                </c:pt>
                <c:pt idx="145">
                  <c:v>57.900000000000006</c:v>
                </c:pt>
                <c:pt idx="146">
                  <c:v>12.88</c:v>
                </c:pt>
                <c:pt idx="147">
                  <c:v>65</c:v>
                </c:pt>
                <c:pt idx="148">
                  <c:v>28.400000000000002</c:v>
                </c:pt>
                <c:pt idx="149">
                  <c:v>54.9</c:v>
                </c:pt>
                <c:pt idx="150">
                  <c:v>196.24250000000001</c:v>
                </c:pt>
                <c:pt idx="151">
                  <c:v>29.9</c:v>
                </c:pt>
                <c:pt idx="152">
                  <c:v>194.9</c:v>
                </c:pt>
                <c:pt idx="153">
                  <c:v>7.79</c:v>
                </c:pt>
                <c:pt idx="154">
                  <c:v>57.028571428571425</c:v>
                </c:pt>
                <c:pt idx="155">
                  <c:v>33.97</c:v>
                </c:pt>
                <c:pt idx="156">
                  <c:v>44.9</c:v>
                </c:pt>
                <c:pt idx="157">
                  <c:v>189.9</c:v>
                </c:pt>
                <c:pt idx="158">
                  <c:v>115</c:v>
                </c:pt>
                <c:pt idx="159">
                  <c:v>52</c:v>
                </c:pt>
                <c:pt idx="160">
                  <c:v>120.65666666666668</c:v>
                </c:pt>
                <c:pt idx="161">
                  <c:v>109.99</c:v>
                </c:pt>
                <c:pt idx="162">
                  <c:v>135.26</c:v>
                </c:pt>
                <c:pt idx="163">
                  <c:v>67</c:v>
                </c:pt>
                <c:pt idx="164">
                  <c:v>345.9</c:v>
                </c:pt>
                <c:pt idx="165">
                  <c:v>15.626666666666667</c:v>
                </c:pt>
                <c:pt idx="166">
                  <c:v>827.99</c:v>
                </c:pt>
                <c:pt idx="167">
                  <c:v>14.99</c:v>
                </c:pt>
                <c:pt idx="168">
                  <c:v>77.242105263157896</c:v>
                </c:pt>
                <c:pt idx="169">
                  <c:v>69.989999999999995</c:v>
                </c:pt>
                <c:pt idx="170">
                  <c:v>96.9</c:v>
                </c:pt>
                <c:pt idx="171">
                  <c:v>64.900000000000006</c:v>
                </c:pt>
                <c:pt idx="172">
                  <c:v>49.9</c:v>
                </c:pt>
                <c:pt idx="173">
                  <c:v>59.9</c:v>
                </c:pt>
                <c:pt idx="174">
                  <c:v>269.89999999999998</c:v>
                </c:pt>
                <c:pt idx="175">
                  <c:v>139</c:v>
                </c:pt>
                <c:pt idx="176">
                  <c:v>239</c:v>
                </c:pt>
                <c:pt idx="177">
                  <c:v>61.56666666666667</c:v>
                </c:pt>
                <c:pt idx="178">
                  <c:v>17.899999999999999</c:v>
                </c:pt>
                <c:pt idx="179">
                  <c:v>37.4</c:v>
                </c:pt>
                <c:pt idx="180">
                  <c:v>319</c:v>
                </c:pt>
                <c:pt idx="181">
                  <c:v>139.9</c:v>
                </c:pt>
                <c:pt idx="182">
                  <c:v>103.56666666666668</c:v>
                </c:pt>
                <c:pt idx="183">
                  <c:v>92.65</c:v>
                </c:pt>
                <c:pt idx="184">
                  <c:v>29</c:v>
                </c:pt>
                <c:pt idx="185">
                  <c:v>398</c:v>
                </c:pt>
                <c:pt idx="186">
                  <c:v>133</c:v>
                </c:pt>
                <c:pt idx="187">
                  <c:v>121.99</c:v>
                </c:pt>
                <c:pt idx="188">
                  <c:v>39.9</c:v>
                </c:pt>
                <c:pt idx="189">
                  <c:v>259.40176470588221</c:v>
                </c:pt>
                <c:pt idx="190">
                  <c:v>22.9</c:v>
                </c:pt>
                <c:pt idx="191">
                  <c:v>71</c:v>
                </c:pt>
                <c:pt idx="192">
                  <c:v>109</c:v>
                </c:pt>
                <c:pt idx="193">
                  <c:v>24.797999999999998</c:v>
                </c:pt>
                <c:pt idx="194">
                  <c:v>76.649999999999991</c:v>
                </c:pt>
                <c:pt idx="195">
                  <c:v>109.9</c:v>
                </c:pt>
                <c:pt idx="196">
                  <c:v>224.67500000000001</c:v>
                </c:pt>
                <c:pt idx="197">
                  <c:v>159</c:v>
                </c:pt>
                <c:pt idx="198">
                  <c:v>67.900000000000006</c:v>
                </c:pt>
                <c:pt idx="199">
                  <c:v>94.580540540540596</c:v>
                </c:pt>
                <c:pt idx="200">
                  <c:v>105.075</c:v>
                </c:pt>
                <c:pt idx="201">
                  <c:v>83.412499999999994</c:v>
                </c:pt>
                <c:pt idx="202">
                  <c:v>152</c:v>
                </c:pt>
                <c:pt idx="203">
                  <c:v>102.25</c:v>
                </c:pt>
                <c:pt idx="204">
                  <c:v>43.787499999999994</c:v>
                </c:pt>
                <c:pt idx="205">
                  <c:v>59.9</c:v>
                </c:pt>
                <c:pt idx="206">
                  <c:v>138.42500000000001</c:v>
                </c:pt>
                <c:pt idx="207">
                  <c:v>24.99</c:v>
                </c:pt>
                <c:pt idx="208">
                  <c:v>199</c:v>
                </c:pt>
                <c:pt idx="209">
                  <c:v>80.615384615384613</c:v>
                </c:pt>
                <c:pt idx="210">
                  <c:v>89.9</c:v>
                </c:pt>
                <c:pt idx="211">
                  <c:v>213</c:v>
                </c:pt>
                <c:pt idx="212">
                  <c:v>239.99</c:v>
                </c:pt>
                <c:pt idx="213">
                  <c:v>80</c:v>
                </c:pt>
                <c:pt idx="214">
                  <c:v>56.95</c:v>
                </c:pt>
                <c:pt idx="215">
                  <c:v>244.5</c:v>
                </c:pt>
                <c:pt idx="216">
                  <c:v>27.9</c:v>
                </c:pt>
                <c:pt idx="217">
                  <c:v>266.56</c:v>
                </c:pt>
                <c:pt idx="218">
                  <c:v>84.9</c:v>
                </c:pt>
                <c:pt idx="219">
                  <c:v>131.9</c:v>
                </c:pt>
                <c:pt idx="220">
                  <c:v>109.99</c:v>
                </c:pt>
                <c:pt idx="221">
                  <c:v>126.56666666666668</c:v>
                </c:pt>
                <c:pt idx="222">
                  <c:v>223.53769230769228</c:v>
                </c:pt>
                <c:pt idx="223">
                  <c:v>599.5</c:v>
                </c:pt>
                <c:pt idx="224">
                  <c:v>26.4</c:v>
                </c:pt>
                <c:pt idx="225">
                  <c:v>88.126363636363649</c:v>
                </c:pt>
                <c:pt idx="226">
                  <c:v>1799</c:v>
                </c:pt>
                <c:pt idx="227">
                  <c:v>1350</c:v>
                </c:pt>
                <c:pt idx="228">
                  <c:v>101</c:v>
                </c:pt>
                <c:pt idx="229">
                  <c:v>73.233333333333334</c:v>
                </c:pt>
                <c:pt idx="230">
                  <c:v>74.989999999999995</c:v>
                </c:pt>
                <c:pt idx="231">
                  <c:v>29.9</c:v>
                </c:pt>
                <c:pt idx="232">
                  <c:v>57.95</c:v>
                </c:pt>
                <c:pt idx="233">
                  <c:v>135</c:v>
                </c:pt>
                <c:pt idx="234">
                  <c:v>29.99</c:v>
                </c:pt>
                <c:pt idx="235">
                  <c:v>37.667777777777779</c:v>
                </c:pt>
                <c:pt idx="236">
                  <c:v>69</c:v>
                </c:pt>
                <c:pt idx="237">
                  <c:v>11.53</c:v>
                </c:pt>
                <c:pt idx="238">
                  <c:v>62</c:v>
                </c:pt>
                <c:pt idx="239">
                  <c:v>36.97</c:v>
                </c:pt>
                <c:pt idx="240">
                  <c:v>139</c:v>
                </c:pt>
                <c:pt idx="241">
                  <c:v>145.9</c:v>
                </c:pt>
                <c:pt idx="242">
                  <c:v>810</c:v>
                </c:pt>
                <c:pt idx="243">
                  <c:v>224</c:v>
                </c:pt>
                <c:pt idx="244">
                  <c:v>177.49</c:v>
                </c:pt>
                <c:pt idx="245">
                  <c:v>69.900000000000006</c:v>
                </c:pt>
                <c:pt idx="246">
                  <c:v>151.19999999999999</c:v>
                </c:pt>
                <c:pt idx="247">
                  <c:v>99</c:v>
                </c:pt>
                <c:pt idx="248">
                  <c:v>149.9</c:v>
                </c:pt>
                <c:pt idx="249">
                  <c:v>92.5</c:v>
                </c:pt>
                <c:pt idx="250">
                  <c:v>199</c:v>
                </c:pt>
                <c:pt idx="251">
                  <c:v>98.49</c:v>
                </c:pt>
                <c:pt idx="252">
                  <c:v>189.9</c:v>
                </c:pt>
                <c:pt idx="253">
                  <c:v>59.9</c:v>
                </c:pt>
                <c:pt idx="254">
                  <c:v>99.9</c:v>
                </c:pt>
                <c:pt idx="255">
                  <c:v>403.495</c:v>
                </c:pt>
                <c:pt idx="256">
                  <c:v>96.566666666666677</c:v>
                </c:pt>
                <c:pt idx="257">
                  <c:v>396.76</c:v>
                </c:pt>
                <c:pt idx="258">
                  <c:v>14.95</c:v>
                </c:pt>
                <c:pt idx="259">
                  <c:v>89</c:v>
                </c:pt>
                <c:pt idx="260">
                  <c:v>79.900000000000006</c:v>
                </c:pt>
                <c:pt idx="261">
                  <c:v>35</c:v>
                </c:pt>
                <c:pt idx="262">
                  <c:v>52.5</c:v>
                </c:pt>
                <c:pt idx="263">
                  <c:v>329</c:v>
                </c:pt>
                <c:pt idx="264">
                  <c:v>629.5</c:v>
                </c:pt>
                <c:pt idx="265">
                  <c:v>36.9</c:v>
                </c:pt>
                <c:pt idx="266">
                  <c:v>974.80499999999995</c:v>
                </c:pt>
                <c:pt idx="267">
                  <c:v>49.9</c:v>
                </c:pt>
                <c:pt idx="268">
                  <c:v>142.62222222222226</c:v>
                </c:pt>
                <c:pt idx="269">
                  <c:v>189</c:v>
                </c:pt>
                <c:pt idx="270">
                  <c:v>3.49</c:v>
                </c:pt>
                <c:pt idx="271">
                  <c:v>109.9</c:v>
                </c:pt>
                <c:pt idx="272">
                  <c:v>96.974999999999994</c:v>
                </c:pt>
                <c:pt idx="273">
                  <c:v>164</c:v>
                </c:pt>
                <c:pt idx="274">
                  <c:v>60.265999999999998</c:v>
                </c:pt>
                <c:pt idx="275">
                  <c:v>21.9</c:v>
                </c:pt>
                <c:pt idx="276">
                  <c:v>32</c:v>
                </c:pt>
                <c:pt idx="277">
                  <c:v>14.133333333333333</c:v>
                </c:pt>
                <c:pt idx="278">
                  <c:v>59.384615384615387</c:v>
                </c:pt>
                <c:pt idx="279">
                  <c:v>89.9</c:v>
                </c:pt>
                <c:pt idx="280">
                  <c:v>139.99</c:v>
                </c:pt>
                <c:pt idx="281">
                  <c:v>107.5</c:v>
                </c:pt>
                <c:pt idx="282">
                  <c:v>72.5</c:v>
                </c:pt>
                <c:pt idx="283">
                  <c:v>454</c:v>
                </c:pt>
                <c:pt idx="284">
                  <c:v>32.5</c:v>
                </c:pt>
                <c:pt idx="285">
                  <c:v>45</c:v>
                </c:pt>
                <c:pt idx="286">
                  <c:v>43.97</c:v>
                </c:pt>
                <c:pt idx="287">
                  <c:v>65</c:v>
                </c:pt>
                <c:pt idx="288">
                  <c:v>82.956666666666663</c:v>
                </c:pt>
                <c:pt idx="289">
                  <c:v>158.9</c:v>
                </c:pt>
                <c:pt idx="290">
                  <c:v>159.9</c:v>
                </c:pt>
                <c:pt idx="291">
                  <c:v>30.49</c:v>
                </c:pt>
                <c:pt idx="292">
                  <c:v>39.200000000000003</c:v>
                </c:pt>
                <c:pt idx="293">
                  <c:v>91.566666666666677</c:v>
                </c:pt>
                <c:pt idx="294">
                  <c:v>82.666666666666671</c:v>
                </c:pt>
                <c:pt idx="295">
                  <c:v>53.8</c:v>
                </c:pt>
                <c:pt idx="296">
                  <c:v>74.196666666666673</c:v>
                </c:pt>
                <c:pt idx="297">
                  <c:v>50.766666666666673</c:v>
                </c:pt>
                <c:pt idx="298">
                  <c:v>314.99</c:v>
                </c:pt>
                <c:pt idx="299">
                  <c:v>59.9</c:v>
                </c:pt>
                <c:pt idx="300">
                  <c:v>58.2</c:v>
                </c:pt>
                <c:pt idx="301">
                  <c:v>15</c:v>
                </c:pt>
                <c:pt idx="302">
                  <c:v>79.400000000000006</c:v>
                </c:pt>
                <c:pt idx="303">
                  <c:v>123.23333333333335</c:v>
                </c:pt>
                <c:pt idx="304">
                  <c:v>59</c:v>
                </c:pt>
                <c:pt idx="305">
                  <c:v>49.89</c:v>
                </c:pt>
                <c:pt idx="306">
                  <c:v>96</c:v>
                </c:pt>
                <c:pt idx="307">
                  <c:v>105.96999999999998</c:v>
                </c:pt>
                <c:pt idx="308">
                  <c:v>7.6</c:v>
                </c:pt>
                <c:pt idx="309">
                  <c:v>19.899999999999999</c:v>
                </c:pt>
                <c:pt idx="310">
                  <c:v>89.99</c:v>
                </c:pt>
                <c:pt idx="311">
                  <c:v>43.9</c:v>
                </c:pt>
                <c:pt idx="312">
                  <c:v>71.237499999999997</c:v>
                </c:pt>
                <c:pt idx="313">
                  <c:v>168.8</c:v>
                </c:pt>
                <c:pt idx="314">
                  <c:v>55.323333333333331</c:v>
                </c:pt>
                <c:pt idx="315">
                  <c:v>39</c:v>
                </c:pt>
                <c:pt idx="316">
                  <c:v>74.066666666666663</c:v>
                </c:pt>
                <c:pt idx="317">
                  <c:v>35</c:v>
                </c:pt>
                <c:pt idx="318">
                  <c:v>16.989999999999998</c:v>
                </c:pt>
                <c:pt idx="319">
                  <c:v>120</c:v>
                </c:pt>
                <c:pt idx="320">
                  <c:v>109.9</c:v>
                </c:pt>
                <c:pt idx="321">
                  <c:v>33.89</c:v>
                </c:pt>
                <c:pt idx="322">
                  <c:v>109.99000000000001</c:v>
                </c:pt>
                <c:pt idx="323">
                  <c:v>71.99199999999999</c:v>
                </c:pt>
                <c:pt idx="324">
                  <c:v>39.85</c:v>
                </c:pt>
                <c:pt idx="325">
                  <c:v>379.9</c:v>
                </c:pt>
                <c:pt idx="326">
                  <c:v>579.99</c:v>
                </c:pt>
                <c:pt idx="327">
                  <c:v>118.13</c:v>
                </c:pt>
                <c:pt idx="328">
                  <c:v>21.5</c:v>
                </c:pt>
                <c:pt idx="329">
                  <c:v>131.99</c:v>
                </c:pt>
                <c:pt idx="330">
                  <c:v>100</c:v>
                </c:pt>
                <c:pt idx="331">
                  <c:v>155.05571428571429</c:v>
                </c:pt>
                <c:pt idx="332">
                  <c:v>329.9</c:v>
                </c:pt>
                <c:pt idx="333">
                  <c:v>48.9</c:v>
                </c:pt>
                <c:pt idx="334">
                  <c:v>115.74000000000001</c:v>
                </c:pt>
                <c:pt idx="335">
                  <c:v>59.9</c:v>
                </c:pt>
                <c:pt idx="336">
                  <c:v>1337.9899999999998</c:v>
                </c:pt>
                <c:pt idx="337">
                  <c:v>179.33333333333334</c:v>
                </c:pt>
                <c:pt idx="338">
                  <c:v>103.9</c:v>
                </c:pt>
                <c:pt idx="339">
                  <c:v>179.9</c:v>
                </c:pt>
                <c:pt idx="340">
                  <c:v>136.995</c:v>
                </c:pt>
                <c:pt idx="341">
                  <c:v>126.64761904761902</c:v>
                </c:pt>
                <c:pt idx="342">
                  <c:v>125.66666666666667</c:v>
                </c:pt>
                <c:pt idx="343">
                  <c:v>79.8</c:v>
                </c:pt>
                <c:pt idx="344">
                  <c:v>349</c:v>
                </c:pt>
                <c:pt idx="345">
                  <c:v>48.98</c:v>
                </c:pt>
                <c:pt idx="346">
                  <c:v>59.89</c:v>
                </c:pt>
                <c:pt idx="347">
                  <c:v>142.57103448275853</c:v>
                </c:pt>
                <c:pt idx="348">
                  <c:v>233.98099999999999</c:v>
                </c:pt>
                <c:pt idx="349">
                  <c:v>7.5</c:v>
                </c:pt>
                <c:pt idx="350">
                  <c:v>18.896666666666665</c:v>
                </c:pt>
                <c:pt idx="351">
                  <c:v>23.7</c:v>
                </c:pt>
                <c:pt idx="352">
                  <c:v>105.74000000000001</c:v>
                </c:pt>
                <c:pt idx="353">
                  <c:v>116</c:v>
                </c:pt>
                <c:pt idx="354">
                  <c:v>314.2475</c:v>
                </c:pt>
                <c:pt idx="355">
                  <c:v>195</c:v>
                </c:pt>
                <c:pt idx="356">
                  <c:v>59.9</c:v>
                </c:pt>
                <c:pt idx="357">
                  <c:v>115.32857142857142</c:v>
                </c:pt>
                <c:pt idx="358">
                  <c:v>84.9</c:v>
                </c:pt>
                <c:pt idx="359">
                  <c:v>179.99</c:v>
                </c:pt>
                <c:pt idx="360">
                  <c:v>85</c:v>
                </c:pt>
                <c:pt idx="361">
                  <c:v>469</c:v>
                </c:pt>
                <c:pt idx="362">
                  <c:v>45</c:v>
                </c:pt>
                <c:pt idx="363">
                  <c:v>610</c:v>
                </c:pt>
                <c:pt idx="364">
                  <c:v>69.900000000000006</c:v>
                </c:pt>
                <c:pt idx="365">
                  <c:v>119.5</c:v>
                </c:pt>
                <c:pt idx="366">
                  <c:v>83.9</c:v>
                </c:pt>
                <c:pt idx="367">
                  <c:v>206.29666666666665</c:v>
                </c:pt>
                <c:pt idx="368">
                  <c:v>83.660000000000011</c:v>
                </c:pt>
                <c:pt idx="369">
                  <c:v>133.87857142857143</c:v>
                </c:pt>
                <c:pt idx="370">
                  <c:v>29.962</c:v>
                </c:pt>
                <c:pt idx="371">
                  <c:v>45</c:v>
                </c:pt>
                <c:pt idx="372">
                  <c:v>18</c:v>
                </c:pt>
                <c:pt idx="373">
                  <c:v>74.95</c:v>
                </c:pt>
                <c:pt idx="374">
                  <c:v>89.9</c:v>
                </c:pt>
                <c:pt idx="375">
                  <c:v>92.966666666666654</c:v>
                </c:pt>
                <c:pt idx="376">
                  <c:v>46.9</c:v>
                </c:pt>
                <c:pt idx="377">
                  <c:v>399.9</c:v>
                </c:pt>
                <c:pt idx="378">
                  <c:v>85.1</c:v>
                </c:pt>
                <c:pt idx="379">
                  <c:v>299</c:v>
                </c:pt>
                <c:pt idx="380">
                  <c:v>101.83461538461538</c:v>
                </c:pt>
                <c:pt idx="381">
                  <c:v>35.99</c:v>
                </c:pt>
                <c:pt idx="382">
                  <c:v>63</c:v>
                </c:pt>
                <c:pt idx="383">
                  <c:v>113.31666666666666</c:v>
                </c:pt>
                <c:pt idx="384">
                  <c:v>204.45</c:v>
                </c:pt>
                <c:pt idx="385">
                  <c:v>87.51</c:v>
                </c:pt>
                <c:pt idx="386">
                  <c:v>14.89</c:v>
                </c:pt>
                <c:pt idx="387">
                  <c:v>16.565789473684209</c:v>
                </c:pt>
                <c:pt idx="388">
                  <c:v>479</c:v>
                </c:pt>
                <c:pt idx="389">
                  <c:v>99</c:v>
                </c:pt>
                <c:pt idx="390">
                  <c:v>54.18</c:v>
                </c:pt>
                <c:pt idx="391">
                  <c:v>36.25</c:v>
                </c:pt>
                <c:pt idx="392">
                  <c:v>738.9</c:v>
                </c:pt>
                <c:pt idx="393">
                  <c:v>15.32</c:v>
                </c:pt>
                <c:pt idx="394">
                  <c:v>56.882000000000005</c:v>
                </c:pt>
                <c:pt idx="395">
                  <c:v>85.526666666666657</c:v>
                </c:pt>
                <c:pt idx="396">
                  <c:v>142.44499999999999</c:v>
                </c:pt>
                <c:pt idx="397">
                  <c:v>135</c:v>
                </c:pt>
                <c:pt idx="398">
                  <c:v>199</c:v>
                </c:pt>
                <c:pt idx="399">
                  <c:v>63.099999999999994</c:v>
                </c:pt>
                <c:pt idx="400">
                  <c:v>45.966666666666669</c:v>
                </c:pt>
                <c:pt idx="401">
                  <c:v>44.9</c:v>
                </c:pt>
                <c:pt idx="402">
                  <c:v>492.75</c:v>
                </c:pt>
                <c:pt idx="403">
                  <c:v>199</c:v>
                </c:pt>
                <c:pt idx="404">
                  <c:v>16.067777777777778</c:v>
                </c:pt>
                <c:pt idx="405">
                  <c:v>616.90000000000009</c:v>
                </c:pt>
                <c:pt idx="406">
                  <c:v>177.9</c:v>
                </c:pt>
                <c:pt idx="407">
                  <c:v>39.99</c:v>
                </c:pt>
                <c:pt idx="408">
                  <c:v>91.576538461538476</c:v>
                </c:pt>
                <c:pt idx="409">
                  <c:v>31.659999999999997</c:v>
                </c:pt>
                <c:pt idx="410">
                  <c:v>73.900000000000006</c:v>
                </c:pt>
                <c:pt idx="411">
                  <c:v>59.9</c:v>
                </c:pt>
                <c:pt idx="412">
                  <c:v>108</c:v>
                </c:pt>
                <c:pt idx="413">
                  <c:v>269</c:v>
                </c:pt>
                <c:pt idx="414">
                  <c:v>497</c:v>
                </c:pt>
                <c:pt idx="415">
                  <c:v>36.9</c:v>
                </c:pt>
                <c:pt idx="416">
                  <c:v>52.99</c:v>
                </c:pt>
                <c:pt idx="417">
                  <c:v>63.99</c:v>
                </c:pt>
                <c:pt idx="418">
                  <c:v>76.099999999999994</c:v>
                </c:pt>
                <c:pt idx="419">
                  <c:v>90</c:v>
                </c:pt>
                <c:pt idx="420">
                  <c:v>107.4</c:v>
                </c:pt>
                <c:pt idx="421">
                  <c:v>158</c:v>
                </c:pt>
                <c:pt idx="422">
                  <c:v>169.45</c:v>
                </c:pt>
                <c:pt idx="423">
                  <c:v>130</c:v>
                </c:pt>
                <c:pt idx="424">
                  <c:v>24.990000000000002</c:v>
                </c:pt>
                <c:pt idx="425">
                  <c:v>99.99</c:v>
                </c:pt>
                <c:pt idx="426">
                  <c:v>159.41999999999999</c:v>
                </c:pt>
                <c:pt idx="427">
                  <c:v>99.99</c:v>
                </c:pt>
                <c:pt idx="428">
                  <c:v>60</c:v>
                </c:pt>
                <c:pt idx="429">
                  <c:v>101.99</c:v>
                </c:pt>
                <c:pt idx="430">
                  <c:v>12.99</c:v>
                </c:pt>
                <c:pt idx="431">
                  <c:v>99.9</c:v>
                </c:pt>
                <c:pt idx="432">
                  <c:v>172.65666666666667</c:v>
                </c:pt>
                <c:pt idx="433">
                  <c:v>189.9</c:v>
                </c:pt>
                <c:pt idx="434">
                  <c:v>46.39200000000001</c:v>
                </c:pt>
                <c:pt idx="435">
                  <c:v>130.27000000000001</c:v>
                </c:pt>
                <c:pt idx="436">
                  <c:v>20.93</c:v>
                </c:pt>
                <c:pt idx="437">
                  <c:v>39.9</c:v>
                </c:pt>
                <c:pt idx="438">
                  <c:v>69.900000000000006</c:v>
                </c:pt>
                <c:pt idx="439">
                  <c:v>49.75</c:v>
                </c:pt>
                <c:pt idx="440">
                  <c:v>297</c:v>
                </c:pt>
                <c:pt idx="441">
                  <c:v>121.59666666666668</c:v>
                </c:pt>
                <c:pt idx="442">
                  <c:v>127.48</c:v>
                </c:pt>
                <c:pt idx="443">
                  <c:v>89</c:v>
                </c:pt>
                <c:pt idx="444">
                  <c:v>85.00800000000001</c:v>
                </c:pt>
                <c:pt idx="445">
                  <c:v>48.5</c:v>
                </c:pt>
                <c:pt idx="446">
                  <c:v>79.900000000000006</c:v>
                </c:pt>
                <c:pt idx="447">
                  <c:v>579</c:v>
                </c:pt>
                <c:pt idx="448">
                  <c:v>123</c:v>
                </c:pt>
                <c:pt idx="449">
                  <c:v>99</c:v>
                </c:pt>
                <c:pt idx="450">
                  <c:v>44.989999999999995</c:v>
                </c:pt>
                <c:pt idx="451">
                  <c:v>54.9</c:v>
                </c:pt>
                <c:pt idx="452">
                  <c:v>139</c:v>
                </c:pt>
                <c:pt idx="453">
                  <c:v>153.46</c:v>
                </c:pt>
                <c:pt idx="454">
                  <c:v>309.89999999999998</c:v>
                </c:pt>
                <c:pt idx="455">
                  <c:v>87</c:v>
                </c:pt>
                <c:pt idx="456">
                  <c:v>83.933333333333337</c:v>
                </c:pt>
                <c:pt idx="457">
                  <c:v>187.2</c:v>
                </c:pt>
                <c:pt idx="458">
                  <c:v>55.9</c:v>
                </c:pt>
                <c:pt idx="459">
                  <c:v>186.5</c:v>
                </c:pt>
                <c:pt idx="460">
                  <c:v>362.45</c:v>
                </c:pt>
                <c:pt idx="461">
                  <c:v>62</c:v>
                </c:pt>
                <c:pt idx="462">
                  <c:v>130.4</c:v>
                </c:pt>
                <c:pt idx="463">
                  <c:v>153</c:v>
                </c:pt>
                <c:pt idx="464">
                  <c:v>48.9</c:v>
                </c:pt>
                <c:pt idx="465">
                  <c:v>139.9</c:v>
                </c:pt>
                <c:pt idx="466">
                  <c:v>59</c:v>
                </c:pt>
                <c:pt idx="467">
                  <c:v>124.995</c:v>
                </c:pt>
                <c:pt idx="468">
                  <c:v>139</c:v>
                </c:pt>
                <c:pt idx="469">
                  <c:v>126.79</c:v>
                </c:pt>
                <c:pt idx="470">
                  <c:v>229.99</c:v>
                </c:pt>
                <c:pt idx="471">
                  <c:v>40.75</c:v>
                </c:pt>
                <c:pt idx="472">
                  <c:v>44.6</c:v>
                </c:pt>
                <c:pt idx="473">
                  <c:v>189</c:v>
                </c:pt>
                <c:pt idx="474">
                  <c:v>125.45</c:v>
                </c:pt>
                <c:pt idx="475">
                  <c:v>149.9</c:v>
                </c:pt>
                <c:pt idx="476">
                  <c:v>379.9</c:v>
                </c:pt>
                <c:pt idx="477">
                  <c:v>55</c:v>
                </c:pt>
                <c:pt idx="478">
                  <c:v>33.39</c:v>
                </c:pt>
                <c:pt idx="479">
                  <c:v>104.9</c:v>
                </c:pt>
                <c:pt idx="480">
                  <c:v>359</c:v>
                </c:pt>
                <c:pt idx="481">
                  <c:v>115.73333333333333</c:v>
                </c:pt>
                <c:pt idx="482">
                  <c:v>305.66666666666669</c:v>
                </c:pt>
                <c:pt idx="483">
                  <c:v>271.94333333333333</c:v>
                </c:pt>
                <c:pt idx="484">
                  <c:v>270</c:v>
                </c:pt>
                <c:pt idx="485">
                  <c:v>1680</c:v>
                </c:pt>
                <c:pt idx="486">
                  <c:v>149</c:v>
                </c:pt>
                <c:pt idx="487">
                  <c:v>119.9</c:v>
                </c:pt>
                <c:pt idx="488">
                  <c:v>66.990000000000009</c:v>
                </c:pt>
                <c:pt idx="489">
                  <c:v>229.99</c:v>
                </c:pt>
                <c:pt idx="490">
                  <c:v>37.43333333333333</c:v>
                </c:pt>
                <c:pt idx="491">
                  <c:v>36.65</c:v>
                </c:pt>
                <c:pt idx="492">
                  <c:v>65.5</c:v>
                </c:pt>
                <c:pt idx="493">
                  <c:v>12.99</c:v>
                </c:pt>
                <c:pt idx="494">
                  <c:v>145</c:v>
                </c:pt>
                <c:pt idx="495">
                  <c:v>109.99000000000001</c:v>
                </c:pt>
                <c:pt idx="496">
                  <c:v>12.98</c:v>
                </c:pt>
                <c:pt idx="497">
                  <c:v>849</c:v>
                </c:pt>
                <c:pt idx="498">
                  <c:v>129.78</c:v>
                </c:pt>
                <c:pt idx="499">
                  <c:v>149.9</c:v>
                </c:pt>
                <c:pt idx="500">
                  <c:v>149.9</c:v>
                </c:pt>
                <c:pt idx="501">
                  <c:v>63.2425</c:v>
                </c:pt>
                <c:pt idx="502">
                  <c:v>1428.95</c:v>
                </c:pt>
                <c:pt idx="503">
                  <c:v>161.9</c:v>
                </c:pt>
                <c:pt idx="504">
                  <c:v>70</c:v>
                </c:pt>
                <c:pt idx="505">
                  <c:v>399.99</c:v>
                </c:pt>
                <c:pt idx="506">
                  <c:v>29.9</c:v>
                </c:pt>
                <c:pt idx="507">
                  <c:v>130</c:v>
                </c:pt>
                <c:pt idx="508">
                  <c:v>89.9</c:v>
                </c:pt>
                <c:pt idx="509">
                  <c:v>99.9</c:v>
                </c:pt>
                <c:pt idx="510">
                  <c:v>61.2</c:v>
                </c:pt>
                <c:pt idx="511">
                  <c:v>27.9</c:v>
                </c:pt>
                <c:pt idx="512">
                  <c:v>55.05</c:v>
                </c:pt>
                <c:pt idx="513">
                  <c:v>289</c:v>
                </c:pt>
                <c:pt idx="514">
                  <c:v>120.56666666666666</c:v>
                </c:pt>
                <c:pt idx="515">
                  <c:v>149</c:v>
                </c:pt>
                <c:pt idx="516">
                  <c:v>125</c:v>
                </c:pt>
                <c:pt idx="517">
                  <c:v>89.9</c:v>
                </c:pt>
                <c:pt idx="518">
                  <c:v>35</c:v>
                </c:pt>
                <c:pt idx="519">
                  <c:v>106.19000000000001</c:v>
                </c:pt>
                <c:pt idx="520">
                  <c:v>124.6</c:v>
                </c:pt>
                <c:pt idx="521">
                  <c:v>90</c:v>
                </c:pt>
                <c:pt idx="522">
                  <c:v>174.92571428571429</c:v>
                </c:pt>
                <c:pt idx="523">
                  <c:v>364.98</c:v>
                </c:pt>
                <c:pt idx="524">
                  <c:v>63.99</c:v>
                </c:pt>
                <c:pt idx="525">
                  <c:v>50</c:v>
                </c:pt>
                <c:pt idx="526">
                  <c:v>69</c:v>
                </c:pt>
                <c:pt idx="527">
                  <c:v>46.9</c:v>
                </c:pt>
                <c:pt idx="528">
                  <c:v>125.90000000000002</c:v>
                </c:pt>
                <c:pt idx="529">
                  <c:v>110.31999999999998</c:v>
                </c:pt>
                <c:pt idx="530">
                  <c:v>57.9</c:v>
                </c:pt>
                <c:pt idx="531">
                  <c:v>127.90625</c:v>
                </c:pt>
                <c:pt idx="532">
                  <c:v>219.9</c:v>
                </c:pt>
                <c:pt idx="533">
                  <c:v>103.32333333333334</c:v>
                </c:pt>
                <c:pt idx="534">
                  <c:v>71.660000000000011</c:v>
                </c:pt>
                <c:pt idx="535">
                  <c:v>18.25</c:v>
                </c:pt>
                <c:pt idx="536">
                  <c:v>50.614285714285707</c:v>
                </c:pt>
                <c:pt idx="537">
                  <c:v>29.99</c:v>
                </c:pt>
                <c:pt idx="538">
                  <c:v>79.900000000000006</c:v>
                </c:pt>
                <c:pt idx="539">
                  <c:v>58.9</c:v>
                </c:pt>
                <c:pt idx="540">
                  <c:v>519</c:v>
                </c:pt>
                <c:pt idx="541">
                  <c:v>63.323636363636375</c:v>
                </c:pt>
                <c:pt idx="542">
                  <c:v>91.788750000000022</c:v>
                </c:pt>
                <c:pt idx="543">
                  <c:v>349.9</c:v>
                </c:pt>
                <c:pt idx="544">
                  <c:v>34.9</c:v>
                </c:pt>
                <c:pt idx="545">
                  <c:v>101</c:v>
                </c:pt>
                <c:pt idx="546">
                  <c:v>89</c:v>
                </c:pt>
                <c:pt idx="547">
                  <c:v>229.9</c:v>
                </c:pt>
                <c:pt idx="548">
                  <c:v>629.9</c:v>
                </c:pt>
                <c:pt idx="549">
                  <c:v>158</c:v>
                </c:pt>
                <c:pt idx="550">
                  <c:v>156</c:v>
                </c:pt>
                <c:pt idx="551">
                  <c:v>14</c:v>
                </c:pt>
                <c:pt idx="552">
                  <c:v>394.495</c:v>
                </c:pt>
                <c:pt idx="553">
                  <c:v>63.233333333333327</c:v>
                </c:pt>
                <c:pt idx="554">
                  <c:v>99</c:v>
                </c:pt>
                <c:pt idx="555">
                  <c:v>81.400000000000006</c:v>
                </c:pt>
                <c:pt idx="556">
                  <c:v>139.66666666666666</c:v>
                </c:pt>
                <c:pt idx="557">
                  <c:v>109.9</c:v>
                </c:pt>
                <c:pt idx="558">
                  <c:v>110</c:v>
                </c:pt>
                <c:pt idx="559">
                  <c:v>52.39</c:v>
                </c:pt>
                <c:pt idx="560">
                  <c:v>89.99</c:v>
                </c:pt>
                <c:pt idx="561">
                  <c:v>105.74000000000001</c:v>
                </c:pt>
                <c:pt idx="562">
                  <c:v>10.99</c:v>
                </c:pt>
                <c:pt idx="563">
                  <c:v>964.95</c:v>
                </c:pt>
                <c:pt idx="564">
                  <c:v>40.990909090909085</c:v>
                </c:pt>
                <c:pt idx="565">
                  <c:v>113.89</c:v>
                </c:pt>
                <c:pt idx="566">
                  <c:v>98</c:v>
                </c:pt>
                <c:pt idx="567">
                  <c:v>94.9</c:v>
                </c:pt>
                <c:pt idx="568">
                  <c:v>49.8</c:v>
                </c:pt>
                <c:pt idx="569">
                  <c:v>19.899999999999999</c:v>
                </c:pt>
                <c:pt idx="570">
                  <c:v>33.99</c:v>
                </c:pt>
                <c:pt idx="571">
                  <c:v>36.9</c:v>
                </c:pt>
                <c:pt idx="572">
                  <c:v>37.9</c:v>
                </c:pt>
                <c:pt idx="573">
                  <c:v>105</c:v>
                </c:pt>
                <c:pt idx="574">
                  <c:v>129.9</c:v>
                </c:pt>
                <c:pt idx="575">
                  <c:v>75.489999999999995</c:v>
                </c:pt>
                <c:pt idx="576">
                  <c:v>989</c:v>
                </c:pt>
                <c:pt idx="577">
                  <c:v>62.871428571428574</c:v>
                </c:pt>
                <c:pt idx="578">
                  <c:v>125.9</c:v>
                </c:pt>
                <c:pt idx="579">
                  <c:v>149</c:v>
                </c:pt>
                <c:pt idx="580">
                  <c:v>32.49</c:v>
                </c:pt>
                <c:pt idx="581">
                  <c:v>49.8</c:v>
                </c:pt>
                <c:pt idx="582">
                  <c:v>112.93030303030308</c:v>
                </c:pt>
                <c:pt idx="583">
                  <c:v>32.15</c:v>
                </c:pt>
                <c:pt idx="584">
                  <c:v>159</c:v>
                </c:pt>
                <c:pt idx="585">
                  <c:v>32.296666666666667</c:v>
                </c:pt>
                <c:pt idx="586">
                  <c:v>39.9</c:v>
                </c:pt>
                <c:pt idx="587">
                  <c:v>92.61666666666666</c:v>
                </c:pt>
                <c:pt idx="588">
                  <c:v>46.75</c:v>
                </c:pt>
                <c:pt idx="589">
                  <c:v>195</c:v>
                </c:pt>
                <c:pt idx="590">
                  <c:v>69.900000000000006</c:v>
                </c:pt>
                <c:pt idx="591">
                  <c:v>304.89999999999998</c:v>
                </c:pt>
                <c:pt idx="592">
                  <c:v>108.23333333333333</c:v>
                </c:pt>
                <c:pt idx="593">
                  <c:v>148.13</c:v>
                </c:pt>
                <c:pt idx="594">
                  <c:v>113.23333333333335</c:v>
                </c:pt>
                <c:pt idx="595">
                  <c:v>67.566666666666677</c:v>
                </c:pt>
                <c:pt idx="596">
                  <c:v>199.9</c:v>
                </c:pt>
                <c:pt idx="597">
                  <c:v>37.9</c:v>
                </c:pt>
                <c:pt idx="598">
                  <c:v>249</c:v>
                </c:pt>
                <c:pt idx="599">
                  <c:v>109.90000000000002</c:v>
                </c:pt>
                <c:pt idx="600">
                  <c:v>79.900000000000006</c:v>
                </c:pt>
                <c:pt idx="601">
                  <c:v>28.8</c:v>
                </c:pt>
                <c:pt idx="602">
                  <c:v>102</c:v>
                </c:pt>
                <c:pt idx="603">
                  <c:v>54.650000000000006</c:v>
                </c:pt>
                <c:pt idx="604">
                  <c:v>189.9</c:v>
                </c:pt>
                <c:pt idx="605">
                  <c:v>137</c:v>
                </c:pt>
                <c:pt idx="606">
                  <c:v>98</c:v>
                </c:pt>
                <c:pt idx="607">
                  <c:v>64.900000000000006</c:v>
                </c:pt>
                <c:pt idx="608">
                  <c:v>379</c:v>
                </c:pt>
                <c:pt idx="609">
                  <c:v>39.9</c:v>
                </c:pt>
                <c:pt idx="610">
                  <c:v>13.99</c:v>
                </c:pt>
                <c:pt idx="611">
                  <c:v>19.899999999999999</c:v>
                </c:pt>
                <c:pt idx="612">
                  <c:v>447</c:v>
                </c:pt>
                <c:pt idx="613">
                  <c:v>23.800000000000004</c:v>
                </c:pt>
                <c:pt idx="614">
                  <c:v>89.18</c:v>
                </c:pt>
                <c:pt idx="615">
                  <c:v>51.402499999999996</c:v>
                </c:pt>
                <c:pt idx="616">
                  <c:v>443</c:v>
                </c:pt>
                <c:pt idx="617">
                  <c:v>69.900000000000006</c:v>
                </c:pt>
                <c:pt idx="618">
                  <c:v>11.9</c:v>
                </c:pt>
                <c:pt idx="619">
                  <c:v>149.9</c:v>
                </c:pt>
                <c:pt idx="620">
                  <c:v>68.831538461538472</c:v>
                </c:pt>
                <c:pt idx="621">
                  <c:v>113.97999999999999</c:v>
                </c:pt>
                <c:pt idx="622">
                  <c:v>489</c:v>
                </c:pt>
                <c:pt idx="623">
                  <c:v>32.43</c:v>
                </c:pt>
                <c:pt idx="624">
                  <c:v>39.99</c:v>
                </c:pt>
                <c:pt idx="625">
                  <c:v>41.9</c:v>
                </c:pt>
                <c:pt idx="626">
                  <c:v>127.45</c:v>
                </c:pt>
                <c:pt idx="627">
                  <c:v>32.418095238095241</c:v>
                </c:pt>
                <c:pt idx="628">
                  <c:v>144.94499999999999</c:v>
                </c:pt>
                <c:pt idx="629">
                  <c:v>69.13</c:v>
                </c:pt>
                <c:pt idx="630">
                  <c:v>276.99</c:v>
                </c:pt>
                <c:pt idx="631">
                  <c:v>462.31666666666666</c:v>
                </c:pt>
                <c:pt idx="632">
                  <c:v>336</c:v>
                </c:pt>
                <c:pt idx="633">
                  <c:v>153.66666666666666</c:v>
                </c:pt>
                <c:pt idx="634">
                  <c:v>779</c:v>
                </c:pt>
                <c:pt idx="635">
                  <c:v>73.989999999999995</c:v>
                </c:pt>
                <c:pt idx="636">
                  <c:v>49.9</c:v>
                </c:pt>
                <c:pt idx="637">
                  <c:v>119.90000000000002</c:v>
                </c:pt>
                <c:pt idx="638">
                  <c:v>43.65</c:v>
                </c:pt>
                <c:pt idx="639">
                  <c:v>27.993333333333336</c:v>
                </c:pt>
                <c:pt idx="640">
                  <c:v>99.9</c:v>
                </c:pt>
                <c:pt idx="641">
                  <c:v>50</c:v>
                </c:pt>
                <c:pt idx="642">
                  <c:v>63.9</c:v>
                </c:pt>
                <c:pt idx="643">
                  <c:v>28.917999999999999</c:v>
                </c:pt>
                <c:pt idx="644">
                  <c:v>180</c:v>
                </c:pt>
                <c:pt idx="645">
                  <c:v>14.9</c:v>
                </c:pt>
                <c:pt idx="646">
                  <c:v>34.99</c:v>
                </c:pt>
                <c:pt idx="647">
                  <c:v>24.99</c:v>
                </c:pt>
                <c:pt idx="648">
                  <c:v>144.99</c:v>
                </c:pt>
                <c:pt idx="649">
                  <c:v>29.9</c:v>
                </c:pt>
                <c:pt idx="650">
                  <c:v>49.16</c:v>
                </c:pt>
                <c:pt idx="651">
                  <c:v>74.900000000000006</c:v>
                </c:pt>
                <c:pt idx="652">
                  <c:v>51.95</c:v>
                </c:pt>
                <c:pt idx="653">
                  <c:v>39</c:v>
                </c:pt>
                <c:pt idx="654">
                  <c:v>20.215</c:v>
                </c:pt>
                <c:pt idx="655">
                  <c:v>249.48</c:v>
                </c:pt>
                <c:pt idx="656">
                  <c:v>185</c:v>
                </c:pt>
                <c:pt idx="657">
                  <c:v>112.9</c:v>
                </c:pt>
                <c:pt idx="658">
                  <c:v>8</c:v>
                </c:pt>
                <c:pt idx="659">
                  <c:v>95.99</c:v>
                </c:pt>
                <c:pt idx="660">
                  <c:v>327.5</c:v>
                </c:pt>
                <c:pt idx="661">
                  <c:v>31.9</c:v>
                </c:pt>
                <c:pt idx="662">
                  <c:v>72.066666666666663</c:v>
                </c:pt>
                <c:pt idx="663">
                  <c:v>94.9</c:v>
                </c:pt>
                <c:pt idx="664">
                  <c:v>52.300000000000004</c:v>
                </c:pt>
                <c:pt idx="665">
                  <c:v>47.65</c:v>
                </c:pt>
                <c:pt idx="666">
                  <c:v>82.622222222222234</c:v>
                </c:pt>
                <c:pt idx="667">
                  <c:v>227.43333333333331</c:v>
                </c:pt>
                <c:pt idx="668">
                  <c:v>43.569999999999993</c:v>
                </c:pt>
                <c:pt idx="669">
                  <c:v>180</c:v>
                </c:pt>
                <c:pt idx="670">
                  <c:v>34.9</c:v>
                </c:pt>
                <c:pt idx="671">
                  <c:v>639</c:v>
                </c:pt>
                <c:pt idx="672">
                  <c:v>50</c:v>
                </c:pt>
                <c:pt idx="673">
                  <c:v>138</c:v>
                </c:pt>
                <c:pt idx="674">
                  <c:v>99</c:v>
                </c:pt>
                <c:pt idx="675">
                  <c:v>184.46666666666667</c:v>
                </c:pt>
                <c:pt idx="676">
                  <c:v>44.924999999999997</c:v>
                </c:pt>
                <c:pt idx="677">
                  <c:v>79.5</c:v>
                </c:pt>
                <c:pt idx="678">
                  <c:v>59.9</c:v>
                </c:pt>
                <c:pt idx="679">
                  <c:v>102.5</c:v>
                </c:pt>
                <c:pt idx="680">
                  <c:v>39.49</c:v>
                </c:pt>
                <c:pt idx="681">
                  <c:v>51.5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6-4103-814D-78CAB4C8E73F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Average of competitor_price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Sheet3!$A$4:$A$687</c:f>
              <c:strCache>
                <c:ptCount val="683"/>
                <c:pt idx="0">
                  <c:v>001cca7ae9ae17fb1caed9dfb1094831</c:v>
                </c:pt>
                <c:pt idx="1">
                  <c:v>002100f778ceb8431b7a1020ff7ab48f</c:v>
                </c:pt>
                <c:pt idx="2">
                  <c:v>004c9cd9d87a3c30c522c48c4fc07416</c:v>
                </c:pt>
                <c:pt idx="3">
                  <c:v>00720abe85ba0859807595bbf045a33b</c:v>
                </c:pt>
                <c:pt idx="4">
                  <c:v>00ee68308b45bc5e2660cd833c3f81cc</c:v>
                </c:pt>
                <c:pt idx="5">
                  <c:v>00fc707aaaad2d31347cf883cd2dfe10</c:v>
                </c:pt>
                <c:pt idx="6">
                  <c:v>01cf7e3d21494c41fb86034f2e714fa1</c:v>
                </c:pt>
                <c:pt idx="7">
                  <c:v>01fdefa7697d26ad920e9e0346d4bd1b</c:v>
                </c:pt>
                <c:pt idx="8">
                  <c:v>0241d4d5d36f10f80c644447315af0bd</c:v>
                </c:pt>
                <c:pt idx="9">
                  <c:v>0432ead42b6c8a0bdf68154add917fdf</c:v>
                </c:pt>
                <c:pt idx="10">
                  <c:v>04aba03279157f6d4e0fe8ccaf21963c</c:v>
                </c:pt>
                <c:pt idx="11">
                  <c:v>04e38a233f726ef161074ab1c9b0399a</c:v>
                </c:pt>
                <c:pt idx="12">
                  <c:v>0509040ea3fe50071181bbc359eb7738</c:v>
                </c:pt>
                <c:pt idx="13">
                  <c:v>056b4ada5bbc2c50cc7842547dda6b51</c:v>
                </c:pt>
                <c:pt idx="14">
                  <c:v>058cb5aeb36d7c0fcae20fc85d5e0a59</c:v>
                </c:pt>
                <c:pt idx="15">
                  <c:v>058fd0aa2bfdb2274e05e1ae971dabb6</c:v>
                </c:pt>
                <c:pt idx="16">
                  <c:v>062ce95fa2ad4dfaedfc79260130565f</c:v>
                </c:pt>
                <c:pt idx="17">
                  <c:v>06532f10282704ef4c69168b914b77be</c:v>
                </c:pt>
                <c:pt idx="18">
                  <c:v>06579cb253ecd5a3a12a9e6eb6bf8f47</c:v>
                </c:pt>
                <c:pt idx="19">
                  <c:v>066a6914e1ebf3ea95a216c73a986b91</c:v>
                </c:pt>
                <c:pt idx="20">
                  <c:v>0691148aee60ca47977c187804f935ae</c:v>
                </c:pt>
                <c:pt idx="21">
                  <c:v>06a2c3af7b3aee5d69171b0e14f0ee87</c:v>
                </c:pt>
                <c:pt idx="22">
                  <c:v>06e5eefc71ec47ae763c5c6f8db7064f</c:v>
                </c:pt>
                <c:pt idx="23">
                  <c:v>070d165398b553f3b4b851c216b8a358</c:v>
                </c:pt>
                <c:pt idx="24">
                  <c:v>080102cd0a76b09e0dcf55fcacc60e05</c:v>
                </c:pt>
                <c:pt idx="25">
                  <c:v>080199a181c46c657dc5aa235411be3b</c:v>
                </c:pt>
                <c:pt idx="26">
                  <c:v>08061dc0fc165ed41288cc7acde738ee</c:v>
                </c:pt>
                <c:pt idx="27">
                  <c:v>0887a9f087bcd5d9f6642b52f897fc6c</c:v>
                </c:pt>
                <c:pt idx="28">
                  <c:v>08ad4ac1388e4420ca531c3edfc46198</c:v>
                </c:pt>
                <c:pt idx="29">
                  <c:v>0adac9fbd9a2b63cccaac4f8756c1ca8</c:v>
                </c:pt>
                <c:pt idx="30">
                  <c:v>0b35c634521043bf4b47e21547b99ab5</c:v>
                </c:pt>
                <c:pt idx="31">
                  <c:v>0b90b6df587eb83608a64ea8b390cf07</c:v>
                </c:pt>
                <c:pt idx="32">
                  <c:v>0bae85eb84b9fb3bd773911e89288d54</c:v>
                </c:pt>
                <c:pt idx="33">
                  <c:v>0be8ff43f22e456b4e0371b2245e4d01</c:v>
                </c:pt>
                <c:pt idx="34">
                  <c:v>0bf0150d5b9d60d9cd2906003332f085</c:v>
                </c:pt>
                <c:pt idx="35">
                  <c:v>0c7533c71df861ec58ad7ff999ed0e8d</c:v>
                </c:pt>
                <c:pt idx="36">
                  <c:v>0c8380b62e38e8a1e6adbeba7eb9688c</c:v>
                </c:pt>
                <c:pt idx="37">
                  <c:v>0d33a55da925bbf1ff02af5f6059fc7f</c:v>
                </c:pt>
                <c:pt idx="38">
                  <c:v>0d83f8e03188682112cc0d93523705cc</c:v>
                </c:pt>
                <c:pt idx="39">
                  <c:v>0db783cfcd3b73998abc6e10e59a102f</c:v>
                </c:pt>
                <c:pt idx="40">
                  <c:v>0dd184061fb0eaa7ca37932c68ab91c5</c:v>
                </c:pt>
                <c:pt idx="41">
                  <c:v>0df3984f9dfb3d49ac6366acbd3bbb85</c:v>
                </c:pt>
                <c:pt idx="42">
                  <c:v>0ea22c1cfbdc755f86b9b54b39c16043</c:v>
                </c:pt>
                <c:pt idx="43">
                  <c:v>0ec28cec4046a4a199b6de9b4c891d97</c:v>
                </c:pt>
                <c:pt idx="44">
                  <c:v>0f0c984a4a955310903b6b6008660bad</c:v>
                </c:pt>
                <c:pt idx="45">
                  <c:v>0ffa40d54288e4f3499b8780dd0f144f</c:v>
                </c:pt>
                <c:pt idx="46">
                  <c:v>1025f0e2d44d7041d6cf58b6550e0bfa</c:v>
                </c:pt>
                <c:pt idx="47">
                  <c:v>1127b7f2594683f2510f1c2c834a486b</c:v>
                </c:pt>
                <c:pt idx="48">
                  <c:v>116ccb1a1604bc88e4d234a8c23f33de</c:v>
                </c:pt>
                <c:pt idx="49">
                  <c:v>11bfa66332777660bd0640ee84d47006</c:v>
                </c:pt>
                <c:pt idx="50">
                  <c:v>11eac105f3f90a9b87b19c89d91e24f3</c:v>
                </c:pt>
                <c:pt idx="51">
                  <c:v>128639473a139ac0f3e5f5ade55873a5</c:v>
                </c:pt>
                <c:pt idx="52">
                  <c:v>12b9676b00f60f3b700e83af21824c0e</c:v>
                </c:pt>
                <c:pt idx="53">
                  <c:v>1336efc61c316ddf92c899eb817f7cae</c:v>
                </c:pt>
                <c:pt idx="54">
                  <c:v>13c2ed7698b3ca92dad49e849219da59</c:v>
                </c:pt>
                <c:pt idx="55">
                  <c:v>13fa2a6c6b9d0f43cb588d7c82117a12</c:v>
                </c:pt>
                <c:pt idx="56">
                  <c:v>1464afc72f696af775557a821c2e253f</c:v>
                </c:pt>
                <c:pt idx="57">
                  <c:v>14d7985702e72162bbf13b6beb74ab2b</c:v>
                </c:pt>
                <c:pt idx="58">
                  <c:v>1554a68530182680ad5c8b042c3ab563</c:v>
                </c:pt>
                <c:pt idx="59">
                  <c:v>157c3e4b42f81ac4a44e8b1ca2fe9876</c:v>
                </c:pt>
                <c:pt idx="60">
                  <c:v>16090f2ca825584b5a147ab24aa30c86</c:v>
                </c:pt>
                <c:pt idx="61">
                  <c:v>165fc07beebdcb6190fba8a06db2a449</c:v>
                </c:pt>
                <c:pt idx="62">
                  <c:v>1690cada046eb7e92c12f98b1f8a8167</c:v>
                </c:pt>
                <c:pt idx="63">
                  <c:v>17a053fcb14bd219540cbde0df490be0</c:v>
                </c:pt>
                <c:pt idx="64">
                  <c:v>17e34d8224d27a541263c4c64b11a56b</c:v>
                </c:pt>
                <c:pt idx="65">
                  <c:v>17f51e7198701186712e53a39c564617</c:v>
                </c:pt>
                <c:pt idx="66">
                  <c:v>1835b56ce799e6a4dc4eddc053f04066</c:v>
                </c:pt>
                <c:pt idx="67">
                  <c:v>1838dd9b8977065acf51d95e0053ea7a</c:v>
                </c:pt>
                <c:pt idx="68">
                  <c:v>18a349e75d307f4b4cc646a691ed4216</c:v>
                </c:pt>
                <c:pt idx="69">
                  <c:v>18e694e0e48ed6f7aa3f24aade5fd697</c:v>
                </c:pt>
                <c:pt idx="70">
                  <c:v>1900267e848ceeba8fa32d80c1a5f5a8</c:v>
                </c:pt>
                <c:pt idx="71">
                  <c:v>1996942dc085d7773ba77a529b163cd0</c:v>
                </c:pt>
                <c:pt idx="72">
                  <c:v>1a3df491d1c4f1589fc2b934ada68bf2</c:v>
                </c:pt>
                <c:pt idx="73">
                  <c:v>1b4c3a6f53068f0b6944d2d005c9fc89</c:v>
                </c:pt>
                <c:pt idx="74">
                  <c:v>1b7e5006cb25dd23ce8686691013b121</c:v>
                </c:pt>
                <c:pt idx="75">
                  <c:v>1b8356dabde1d35e17cef975c3f82730</c:v>
                </c:pt>
                <c:pt idx="76">
                  <c:v>1b938a7ec6ac5061a66a3766e0e75f90</c:v>
                </c:pt>
                <c:pt idx="77">
                  <c:v>1bb2bdb95f4841f1bba2c0d2cd83d3c9</c:v>
                </c:pt>
                <c:pt idx="78">
                  <c:v>1c129092bf23f28a5930387c980c0dfc</c:v>
                </c:pt>
                <c:pt idx="79">
                  <c:v>1c56ffe0e9dea2657fc6e95b53f40b13</c:v>
                </c:pt>
                <c:pt idx="80">
                  <c:v>1c68394e931a64f90ea236c5ea590300</c:v>
                </c:pt>
                <c:pt idx="81">
                  <c:v>1ca7077d890b907f89be8c954a02686a</c:v>
                </c:pt>
                <c:pt idx="82">
                  <c:v>1caf283236cd69af44cbc09a0a1e7d32</c:v>
                </c:pt>
                <c:pt idx="83">
                  <c:v>1d1bbb8ac1581824986f582583fff01d</c:v>
                </c:pt>
                <c:pt idx="84">
                  <c:v>1d8dbc4f32378d715c717c1c1fc57bae</c:v>
                </c:pt>
                <c:pt idx="85">
                  <c:v>1da3aeb70d7989d1e6d9b0e887f97c23</c:v>
                </c:pt>
                <c:pt idx="86">
                  <c:v>1e8b33f18b4f7598d87f5cbee2282cc2</c:v>
                </c:pt>
                <c:pt idx="87">
                  <c:v>1f1bb1f0859883505541bdd6606193e5</c:v>
                </c:pt>
                <c:pt idx="88">
                  <c:v>1f50f920176fa81dab994f9023523100</c:v>
                </c:pt>
                <c:pt idx="89">
                  <c:v>1f9ab4708f3056ede07124aad39a2554</c:v>
                </c:pt>
                <c:pt idx="90">
                  <c:v>2009a095de2a2a41626f6c6d7722678d</c:v>
                </c:pt>
                <c:pt idx="91">
                  <c:v>2059c39f76271d4ca3f15b5ffaccc8b8</c:v>
                </c:pt>
                <c:pt idx="92">
                  <c:v>20d83f3ef0e6925fd74bfd59170babf7</c:v>
                </c:pt>
                <c:pt idx="93">
                  <c:v>2138ccb85b11a4ec1e37afbd1c8eda1f</c:v>
                </c:pt>
                <c:pt idx="94">
                  <c:v>213b25e6f54661939f11710a6fddb871</c:v>
                </c:pt>
                <c:pt idx="95">
                  <c:v>2156f2671501a81034d7d07f217609d0</c:v>
                </c:pt>
                <c:pt idx="96">
                  <c:v>218d46b86c1881d022bce9c68a7d4b15</c:v>
                </c:pt>
                <c:pt idx="97">
                  <c:v>2199e7fe213c16213bf5d6a7eadc9a5d</c:v>
                </c:pt>
                <c:pt idx="98">
                  <c:v>21c62b998a043ebe31161d38f84929fc</c:v>
                </c:pt>
                <c:pt idx="99">
                  <c:v>229c3efbfb0ea2058de4ccdfbc3d784a</c:v>
                </c:pt>
                <c:pt idx="100">
                  <c:v>23c38debaffe4a25a30fdbd9b586a13f</c:v>
                </c:pt>
                <c:pt idx="101">
                  <c:v>23d7c96d4a1160db1c726b248601b25a</c:v>
                </c:pt>
                <c:pt idx="102">
                  <c:v>2528513dd95219a6013d4d05176e391a</c:v>
                </c:pt>
                <c:pt idx="103">
                  <c:v>252e76235acb79183cfca6e34f13337d</c:v>
                </c:pt>
                <c:pt idx="104">
                  <c:v>259f7b5e6e482c230e5bfaa670b6bb8f</c:v>
                </c:pt>
                <c:pt idx="105">
                  <c:v>25be943a321c8938947bdaabca979a90</c:v>
                </c:pt>
                <c:pt idx="106">
                  <c:v>25c5c91f63607446a97b143d2d535d31</c:v>
                </c:pt>
                <c:pt idx="107">
                  <c:v>25cf099de44674fde97473224f9d59ab</c:v>
                </c:pt>
                <c:pt idx="108">
                  <c:v>25e6ffe976bd75618accfe16cefcbd0d</c:v>
                </c:pt>
                <c:pt idx="109">
                  <c:v>2709af9587499e95e803a6498a5a56e9</c:v>
                </c:pt>
                <c:pt idx="110">
                  <c:v>270d3ef21830ad0ecf3a6c53d08a533a</c:v>
                </c:pt>
                <c:pt idx="111">
                  <c:v>282f23a9769b2690c5dda22e316f9941</c:v>
                </c:pt>
                <c:pt idx="112">
                  <c:v>289cdb325fb7e7f891c38608bf9e0962</c:v>
                </c:pt>
                <c:pt idx="113">
                  <c:v>29e6e05b65f93bc224c644319dc52ecf</c:v>
                </c:pt>
                <c:pt idx="114">
                  <c:v>2a1348e9addc1af5aaa619b1a3679d6b</c:v>
                </c:pt>
                <c:pt idx="115">
                  <c:v>2a261b5b644fa05f4f2700eb93544f2c</c:v>
                </c:pt>
                <c:pt idx="116">
                  <c:v>2a61c271b1ac763450d846849783e922</c:v>
                </c:pt>
                <c:pt idx="117">
                  <c:v>2a6fbeaa7ab9e5d59a35841a8da71ce4</c:v>
                </c:pt>
                <c:pt idx="118">
                  <c:v>2a84855fd20af891be03bc5924d2b453</c:v>
                </c:pt>
                <c:pt idx="119">
                  <c:v>2aa3443d7bf9d9bb11133f420d75e083</c:v>
                </c:pt>
                <c:pt idx="120">
                  <c:v>2b1a40c1daabc6ca280c4b815c101841</c:v>
                </c:pt>
                <c:pt idx="121">
                  <c:v>2c9e548be18521d1c43cde1c582c6de8</c:v>
                </c:pt>
                <c:pt idx="122">
                  <c:v>2cb98e27ce1c18abdb42209b34c382a7</c:v>
                </c:pt>
                <c:pt idx="123">
                  <c:v>2d2c62bef4c8ba0dd74e0e228e808539</c:v>
                </c:pt>
                <c:pt idx="124">
                  <c:v>2d50d6282f8aa2257819a77bfaa0efe0</c:v>
                </c:pt>
                <c:pt idx="125">
                  <c:v>2dee2ce60de9709b1a24083217181a1f</c:v>
                </c:pt>
                <c:pt idx="126">
                  <c:v>2e0dba2da448400b1c11d7b4b22f32a4</c:v>
                </c:pt>
                <c:pt idx="127">
                  <c:v>2e1c9f22be269ef4643f826c9e650a52</c:v>
                </c:pt>
                <c:pt idx="128">
                  <c:v>2e90cb1677d35cfe24eef47d441b7c87</c:v>
                </c:pt>
                <c:pt idx="129">
                  <c:v>2eb70248d66e0e3ef83659f71b244378</c:v>
                </c:pt>
                <c:pt idx="130">
                  <c:v>3078096983cf766a32a06257648502d1</c:v>
                </c:pt>
                <c:pt idx="131">
                  <c:v>30829ded4523ab9224b93bc49a62c95f</c:v>
                </c:pt>
                <c:pt idx="132">
                  <c:v>312ba1d77e9c332ef21f9598b7f64cd7</c:v>
                </c:pt>
                <c:pt idx="133">
                  <c:v>31344c16881c08a8a72c6d2eb29918c1</c:v>
                </c:pt>
                <c:pt idx="134">
                  <c:v>31561f325664a8a7aba4c8d0c3a9b3db</c:v>
                </c:pt>
                <c:pt idx="135">
                  <c:v>318f287a62ab7ac10b703ac37435a231</c:v>
                </c:pt>
                <c:pt idx="136">
                  <c:v>31da954dc0855f2495c6310f70a2f931</c:v>
                </c:pt>
                <c:pt idx="137">
                  <c:v>323ce52b5b81df2cd804b017b7f09aa7</c:v>
                </c:pt>
                <c:pt idx="138">
                  <c:v>325f3178fb58e2a9778334621eecdbf9</c:v>
                </c:pt>
                <c:pt idx="139">
                  <c:v>3340ef1913fb70d28420f6ceb685c339</c:v>
                </c:pt>
                <c:pt idx="140">
                  <c:v>33576ec5412fb5905d876f12f33bfde6</c:v>
                </c:pt>
                <c:pt idx="141">
                  <c:v>3361277dc30b7cccdb0c286b24219756</c:v>
                </c:pt>
                <c:pt idx="142">
                  <c:v>33a6f4b1e7cdc205511e76ba1b6e0186</c:v>
                </c:pt>
                <c:pt idx="143">
                  <c:v>34056b8b55c1775a22af2331670a799c</c:v>
                </c:pt>
                <c:pt idx="144">
                  <c:v>34d1ca11b242c0fee2c834ae8d788566</c:v>
                </c:pt>
                <c:pt idx="145">
                  <c:v>3504c0cb71d7fa48d967e0e4c94d59d9</c:v>
                </c:pt>
                <c:pt idx="146">
                  <c:v>36a968b544695394e4e9d7572688598f</c:v>
                </c:pt>
                <c:pt idx="147">
                  <c:v>373ee4a3a775a733770ca3f790b8b9ac</c:v>
                </c:pt>
                <c:pt idx="148">
                  <c:v>37515688008a7a40ac93e3b2e4ab203f</c:v>
                </c:pt>
                <c:pt idx="149">
                  <c:v>3785b653b1b82de85ab47dd139938091</c:v>
                </c:pt>
                <c:pt idx="150">
                  <c:v>37be5a7c751166fbc5f8ccba4119e043</c:v>
                </c:pt>
                <c:pt idx="151">
                  <c:v>382229d1e840115ffe3dbf5ff460e417</c:v>
                </c:pt>
                <c:pt idx="152">
                  <c:v>38e679b9e0064cd94c6f035707344dae</c:v>
                </c:pt>
                <c:pt idx="153">
                  <c:v>38e6dada03429a47197d5d584d793b41</c:v>
                </c:pt>
                <c:pt idx="154">
                  <c:v>391fc6631aebcf3004804e51b40bcf1e</c:v>
                </c:pt>
                <c:pt idx="155">
                  <c:v>392353362d22cc2c236e1ee81ff19890</c:v>
                </c:pt>
                <c:pt idx="156">
                  <c:v>392e0502231ae2f8b29994ef6398cd77</c:v>
                </c:pt>
                <c:pt idx="157">
                  <c:v>3a490ba60afa30ece0e7d50cfe74a4f0</c:v>
                </c:pt>
                <c:pt idx="158">
                  <c:v>3a734b715d333a2588a3d54a0c9b8746</c:v>
                </c:pt>
                <c:pt idx="159">
                  <c:v>3afc536624bc2e65bddfb5db33cc01f3</c:v>
                </c:pt>
                <c:pt idx="160">
                  <c:v>3b15288545f8928d3e65a8f949a28291</c:v>
                </c:pt>
                <c:pt idx="161">
                  <c:v>3b872fd4747f01cc56206f2934198618</c:v>
                </c:pt>
                <c:pt idx="162">
                  <c:v>3bb548e3cb7f70f28e3f11ee9dce0e59</c:v>
                </c:pt>
                <c:pt idx="163">
                  <c:v>3c03b12bab54d8b37d79d914bfdb1aa0</c:v>
                </c:pt>
                <c:pt idx="164">
                  <c:v>3c487ae8f8d7542beff5788e2e0aea83</c:v>
                </c:pt>
                <c:pt idx="165">
                  <c:v>3c7c4a49ec3c6550809089c6a2ca9370</c:v>
                </c:pt>
                <c:pt idx="166">
                  <c:v>3cfa1358a6caa965278721344c8d76f2</c:v>
                </c:pt>
                <c:pt idx="167">
                  <c:v>3d621842b2ed28e2b474132480edac3c</c:v>
                </c:pt>
                <c:pt idx="168">
                  <c:v>3d871de0142ce09b7081e2b9d1733cb1</c:v>
                </c:pt>
                <c:pt idx="169">
                  <c:v>3d8fa2f5b647373c8620330c4e077a9f</c:v>
                </c:pt>
                <c:pt idx="170">
                  <c:v>3db66a856d18a9cba7c9241fc5221c50</c:v>
                </c:pt>
                <c:pt idx="171">
                  <c:v>3dbbce181edfaa4a597ec858c382d2ec</c:v>
                </c:pt>
                <c:pt idx="172">
                  <c:v>3df020b72d3d44b3af9d110fa3940b65</c:v>
                </c:pt>
                <c:pt idx="173">
                  <c:v>406822777a0b9eb5c50e442dd4cd3ec5</c:v>
                </c:pt>
                <c:pt idx="174">
                  <c:v>40d54b51e962dbe09cabbcfd33298dee</c:v>
                </c:pt>
                <c:pt idx="175">
                  <c:v>4170f6a9367e6b5d6401d03ce6d54569</c:v>
                </c:pt>
                <c:pt idx="176">
                  <c:v>41ab63a91b8b264e8c8780368bf1dd5b</c:v>
                </c:pt>
                <c:pt idx="177">
                  <c:v>41b39e28db005d9731d9d485a83b4c38</c:v>
                </c:pt>
                <c:pt idx="178">
                  <c:v>4200ddf1967c5e41e48db62bc6d4b5ac</c:v>
                </c:pt>
                <c:pt idx="179">
                  <c:v>42b729f859728f5079499127a9c2ef37</c:v>
                </c:pt>
                <c:pt idx="180">
                  <c:v>430315b7bb4b6e4b3c978f9dfa9b0558</c:v>
                </c:pt>
                <c:pt idx="181">
                  <c:v>4305fe92735c8a43d154ff6dd2b8d927</c:v>
                </c:pt>
                <c:pt idx="182">
                  <c:v>431af27f296bc6519d890aa5a05fdb11</c:v>
                </c:pt>
                <c:pt idx="183">
                  <c:v>4324dd16853115efb0fd9d0d131ba6f4</c:v>
                </c:pt>
                <c:pt idx="184">
                  <c:v>432c37c9dfba871172ec162e20118b8c</c:v>
                </c:pt>
                <c:pt idx="185">
                  <c:v>4391ea5c5990502176a1dcda44a2373d</c:v>
                </c:pt>
                <c:pt idx="186">
                  <c:v>439a47cc365d6e3bd526812ea9de3c29</c:v>
                </c:pt>
                <c:pt idx="187">
                  <c:v>43f8c9950d11ecd03a0304a49e010da6</c:v>
                </c:pt>
                <c:pt idx="188">
                  <c:v>45ba18c210d42734ec52c0c1c574e9ee</c:v>
                </c:pt>
                <c:pt idx="189">
                  <c:v>46dc3b2cc0980fb8ec44634e21d2718e</c:v>
                </c:pt>
                <c:pt idx="190">
                  <c:v>478bfe564db21eeb44386606aa30b650</c:v>
                </c:pt>
                <c:pt idx="191">
                  <c:v>47efca563408aae19bb7206c2d969ea9</c:v>
                </c:pt>
                <c:pt idx="192">
                  <c:v>48162d548f5b1b11b9d29d1e01f75a61</c:v>
                </c:pt>
                <c:pt idx="193">
                  <c:v>4830e40640734fc1c52cd21127c341d4</c:v>
                </c:pt>
                <c:pt idx="194">
                  <c:v>48436dade18ac8b2bce089ec2a041202</c:v>
                </c:pt>
                <c:pt idx="195">
                  <c:v>485452467ff670447e84a8370c3fc898</c:v>
                </c:pt>
                <c:pt idx="196">
                  <c:v>4869f7a5dfa277a7dca6462dcf3b52b2</c:v>
                </c:pt>
                <c:pt idx="197">
                  <c:v>4917cee8d902e13428c3ec4b1ca6f315</c:v>
                </c:pt>
                <c:pt idx="198">
                  <c:v>4992e76a42cb3aad7a7047e0d3d7e729</c:v>
                </c:pt>
                <c:pt idx="199">
                  <c:v>4a3ca9315b744ce9f8e9374361493884</c:v>
                </c:pt>
                <c:pt idx="200">
                  <c:v>4a3ccda38b2129705f3fb522db62ca31</c:v>
                </c:pt>
                <c:pt idx="201">
                  <c:v>4b9750c8ad28220fe6702d4ecb7c898f</c:v>
                </c:pt>
                <c:pt idx="202">
                  <c:v>4bf2f4ee540798a61f9636d12cd9cc80</c:v>
                </c:pt>
                <c:pt idx="203">
                  <c:v>4c03b9dd4c11ee2cb35c96c49efc9420</c:v>
                </c:pt>
                <c:pt idx="204">
                  <c:v>4c2b230173bb36f9b240f2b8ac11786e</c:v>
                </c:pt>
                <c:pt idx="205">
                  <c:v>4c8b8048e33af2bf94f2eb547746a916</c:v>
                </c:pt>
                <c:pt idx="206">
                  <c:v>4d6d651bd7684af3fffabd5f08d12e5a</c:v>
                </c:pt>
                <c:pt idx="207">
                  <c:v>4e06067cc08b3f41d837768d392c3ee3</c:v>
                </c:pt>
                <c:pt idx="208">
                  <c:v>4e17c65a516f69d023a2ae78b84f28d6</c:v>
                </c:pt>
                <c:pt idx="209">
                  <c:v>4e922959ae960d389249c378d1c939f5</c:v>
                </c:pt>
                <c:pt idx="210">
                  <c:v>4f0d637c1197fd65405ebd755ac9f86b</c:v>
                </c:pt>
                <c:pt idx="211">
                  <c:v>503c1de08ae81a2d86f17951b204db55</c:v>
                </c:pt>
                <c:pt idx="212">
                  <c:v>5058e8c1e82653974541e83690655b4a</c:v>
                </c:pt>
                <c:pt idx="213">
                  <c:v>5160d23075764e18e07c1f4a87fad743</c:v>
                </c:pt>
                <c:pt idx="214">
                  <c:v>516e7738bd8f735ac19a010ee5450d8d</c:v>
                </c:pt>
                <c:pt idx="215">
                  <c:v>51702dc2a3e106c76dbff722b5bf0726</c:v>
                </c:pt>
                <c:pt idx="216">
                  <c:v>51e4e89242cbb846c2deff3dc015650e</c:v>
                </c:pt>
                <c:pt idx="217">
                  <c:v>522620dcb18a6b31cd7bdf73665113a9</c:v>
                </c:pt>
                <c:pt idx="218">
                  <c:v>52562a9f449c3dc3d53f5f5b9ed74903</c:v>
                </c:pt>
                <c:pt idx="219">
                  <c:v>527801b552d0077ffd170872eb49683b</c:v>
                </c:pt>
                <c:pt idx="220">
                  <c:v>52d76513f0c4d97f3b99570e2c94ee31</c:v>
                </c:pt>
                <c:pt idx="221">
                  <c:v>530ec6109d11eaaf87999465c6afee01</c:v>
                </c:pt>
                <c:pt idx="222">
                  <c:v>53243585a1d6dc2643021fd1853d8905</c:v>
                </c:pt>
                <c:pt idx="223">
                  <c:v>53336f97ddbe53e2a617d07b17447b95</c:v>
                </c:pt>
                <c:pt idx="224">
                  <c:v>537eb890efff034a88679788b647c564</c:v>
                </c:pt>
                <c:pt idx="225">
                  <c:v>53e4c6e0f4312d4d2107a8c9cddf45cd</c:v>
                </c:pt>
                <c:pt idx="226">
                  <c:v>54065e9aef7e9e9c2dc23b7594db021a</c:v>
                </c:pt>
                <c:pt idx="227">
                  <c:v>54219883e72aad869adfb2a54b7bfa0f</c:v>
                </c:pt>
                <c:pt idx="228">
                  <c:v>542917da124346b47ea1ac79a93ce454</c:v>
                </c:pt>
                <c:pt idx="229">
                  <c:v>54965bbe3e4f07ae045b90b0b8541f52</c:v>
                </c:pt>
                <c:pt idx="230">
                  <c:v>54a1852d1b8f10312c55e906355666ee</c:v>
                </c:pt>
                <c:pt idx="231">
                  <c:v>54aa8463e87776b5612f4bdc4bd5d4de</c:v>
                </c:pt>
                <c:pt idx="232">
                  <c:v>55029529919c0123526150bd26ca8f20</c:v>
                </c:pt>
                <c:pt idx="233">
                  <c:v>559d56f3b8f0bc2e5a9a62fe2ce2a39f</c:v>
                </c:pt>
                <c:pt idx="234">
                  <c:v>562fc2f2c2863ab7e79a9e4388a58a14</c:v>
                </c:pt>
                <c:pt idx="235">
                  <c:v>5656537e588803a555b8eb41f07a944b</c:v>
                </c:pt>
                <c:pt idx="236">
                  <c:v>56642bcb79900e777d68e91915cb4267</c:v>
                </c:pt>
                <c:pt idx="237">
                  <c:v>5670f4db5b62c43d542e1b2d56b0cf7c</c:v>
                </c:pt>
                <c:pt idx="238">
                  <c:v>56e361f411e38dcef17cdc2a3d99628b</c:v>
                </c:pt>
                <c:pt idx="239">
                  <c:v>582d4f8675b945722eda7c0cb61ba4c7</c:v>
                </c:pt>
                <c:pt idx="240">
                  <c:v>58f1a6197ed863543e0136bdedb3fce2</c:v>
                </c:pt>
                <c:pt idx="241">
                  <c:v>594f9aaa48e5bf431f011ddc5669b0d5</c:v>
                </c:pt>
                <c:pt idx="242">
                  <c:v>5996cddab893a4652a15592fb58ab8db</c:v>
                </c:pt>
                <c:pt idx="243">
                  <c:v>59b22a78efb79a4797979612b885db36</c:v>
                </c:pt>
                <c:pt idx="244">
                  <c:v>59fb871bf6f4522a87ba567b42dafecf</c:v>
                </c:pt>
                <c:pt idx="245">
                  <c:v>5a8e7d5003a1f221f9e1d6e411de7c23</c:v>
                </c:pt>
                <c:pt idx="246">
                  <c:v>5a93f3ab0ef4c84ed5e1b5dbf23978bc</c:v>
                </c:pt>
                <c:pt idx="247">
                  <c:v>5b0cc932433fa5184b5b94bfe6bcc256</c:v>
                </c:pt>
                <c:pt idx="248">
                  <c:v>5b179e9e8cc7ab6fd113a46ca584da81</c:v>
                </c:pt>
                <c:pt idx="249">
                  <c:v>5b2e94f2c22b39ccc24d34ad0f669672</c:v>
                </c:pt>
                <c:pt idx="250">
                  <c:v>5b51032eddd242adc84c38acab88f23d</c:v>
                </c:pt>
                <c:pt idx="251">
                  <c:v>5b67882648febfb6e1225e6ad7164f6b</c:v>
                </c:pt>
                <c:pt idx="252">
                  <c:v>5b85809efd0d0e4dea1a9544e1280ed9</c:v>
                </c:pt>
                <c:pt idx="253">
                  <c:v>5bc237df65098fe211bb4818f4d26d78</c:v>
                </c:pt>
                <c:pt idx="254">
                  <c:v>5bc55dbe2f12b6af6d83ed46023e0dc8</c:v>
                </c:pt>
                <c:pt idx="255">
                  <c:v>5c243662ce92d84573bfaff24c3e3700</c:v>
                </c:pt>
                <c:pt idx="256">
                  <c:v>5cf13accae3222c70a9cac40818ae839</c:v>
                </c:pt>
                <c:pt idx="257">
                  <c:v>5dceca129747e92ff8ef7a997dc4f8ca</c:v>
                </c:pt>
                <c:pt idx="258">
                  <c:v>5f3ae9136c875522250f8184f253413a</c:v>
                </c:pt>
                <c:pt idx="259">
                  <c:v>5f5b43b2bffa8656e4bc6efeb13cc649</c:v>
                </c:pt>
                <c:pt idx="260">
                  <c:v>5f67c6082caacb26e431a7b17940cece</c:v>
                </c:pt>
                <c:pt idx="261">
                  <c:v>5fd924b4836098a5be0ecf81ba054ce0</c:v>
                </c:pt>
                <c:pt idx="262">
                  <c:v>602044f2c16190c2c6e45eb35c2e21cb</c:v>
                </c:pt>
                <c:pt idx="263">
                  <c:v>6039e27294dc75811c0d8a39069f52c0</c:v>
                </c:pt>
                <c:pt idx="264">
                  <c:v>6061155addc1e54b4cfb51c1c2a32ad8</c:v>
                </c:pt>
                <c:pt idx="265">
                  <c:v>609e1a9a6c2539919b8205cf7c4e6ff0</c:v>
                </c:pt>
                <c:pt idx="266">
                  <c:v>610f72e407cdd7caaa2f8167b0163fd8</c:v>
                </c:pt>
                <c:pt idx="267">
                  <c:v>612170e34b97004b3ba37eae81836b4c</c:v>
                </c:pt>
                <c:pt idx="268">
                  <c:v>620c87c171fb2a6dd6e8bb4dec959fc6</c:v>
                </c:pt>
                <c:pt idx="269">
                  <c:v>624f4ece8da4aafb77699233d480f8ef</c:v>
                </c:pt>
                <c:pt idx="270">
                  <c:v>6338ea67c41078a46ad99cc009654956</c:v>
                </c:pt>
                <c:pt idx="271">
                  <c:v>633ecdf879b94b5337cca303328e4a25</c:v>
                </c:pt>
                <c:pt idx="272">
                  <c:v>634964b17796e64304cadf1ad3050fb7</c:v>
                </c:pt>
                <c:pt idx="273">
                  <c:v>63b464dbf392c7b80d12d932fa7cafed</c:v>
                </c:pt>
                <c:pt idx="274">
                  <c:v>640e21a7d01df7614a3b4923e990d40c</c:v>
                </c:pt>
                <c:pt idx="275">
                  <c:v>6426d21aca402a131fc0a5d0960a3c90</c:v>
                </c:pt>
                <c:pt idx="276">
                  <c:v>643214e62b870443ccbe55ab29a4dccf</c:v>
                </c:pt>
                <c:pt idx="277">
                  <c:v>6481e96574816ead57975da2c0f6d80d</c:v>
                </c:pt>
                <c:pt idx="278">
                  <c:v>6560211a19b47992c3666cc44a7e94c0</c:v>
                </c:pt>
                <c:pt idx="279">
                  <c:v>65b081a070633e057c462abdd6fb9dd8</c:v>
                </c:pt>
                <c:pt idx="280">
                  <c:v>65febd49fd28ec955651299159b1f527</c:v>
                </c:pt>
                <c:pt idx="281">
                  <c:v>66922902710d126a0e7d26b0e3805106</c:v>
                </c:pt>
                <c:pt idx="282">
                  <c:v>669ae81880e08f269a64487cfb287169</c:v>
                </c:pt>
                <c:pt idx="283">
                  <c:v>66e0557ecc2b4dbea057e93f215f68d8</c:v>
                </c:pt>
                <c:pt idx="284">
                  <c:v>66fd84ee7528c0c0de85d0f44a73d5ab</c:v>
                </c:pt>
                <c:pt idx="285">
                  <c:v>671585f5a2af58b6e276bc01003c0d2b</c:v>
                </c:pt>
                <c:pt idx="286">
                  <c:v>6860153b69cc696d5dcfe1cdaaafcf62</c:v>
                </c:pt>
                <c:pt idx="287">
                  <c:v>688756f717c462a206ad854c5027a64a</c:v>
                </c:pt>
                <c:pt idx="288">
                  <c:v>6973a06f484aacf400ece213dbf3d946</c:v>
                </c:pt>
                <c:pt idx="289">
                  <c:v>6a38087bc8ad4f89ff453561005f6dea</c:v>
                </c:pt>
                <c:pt idx="290">
                  <c:v>6a51fc556dab5f766ced6fbc860bc613</c:v>
                </c:pt>
                <c:pt idx="291">
                  <c:v>6a8a889bde935bafa76d7848782dfaf9</c:v>
                </c:pt>
                <c:pt idx="292">
                  <c:v>6a8b085f816a1f75f92dbac6eb545f8f</c:v>
                </c:pt>
                <c:pt idx="293">
                  <c:v>6b243f80ed07b10f0e8aa0f21a205f3c</c:v>
                </c:pt>
                <c:pt idx="294">
                  <c:v>6b536a23086fba0d58c08d68814397f6</c:v>
                </c:pt>
                <c:pt idx="295">
                  <c:v>6bd503a8230299c9316fb0f726933927</c:v>
                </c:pt>
                <c:pt idx="296">
                  <c:v>6c7d50c24b3ccd2fd83b44d8bb34e073</c:v>
                </c:pt>
                <c:pt idx="297">
                  <c:v>6cd68b3ed6d59aaa9fece558ad360c0a</c:v>
                </c:pt>
                <c:pt idx="298">
                  <c:v>6cf476a4ca74498db55cbccdaa9dcfb6</c:v>
                </c:pt>
                <c:pt idx="299">
                  <c:v>6d66611d7c44cc30ce351abc49a68421</c:v>
                </c:pt>
                <c:pt idx="300">
                  <c:v>6df688df543f90e9b38f4319e75a9d88</c:v>
                </c:pt>
                <c:pt idx="301">
                  <c:v>6e864f5c4669eff3d98140a07cc50202</c:v>
                </c:pt>
                <c:pt idx="302">
                  <c:v>6edacfd9f9074789dad6d62ba7950b9c</c:v>
                </c:pt>
                <c:pt idx="303">
                  <c:v>6f892e20a171e98efe17fdb971ff319b</c:v>
                </c:pt>
                <c:pt idx="304">
                  <c:v>6fc26fe110feebd80a433e1f012a84f9</c:v>
                </c:pt>
                <c:pt idx="305">
                  <c:v>6fd52c528dcb38be2eea044946b811f8</c:v>
                </c:pt>
                <c:pt idx="306">
                  <c:v>7008613ea464bad5cb9b83456e1e6a8f</c:v>
                </c:pt>
                <c:pt idx="307">
                  <c:v>701938c450705b8ae65fc923b70f35c7</c:v>
                </c:pt>
                <c:pt idx="308">
                  <c:v>702835e4b785b67a084280efca355756</c:v>
                </c:pt>
                <c:pt idx="309">
                  <c:v>7040e82f899a04d1b434b795a43b4617</c:v>
                </c:pt>
                <c:pt idx="310">
                  <c:v>70849ca4f400aaabb62cb7462a6f1428</c:v>
                </c:pt>
                <c:pt idx="311">
                  <c:v>709e16e2b25c7474d980076c6bfc4806</c:v>
                </c:pt>
                <c:pt idx="312">
                  <c:v>70a12e78e608ac31179aea7f8422044b</c:v>
                </c:pt>
                <c:pt idx="313">
                  <c:v>70c27847eca8195c983ed7e798c56743</c:v>
                </c:pt>
                <c:pt idx="314">
                  <c:v>710e3548e02bc1d2831dfc4f1b5b14d4</c:v>
                </c:pt>
                <c:pt idx="315">
                  <c:v>7139dc5186aa238b006e066d8fbab2e4</c:v>
                </c:pt>
                <c:pt idx="316">
                  <c:v>7142540dd4c91e2237acb7e911c4eba2</c:v>
                </c:pt>
                <c:pt idx="317">
                  <c:v>715bbd5ba4e6b74cb0d2f29eb45058b0</c:v>
                </c:pt>
                <c:pt idx="318">
                  <c:v>718539d38d07dd351c76db862760e2e2</c:v>
                </c:pt>
                <c:pt idx="319">
                  <c:v>71dc18fd8cbf5fd77f45dd8b427abb34</c:v>
                </c:pt>
                <c:pt idx="320">
                  <c:v>7202e2ba20579a9bd1acb29e61fe71f6</c:v>
                </c:pt>
                <c:pt idx="321">
                  <c:v>7210cd29727d674c00741e5e387b3ccd</c:v>
                </c:pt>
                <c:pt idx="322">
                  <c:v>725c32fa80c2faacc4fc88450d27314e</c:v>
                </c:pt>
                <c:pt idx="323">
                  <c:v>7299e27ed73d2ad986de7f7c77d919fa</c:v>
                </c:pt>
                <c:pt idx="324">
                  <c:v>729b2d09b2a0bdab221076327f13d050</c:v>
                </c:pt>
                <c:pt idx="325">
                  <c:v>729f06993dac8e860d4f02d7088ca48a</c:v>
                </c:pt>
                <c:pt idx="326">
                  <c:v>72c5da29406b4234927b81855e7b64f6</c:v>
                </c:pt>
                <c:pt idx="327">
                  <c:v>7357b52d27cbaa90f81a96cbc1279396</c:v>
                </c:pt>
                <c:pt idx="328">
                  <c:v>7586919161935337bf6b6d7ff5779648</c:v>
                </c:pt>
                <c:pt idx="329">
                  <c:v>75d34ebb1bd0bd7dde40dd507b8169c3</c:v>
                </c:pt>
                <c:pt idx="330">
                  <c:v>76c47a299e4a8fe992316a85865acbe9</c:v>
                </c:pt>
                <c:pt idx="331">
                  <c:v>76d5af76d0271110f9af36c92573f765</c:v>
                </c:pt>
                <c:pt idx="332">
                  <c:v>76d64c4aca3a7baf218bf93ef7fa768d</c:v>
                </c:pt>
                <c:pt idx="333">
                  <c:v>7722b1df1b0e383e000397b2c11e3e19</c:v>
                </c:pt>
                <c:pt idx="334">
                  <c:v>77530e9772f57a62c906e1c21538ab82</c:v>
                </c:pt>
                <c:pt idx="335">
                  <c:v>77a515caa36327151d1cc6c32a9f00e1</c:v>
                </c:pt>
                <c:pt idx="336">
                  <c:v>784ba75dd9d20200c4caed3d7a77141a</c:v>
                </c:pt>
                <c:pt idx="337">
                  <c:v>7901646fdd36a55f564ffaf2dbccaaf7</c:v>
                </c:pt>
                <c:pt idx="338">
                  <c:v>79ebd9a61bac3eaf882805ed4ecfa12a</c:v>
                </c:pt>
                <c:pt idx="339">
                  <c:v>79ed755314cfe6df0daef2c6cd3022cd</c:v>
                </c:pt>
                <c:pt idx="340">
                  <c:v>7a241947449cc45dbfda4f9d0798d9d0</c:v>
                </c:pt>
                <c:pt idx="341">
                  <c:v>7a67c85e85bb2ce8582c35f2203ad736</c:v>
                </c:pt>
                <c:pt idx="342">
                  <c:v>7ad32824caee82087b3e2e5f33b1bf32</c:v>
                </c:pt>
                <c:pt idx="343">
                  <c:v>7b07b3c7487f0ea825fc6df75abd658b</c:v>
                </c:pt>
                <c:pt idx="344">
                  <c:v>7b0df942f46435babab05d49b744b2c4</c:v>
                </c:pt>
                <c:pt idx="345">
                  <c:v>7b7f91e98f8c6def45a1407923304402</c:v>
                </c:pt>
                <c:pt idx="346">
                  <c:v>7c5b05cbdb5542049f38d90d7815b97d</c:v>
                </c:pt>
                <c:pt idx="347">
                  <c:v>7c67e1448b00f6e969d365cea6b010ab</c:v>
                </c:pt>
                <c:pt idx="348">
                  <c:v>7d13fca15225358621be4086e1eb0964</c:v>
                </c:pt>
                <c:pt idx="349">
                  <c:v>7d456afc660226829370f3173d14520c</c:v>
                </c:pt>
                <c:pt idx="350">
                  <c:v>7d76b645482be4a332374e8223836592</c:v>
                </c:pt>
                <c:pt idx="351">
                  <c:v>7d7866a99a8656a42c7ff6352a433410</c:v>
                </c:pt>
                <c:pt idx="352">
                  <c:v>7ddcbb64b5bc1ef36ca8c151f6ec77df</c:v>
                </c:pt>
                <c:pt idx="353">
                  <c:v>7e1fb0a3ebfb01ffb3a7dae98bf3238d</c:v>
                </c:pt>
                <c:pt idx="354">
                  <c:v>7e93a43ef30c4f03f38b393420bc753a</c:v>
                </c:pt>
                <c:pt idx="355">
                  <c:v>80e6699fe29150b372a0c8a1ebf7dcc8</c:v>
                </c:pt>
                <c:pt idx="356">
                  <c:v>813348c996469b40f2e028d5429d3495</c:v>
                </c:pt>
                <c:pt idx="357">
                  <c:v>8160255418d5aaa7dbdc9f4c64ebda44</c:v>
                </c:pt>
                <c:pt idx="358">
                  <c:v>817245bcc3badd82bbd222e0366951a6</c:v>
                </c:pt>
                <c:pt idx="359">
                  <c:v>81a1104df0f08b59c68aa5b03cfe398e</c:v>
                </c:pt>
                <c:pt idx="360">
                  <c:v>81f89e42267213cb94da7ddc301651da</c:v>
                </c:pt>
                <c:pt idx="361">
                  <c:v>822bad9bc42b51213ba522fe87b7ab5d</c:v>
                </c:pt>
                <c:pt idx="362">
                  <c:v>827f8f69dfa529c561901c4f2e0f332f</c:v>
                </c:pt>
                <c:pt idx="363">
                  <c:v>834f3294fba9f932f56edc879193f925</c:v>
                </c:pt>
                <c:pt idx="364">
                  <c:v>835f0f7810c76831d6c7d24c7a646d4d</c:v>
                </c:pt>
                <c:pt idx="365">
                  <c:v>83e197e95a1bbabc8c75e883ed016c47</c:v>
                </c:pt>
                <c:pt idx="366">
                  <c:v>8444e55c1f13cd5c179851e5ca5ebd00</c:v>
                </c:pt>
                <c:pt idx="367">
                  <c:v>850f4f8af5ea87287ac68de36e29107f</c:v>
                </c:pt>
                <c:pt idx="368">
                  <c:v>855668e0971d4dfd7bef1b6a4133b41b</c:v>
                </c:pt>
                <c:pt idx="369">
                  <c:v>8581055ce74af1daba164fdbd55a40de</c:v>
                </c:pt>
                <c:pt idx="370">
                  <c:v>85d9eb9ddc5d00ca9336a2219c97bb13</c:v>
                </c:pt>
                <c:pt idx="371">
                  <c:v>8602a61d680a10a82cceeeda0d99ea3d</c:v>
                </c:pt>
                <c:pt idx="372">
                  <c:v>8648b1e89e9b349e32d3741b30ec737e</c:v>
                </c:pt>
                <c:pt idx="373">
                  <c:v>86ccac0b835037332a596a33b6949ee1</c:v>
                </c:pt>
                <c:pt idx="374">
                  <c:v>870d0118f7a9d85960f29ad89d5d989a</c:v>
                </c:pt>
                <c:pt idx="375">
                  <c:v>87142160b41353c4e5fca2360caf6f92</c:v>
                </c:pt>
                <c:pt idx="376">
                  <c:v>87d30a6a0cbf89356e49324971ab1d24</c:v>
                </c:pt>
                <c:pt idx="377">
                  <c:v>87e24fc7052259b1f7f607d61c10d8be</c:v>
                </c:pt>
                <c:pt idx="378">
                  <c:v>88460e8ebdecbfecb5f9601833981930</c:v>
                </c:pt>
                <c:pt idx="379">
                  <c:v>8931a84a914b3fe9b1ddaa4d704947ca</c:v>
                </c:pt>
                <c:pt idx="380">
                  <c:v>897060da8b9a21f655304d50fd935913</c:v>
                </c:pt>
                <c:pt idx="381">
                  <c:v>8a32e327fe2c1b3511609d81aaf9f042</c:v>
                </c:pt>
                <c:pt idx="382">
                  <c:v>8a432f4e5b471f8da497d7dc517666e2</c:v>
                </c:pt>
                <c:pt idx="383">
                  <c:v>8a87611c08849ffeeccab52aa798b6c7</c:v>
                </c:pt>
                <c:pt idx="384">
                  <c:v>8ae520247981aa06bc94abddf5f46d34</c:v>
                </c:pt>
                <c:pt idx="385">
                  <c:v>8b2492b7ff4468839593fafeed55bad9</c:v>
                </c:pt>
                <c:pt idx="386">
                  <c:v>8b28d096634035667e8263d57ba3368c</c:v>
                </c:pt>
                <c:pt idx="387">
                  <c:v>8b321bb669392f5163d04c59e235e066</c:v>
                </c:pt>
                <c:pt idx="388">
                  <c:v>8b87cd0d43d49b9bdf40f56229364d59</c:v>
                </c:pt>
                <c:pt idx="389">
                  <c:v>8b9d6eec4a7eb7d0f9d579ce0b38324d</c:v>
                </c:pt>
                <c:pt idx="390">
                  <c:v>8c16d1f32a54d92897cc437244442e1b</c:v>
                </c:pt>
                <c:pt idx="391">
                  <c:v>8cbac7e12637ed9cffa18c7875207478</c:v>
                </c:pt>
                <c:pt idx="392">
                  <c:v>8cc6a0e5738e61a87b03c78b2ba9db4b</c:v>
                </c:pt>
                <c:pt idx="393">
                  <c:v>8d79c8a04e42d722a75097ce5cbcf2ef</c:v>
                </c:pt>
                <c:pt idx="394">
                  <c:v>8d956fec2e4337affcb520f56fd8cbfd</c:v>
                </c:pt>
                <c:pt idx="395">
                  <c:v>8e6cc767478edae941d9bd9eb778d77a</c:v>
                </c:pt>
                <c:pt idx="396">
                  <c:v>8e6d7754bc7e0f22c96d255ebda59eba</c:v>
                </c:pt>
                <c:pt idx="397">
                  <c:v>8e8a7ce9f2f970dc00e2acf6f6e199f6</c:v>
                </c:pt>
                <c:pt idx="398">
                  <c:v>8ed8ea9a57c862f2c18c2fe41f601d56</c:v>
                </c:pt>
                <c:pt idx="399">
                  <c:v>8f119a0aee85c0c8fc534629734e94fd</c:v>
                </c:pt>
                <c:pt idx="400">
                  <c:v>8f2ce03f928b567e3d56181ae20ae952</c:v>
                </c:pt>
                <c:pt idx="401">
                  <c:v>8f78f0903005064036736c7173a5c2ed</c:v>
                </c:pt>
                <c:pt idx="402">
                  <c:v>900ba814c251a692506d7834c1218441</c:v>
                </c:pt>
                <c:pt idx="403">
                  <c:v>91f0eec23d4a61d7d7caeefa3f0ad1ca</c:v>
                </c:pt>
                <c:pt idx="404">
                  <c:v>92eb0f42c21942b6552362b9b114707d</c:v>
                </c:pt>
                <c:pt idx="405">
                  <c:v>94144541854e298c2d976cb893b81343</c:v>
                </c:pt>
                <c:pt idx="406">
                  <c:v>94e93ce877be27a515118dbfd2c2be41</c:v>
                </c:pt>
                <c:pt idx="407">
                  <c:v>951e8cef368f09bb3f3d03c00ca4702c</c:v>
                </c:pt>
                <c:pt idx="408">
                  <c:v>955fee9216a65b617aa5c0531780ce60</c:v>
                </c:pt>
                <c:pt idx="409">
                  <c:v>95e03ca3d4146e4011985981aeb959b9</c:v>
                </c:pt>
                <c:pt idx="410">
                  <c:v>95ec4458365c4d11f452ccf538377619</c:v>
                </c:pt>
                <c:pt idx="411">
                  <c:v>9616352088dcf83a7c06637f4ebf1c80</c:v>
                </c:pt>
                <c:pt idx="412">
                  <c:v>9646c3513289980f17226a2fc4720dbd</c:v>
                </c:pt>
                <c:pt idx="413">
                  <c:v>96493fab2fbb13a14d0c0e8772eef5c3</c:v>
                </c:pt>
                <c:pt idx="414">
                  <c:v>966cb4760537b1404caedd472cc610a5</c:v>
                </c:pt>
                <c:pt idx="415">
                  <c:v>9674754b5a0cb32b638cec001178f799</c:v>
                </c:pt>
                <c:pt idx="416">
                  <c:v>974cf2cb8f4b7add98709c30df02fe10</c:v>
                </c:pt>
                <c:pt idx="417">
                  <c:v>97512d3fc193b2d1dfcdba0f9d1f0f8a</c:v>
                </c:pt>
                <c:pt idx="418">
                  <c:v>98dac6635aee4995d501a3972e047414</c:v>
                </c:pt>
                <c:pt idx="419">
                  <c:v>99002261c568a84cce14d43fcffb43ea</c:v>
                </c:pt>
                <c:pt idx="420">
                  <c:v>994f04b3718c2bab35c2adfa8afecd2a</c:v>
                </c:pt>
                <c:pt idx="421">
                  <c:v>99a54764c341d5dc80b4a8fac4eba3fb</c:v>
                </c:pt>
                <c:pt idx="422">
                  <c:v>99eaacc9e6046db1c82b163c5f84869f</c:v>
                </c:pt>
                <c:pt idx="423">
                  <c:v>9a03a4e9eb0b947652fae4f6121a3f5e</c:v>
                </c:pt>
                <c:pt idx="424">
                  <c:v>9b013e03b2ab786505a1d3b5c0756754</c:v>
                </c:pt>
                <c:pt idx="425">
                  <c:v>9baf5cb77970f539089d09a38bcec5c3</c:v>
                </c:pt>
                <c:pt idx="426">
                  <c:v>9c0e69c7bf2619675bbadf47b43f655a</c:v>
                </c:pt>
                <c:pt idx="427">
                  <c:v>9c1c0c36cd23c20897e473901a8fb149</c:v>
                </c:pt>
                <c:pt idx="428">
                  <c:v>9c7fd21e0aa159b20da593371f08ff7c</c:v>
                </c:pt>
                <c:pt idx="429">
                  <c:v>9d5a9018aee56acb367ba9c3f05d1d6a</c:v>
                </c:pt>
                <c:pt idx="430">
                  <c:v>9d7a1d34a5052409006425275ba1c2b4</c:v>
                </c:pt>
                <c:pt idx="431">
                  <c:v>9dda5bbacd45e18d6485fee649205d09</c:v>
                </c:pt>
                <c:pt idx="432">
                  <c:v>9de4643a8dbde634fe55621059d92273</c:v>
                </c:pt>
                <c:pt idx="433">
                  <c:v>9e6229250fedbe05838fef417b74e7fb</c:v>
                </c:pt>
                <c:pt idx="434">
                  <c:v>9f505651f4a6abe901a56cdc21508025</c:v>
                </c:pt>
                <c:pt idx="435">
                  <c:v>a1043bafd471dff536d0c462352beb48</c:v>
                </c:pt>
                <c:pt idx="436">
                  <c:v>a17f621c590ea0fab3d5d883e1630ec6</c:v>
                </c:pt>
                <c:pt idx="437">
                  <c:v>a2deecd5398f5df4987110c80a1972a3</c:v>
                </c:pt>
                <c:pt idx="438">
                  <c:v>a2e874074c877c5a05abae80ad6e488f</c:v>
                </c:pt>
                <c:pt idx="439">
                  <c:v>a35124e2d763d7ca3fbe3b97d143200f</c:v>
                </c:pt>
                <c:pt idx="440">
                  <c:v>a369d693961cb93b61ca2cc518872a85</c:v>
                </c:pt>
                <c:pt idx="441">
                  <c:v>a3a38f4affed601eb87a97788c949667</c:v>
                </c:pt>
                <c:pt idx="442">
                  <c:v>a3b0df0065e264a91b7bbf5f844af5cd</c:v>
                </c:pt>
                <c:pt idx="443">
                  <c:v>a3e9a2c700480d9bb01fba070ba80a0e</c:v>
                </c:pt>
                <c:pt idx="444">
                  <c:v>a416b6a846a11724393025641d4edd5e</c:v>
                </c:pt>
                <c:pt idx="445">
                  <c:v>a420f60ff1aa9acc80d0e42959f2b313</c:v>
                </c:pt>
                <c:pt idx="446">
                  <c:v>a49928bcdf77c55c6d6e05e09a9b4ca5</c:v>
                </c:pt>
                <c:pt idx="447">
                  <c:v>a4b6b9b992b46e9ef863637af96e04bc</c:v>
                </c:pt>
                <c:pt idx="448">
                  <c:v>a5259c149128e82c9d6d46e0c1c812bb</c:v>
                </c:pt>
                <c:pt idx="449">
                  <c:v>a5cba26a62b8b4d0145b68b841e62e7f</c:v>
                </c:pt>
                <c:pt idx="450">
                  <c:v>a673821011d0cec28146ea42f5ab767f</c:v>
                </c:pt>
                <c:pt idx="451">
                  <c:v>a6fe7de3d16f6149ffe280349a8535a0</c:v>
                </c:pt>
                <c:pt idx="452">
                  <c:v>a72c2f59332659e361d647515c698798</c:v>
                </c:pt>
                <c:pt idx="453">
                  <c:v>a7f13822ceb966b076af67121f87b063</c:v>
                </c:pt>
                <c:pt idx="454">
                  <c:v>a888faf2d1baececa6baf9c3d603ee1f</c:v>
                </c:pt>
                <c:pt idx="455">
                  <c:v>aa762680c40618316a896838866140ea</c:v>
                </c:pt>
                <c:pt idx="456">
                  <c:v>aac29b1b99776be73c3049939652091d</c:v>
                </c:pt>
                <c:pt idx="457">
                  <c:v>aaed1309374718fdd995ee4c58c9dfcd</c:v>
                </c:pt>
                <c:pt idx="458">
                  <c:v>aafe36600ce604f205b86b5084d3d767</c:v>
                </c:pt>
                <c:pt idx="459">
                  <c:v>aba1721a889e04decc910aa13b768ef4</c:v>
                </c:pt>
                <c:pt idx="460">
                  <c:v>abbf6046bbdf1028606a5bc7f00c99e7</c:v>
                </c:pt>
                <c:pt idx="461">
                  <c:v>abcd2cb37d46c2c8fb1bf071c859fc5b</c:v>
                </c:pt>
                <c:pt idx="462">
                  <c:v>ac3508719a1d8f5b7614b798f70af136</c:v>
                </c:pt>
                <c:pt idx="463">
                  <c:v>acadd4d36859671cb635527c6c977533</c:v>
                </c:pt>
                <c:pt idx="464">
                  <c:v>acb6c2ca5c82411c1fdb88d5fd5eb95e</c:v>
                </c:pt>
                <c:pt idx="465">
                  <c:v>acce39e832338debb07b02385cde5967</c:v>
                </c:pt>
                <c:pt idx="466">
                  <c:v>ad273c9eb54ecb4532de4bf75bae9e4e</c:v>
                </c:pt>
                <c:pt idx="467">
                  <c:v>ad420dd0c4f92f8af951ac24b86d0cf5</c:v>
                </c:pt>
                <c:pt idx="468">
                  <c:v>adbc26658d6c7b4b6219f9d934598091</c:v>
                </c:pt>
                <c:pt idx="469">
                  <c:v>af7cdac9d9897cddead9c6b08976c642</c:v>
                </c:pt>
                <c:pt idx="470">
                  <c:v>afa6714acee029b2dfdf357e5579cc03</c:v>
                </c:pt>
                <c:pt idx="471">
                  <c:v>b01c2b7b8599b325103ebcddc67413e1</c:v>
                </c:pt>
                <c:pt idx="472">
                  <c:v>b1204cfda1d4948679db3cfc0d3cb95c</c:v>
                </c:pt>
                <c:pt idx="473">
                  <c:v>b16d3dadc47d4eb18be3d88bad0775ce</c:v>
                </c:pt>
                <c:pt idx="474">
                  <c:v>b17b679f4f5ce2e03ce6968c62648246</c:v>
                </c:pt>
                <c:pt idx="475">
                  <c:v>b1a81260566c1bac3114a6d124413f27</c:v>
                </c:pt>
                <c:pt idx="476">
                  <c:v>b1b3948701c5c72445495bd161b83a4c</c:v>
                </c:pt>
                <c:pt idx="477">
                  <c:v>b1fc4f64df5a0e8b6913ab38803c57a9</c:v>
                </c:pt>
                <c:pt idx="478">
                  <c:v>b2479f944e1b90cf8a5de1bbfde284d6</c:v>
                </c:pt>
                <c:pt idx="479">
                  <c:v>b2a6d334e2833acea353624840e25a0e</c:v>
                </c:pt>
                <c:pt idx="480">
                  <c:v>b2ac621f0d0322434d04a12b078b9369</c:v>
                </c:pt>
                <c:pt idx="481">
                  <c:v>b2ba3715d723d245138f291a6fe42594</c:v>
                </c:pt>
                <c:pt idx="482">
                  <c:v>b32be1695eb7ec5f10f72d9610a12527</c:v>
                </c:pt>
                <c:pt idx="483">
                  <c:v>b33e7c55446eabf8fe1a42d037ac7d6d</c:v>
                </c:pt>
                <c:pt idx="484">
                  <c:v>b372ee768ed69e46ca8cdbd267aa7a38</c:v>
                </c:pt>
                <c:pt idx="485">
                  <c:v>b37c4c02bda3161a7546a4e6d222d5b2</c:v>
                </c:pt>
                <c:pt idx="486">
                  <c:v>b410bdd36d5db7a65dcd42b7ead933b8</c:v>
                </c:pt>
                <c:pt idx="487">
                  <c:v>b494891378bd8f4560abe576c52deacd</c:v>
                </c:pt>
                <c:pt idx="488">
                  <c:v>b499c00f28f4b7069ff6550af8c1348a</c:v>
                </c:pt>
                <c:pt idx="489">
                  <c:v>b4f8921fcc4ff77b66bea6dda43dcd51</c:v>
                </c:pt>
                <c:pt idx="490">
                  <c:v>b4ffb71f0cb1b1c3d63fad021ecf93e1</c:v>
                </c:pt>
                <c:pt idx="491">
                  <c:v>b561927807645834b59ef0d16ba55a24</c:v>
                </c:pt>
                <c:pt idx="492">
                  <c:v>b56906f7fd1696e043f1bcce164c487b</c:v>
                </c:pt>
                <c:pt idx="493">
                  <c:v>b64d51f0435e884e8de603b1655155ae</c:v>
                </c:pt>
                <c:pt idx="494">
                  <c:v>b6d44737c043328708f6749c2dbe50bd</c:v>
                </c:pt>
                <c:pt idx="495">
                  <c:v>b74d1c09cb380e1d03a6f859c6f4224b</c:v>
                </c:pt>
                <c:pt idx="496">
                  <c:v>b76dba6c951ab00dc4edf0a1aa88037e</c:v>
                </c:pt>
                <c:pt idx="497">
                  <c:v>b839e41795b7f3ad94cc2014a52f6796</c:v>
                </c:pt>
                <c:pt idx="498">
                  <c:v>b83cedfb587e7911540e3f576d6917ce</c:v>
                </c:pt>
                <c:pt idx="499">
                  <c:v>b8578d2d823bd8e251f6fdd02b40902d</c:v>
                </c:pt>
                <c:pt idx="500">
                  <c:v>b92e3c8f9738272ff7c59e111e108d7c</c:v>
                </c:pt>
                <c:pt idx="501">
                  <c:v>ba143b05f0110f0dc71ad71b4466ce92</c:v>
                </c:pt>
                <c:pt idx="502">
                  <c:v>ba90964cff9b9e0e6f32b23b82465f7b</c:v>
                </c:pt>
                <c:pt idx="503">
                  <c:v>bacb1f0ed56ad24198f5810d2b3fe9a5</c:v>
                </c:pt>
                <c:pt idx="504">
                  <c:v>bba3293d6f5d5af2f415e004e8b93ae3</c:v>
                </c:pt>
                <c:pt idx="505">
                  <c:v>bba74270a87732727b5a3b4fd9ac1c39</c:v>
                </c:pt>
                <c:pt idx="506">
                  <c:v>bc47d5d1490df2b36add65d733eafaba</c:v>
                </c:pt>
                <c:pt idx="507">
                  <c:v>bce6a5ecf98e99fd2a8868b15c51f04b</c:v>
                </c:pt>
                <c:pt idx="508">
                  <c:v>bd0389da23d89b726abf911cccc54596</c:v>
                </c:pt>
                <c:pt idx="509">
                  <c:v>bd23da7354813347129d751591d1a6e2</c:v>
                </c:pt>
                <c:pt idx="510">
                  <c:v>bd4889b5e9133b35b66e42a8665cea5c</c:v>
                </c:pt>
                <c:pt idx="511">
                  <c:v>bf0d50a6410d487dc97d2baac0a8c0be</c:v>
                </c:pt>
                <c:pt idx="512">
                  <c:v>bf84056e679dbe9c69929847a40e338f</c:v>
                </c:pt>
                <c:pt idx="513">
                  <c:v>bfd27a966d91cfaafdb25d076585f0da</c:v>
                </c:pt>
                <c:pt idx="514">
                  <c:v>c003204e1ab016dfa150abc119207b24</c:v>
                </c:pt>
                <c:pt idx="515">
                  <c:v>c03121937e54a93fcc1825c3098bbb6e</c:v>
                </c:pt>
                <c:pt idx="516">
                  <c:v>c092292535a57dacd95a8765f5518f87</c:v>
                </c:pt>
                <c:pt idx="517">
                  <c:v>c157bdeedcbc9a8e3c8bf0d87ff24428</c:v>
                </c:pt>
                <c:pt idx="518">
                  <c:v>c1ed9e3daf6154542826a6996af0fb8c</c:v>
                </c:pt>
                <c:pt idx="519">
                  <c:v>c31eff8334d6b3047ed34bebd4d62c36</c:v>
                </c:pt>
                <c:pt idx="520">
                  <c:v>c3867b4666c7d76867627c2f7fb22e21</c:v>
                </c:pt>
                <c:pt idx="521">
                  <c:v>c3aad7dc65449ae90a5e9c3c6c1e78e0</c:v>
                </c:pt>
                <c:pt idx="522">
                  <c:v>c3cfdc648177fdbbbb35635a37472c53</c:v>
                </c:pt>
                <c:pt idx="523">
                  <c:v>c4d51195486dc781531876a7d00453d8</c:v>
                </c:pt>
                <c:pt idx="524">
                  <c:v>c4f7fee5b0db50e87766f5a4d1b1b758</c:v>
                </c:pt>
                <c:pt idx="525">
                  <c:v>c4fb51fb1c5b7c07bc5e67be6e7e8f6e</c:v>
                </c:pt>
                <c:pt idx="526">
                  <c:v>c54679b132454625907c773d273d4126</c:v>
                </c:pt>
                <c:pt idx="527">
                  <c:v>c68fb906c8f4b4b946d8386bfa6e5467</c:v>
                </c:pt>
                <c:pt idx="528">
                  <c:v>c6bda72e4dbf5c5866b13cb1810c6d03</c:v>
                </c:pt>
                <c:pt idx="529">
                  <c:v>c70c1b0d8ca86052f45a432a38b73958</c:v>
                </c:pt>
                <c:pt idx="530">
                  <c:v>c7dcd301ecfe5ab7f778ac172cf74be7</c:v>
                </c:pt>
                <c:pt idx="531">
                  <c:v>c826c40d7b19f62a09e2d7c5e7295ee2</c:v>
                </c:pt>
                <c:pt idx="532">
                  <c:v>c864036feaab8c1659f65ea4faebe1da</c:v>
                </c:pt>
                <c:pt idx="533">
                  <c:v>c8b3445d737de6befde0c88ede534a5e</c:v>
                </c:pt>
                <c:pt idx="534">
                  <c:v>c9c7905cffc4ef9ff9f113554423e671</c:v>
                </c:pt>
                <c:pt idx="535">
                  <c:v>ca3bd7cd9f149df75950150d010fe4a2</c:v>
                </c:pt>
                <c:pt idx="536">
                  <c:v>cab85505710c7cb9b720bceb52b01cee</c:v>
                </c:pt>
                <c:pt idx="537">
                  <c:v>cac4c8e7b1ca6252d8f20b2fc1a2e4af</c:v>
                </c:pt>
                <c:pt idx="538">
                  <c:v>cac876b37d3abcd6bd76caca30277996</c:v>
                </c:pt>
                <c:pt idx="539">
                  <c:v>cb3dd9ce66268c7a3ca7241ac70ab58c</c:v>
                </c:pt>
                <c:pt idx="540">
                  <c:v>cbf09e831b0c11f6f23ffb51004db972</c:v>
                </c:pt>
                <c:pt idx="541">
                  <c:v>cc419e0650a3c5ba77189a1882b7556a</c:v>
                </c:pt>
                <c:pt idx="542">
                  <c:v>cca3071e3e9bb7d12640c9fbe2301306</c:v>
                </c:pt>
                <c:pt idx="543">
                  <c:v>ccc4bbb5f32a6ab2b7066a4130f114e3</c:v>
                </c:pt>
                <c:pt idx="544">
                  <c:v>cce6ab8d1682639fe45ab70234f1665f</c:v>
                </c:pt>
                <c:pt idx="545">
                  <c:v>cd06602b43d8800bd0afad514919d35c</c:v>
                </c:pt>
                <c:pt idx="546">
                  <c:v>cd68562d3f44870c08922d380acae552</c:v>
                </c:pt>
                <c:pt idx="547">
                  <c:v>cd6efc47efaabf134f8bdb654e10b4f1</c:v>
                </c:pt>
                <c:pt idx="548">
                  <c:v>ce248b21cb2adc36282ede306b7660e5</c:v>
                </c:pt>
                <c:pt idx="549">
                  <c:v>ce3ad9de960102d0677a81f5d0bb7b2d</c:v>
                </c:pt>
                <c:pt idx="550">
                  <c:v>ce7d1888639e6fb06b2749cbfdac1ff7</c:v>
                </c:pt>
                <c:pt idx="551">
                  <c:v>cea729054f157f5870bdd321a958d994</c:v>
                </c:pt>
                <c:pt idx="552">
                  <c:v>ceaec5548eefc6e23e6607c5435102e7</c:v>
                </c:pt>
                <c:pt idx="553">
                  <c:v>cfb1a033743668a192316f3c6d1d2671</c:v>
                </c:pt>
                <c:pt idx="554">
                  <c:v>cfe94489ddd337d1e29e12f2a7205d10</c:v>
                </c:pt>
                <c:pt idx="555">
                  <c:v>d03698c2efd04a549382afa6623e27fb</c:v>
                </c:pt>
                <c:pt idx="556">
                  <c:v>d05ae8f7a5bd1d2a690a44cd079e4e27</c:v>
                </c:pt>
                <c:pt idx="557">
                  <c:v>d101c6da914ae3d53f7bee42283f2fe2</c:v>
                </c:pt>
                <c:pt idx="558">
                  <c:v>d1582f4043306e6b91afa6a8a884f898</c:v>
                </c:pt>
                <c:pt idx="559">
                  <c:v>d17f467e4bf608a510c20d82f4ba3b6b</c:v>
                </c:pt>
                <c:pt idx="560">
                  <c:v>d1b65fc7debc3361ea86b5f14c68d2e2</c:v>
                </c:pt>
                <c:pt idx="561">
                  <c:v>d1c281d3ae149232351cd8c8cc885f0d</c:v>
                </c:pt>
                <c:pt idx="562">
                  <c:v>d20b021d3efdf267a402c402a48ea64b</c:v>
                </c:pt>
                <c:pt idx="563">
                  <c:v>d23019c84ffae2d5ef2270367b8605fc</c:v>
                </c:pt>
                <c:pt idx="564">
                  <c:v>d2374cbcbb3ca4ab1086534108cc3ab7</c:v>
                </c:pt>
                <c:pt idx="565">
                  <c:v>d25aa0aaacb370e912f8cf6efeba38b3</c:v>
                </c:pt>
                <c:pt idx="566">
                  <c:v>d3674f271c91f824f82d24d92011f669</c:v>
                </c:pt>
                <c:pt idx="567">
                  <c:v>d3dcf0604eabf0224fbd5948b5e02f69</c:v>
                </c:pt>
                <c:pt idx="568">
                  <c:v>d4e12e7884759a14fa0f5f896c791cae</c:v>
                </c:pt>
                <c:pt idx="569">
                  <c:v>d4e4b5192cba4e0e66eb12a9d347239d</c:v>
                </c:pt>
                <c:pt idx="570">
                  <c:v>d50d79cb34e38265a8649c383dcffd48</c:v>
                </c:pt>
                <c:pt idx="571">
                  <c:v>d566c37fa119d5e66c4e9052e83ee4ea</c:v>
                </c:pt>
                <c:pt idx="572">
                  <c:v>d57e18d5f73c7ccb7f7339b61166898d</c:v>
                </c:pt>
                <c:pt idx="573">
                  <c:v>d5ba419e26d246a0719437cf37d9b46d</c:v>
                </c:pt>
                <c:pt idx="574">
                  <c:v>d624126b9206f595fb3fbb6ba03b28a8</c:v>
                </c:pt>
                <c:pt idx="575">
                  <c:v>d66c305afaec317ebee552073a674429</c:v>
                </c:pt>
                <c:pt idx="576">
                  <c:v>d71d863e5ef30d94e440c11be17dcd8f</c:v>
                </c:pt>
                <c:pt idx="577">
                  <c:v>d91fb3b7d041e83b64a00a3edfb37e4f</c:v>
                </c:pt>
                <c:pt idx="578">
                  <c:v>d921b68bf747894be13a97ae52b0f386</c:v>
                </c:pt>
                <c:pt idx="579">
                  <c:v>d94a40fd42351c259927028d163af842</c:v>
                </c:pt>
                <c:pt idx="580">
                  <c:v>d98eec89afa3380e14463da2aabaea72</c:v>
                </c:pt>
                <c:pt idx="581">
                  <c:v>da7039f29f90ce5b4846ffc0fcc93beb</c:v>
                </c:pt>
                <c:pt idx="582">
                  <c:v>da8622b14eb17ae2831f4ac5b9dab84a</c:v>
                </c:pt>
                <c:pt idx="583">
                  <c:v>daeb5653dd96c1b11860f72209795012</c:v>
                </c:pt>
                <c:pt idx="584">
                  <c:v>db2956745b3a8e9f3785c99f34b5d25e</c:v>
                </c:pt>
                <c:pt idx="585">
                  <c:v>db4350fd57ae30082dec7acbaacc17f9</c:v>
                </c:pt>
                <c:pt idx="586">
                  <c:v>dbb9b48c841a0e39e21f98e1a6b2ec3e</c:v>
                </c:pt>
                <c:pt idx="587">
                  <c:v>dbc22125167c298ef99da25668e1011f</c:v>
                </c:pt>
                <c:pt idx="588">
                  <c:v>dbd66278cbfe1aa1000f90a217ca4695</c:v>
                </c:pt>
                <c:pt idx="589">
                  <c:v>dc64d75cc406bb0697be983831430e60</c:v>
                </c:pt>
                <c:pt idx="590">
                  <c:v>dd2bdf855a9172734fbc3744021ae9b9</c:v>
                </c:pt>
                <c:pt idx="591">
                  <c:v>dd533b429f380718b70ad9922c294bae</c:v>
                </c:pt>
                <c:pt idx="592">
                  <c:v>dd7ddc04e1b6c2c614352b383efe2d36</c:v>
                </c:pt>
                <c:pt idx="593">
                  <c:v>de23c3b98a88888289c6f5cc1209054a</c:v>
                </c:pt>
                <c:pt idx="594">
                  <c:v>de722cd6dad950a92b7d4f82673f8833</c:v>
                </c:pt>
                <c:pt idx="595">
                  <c:v>dee656f0f566ed1aa85bd137c943f08f</c:v>
                </c:pt>
                <c:pt idx="596">
                  <c:v>df560393f3a51e74553ab94004ba5c87</c:v>
                </c:pt>
                <c:pt idx="597">
                  <c:v>e067ad2c1c0b48758eb1b5228bcf7a68</c:v>
                </c:pt>
                <c:pt idx="598">
                  <c:v>e06f09ec0a4aca210779cf1cfc63cf19</c:v>
                </c:pt>
                <c:pt idx="599">
                  <c:v>e0a366315b1b726b6c7832d664c0f530</c:v>
                </c:pt>
                <c:pt idx="600">
                  <c:v>e0eabded302882513ced4ea3eb0c7059</c:v>
                </c:pt>
                <c:pt idx="601">
                  <c:v>e24d3429d294b2eb200b064ebb035879</c:v>
                </c:pt>
                <c:pt idx="602">
                  <c:v>e24fc9fcd865784fb25705606fe3dfe7</c:v>
                </c:pt>
                <c:pt idx="603">
                  <c:v>e26901d5ab434ce92fd9b5c256820a4e</c:v>
                </c:pt>
                <c:pt idx="604">
                  <c:v>e2aee0892199b1d92530e371abd825bf</c:v>
                </c:pt>
                <c:pt idx="605">
                  <c:v>e2c92f9c1c7746d899d18f2e158bbff7</c:v>
                </c:pt>
                <c:pt idx="606">
                  <c:v>e333046ce6517bd8bb510291d44f0130</c:v>
                </c:pt>
                <c:pt idx="607">
                  <c:v>e38db885400cd35c71dfd162f2c1dbcf</c:v>
                </c:pt>
                <c:pt idx="608">
                  <c:v>e439f7176d763f92de325271111b2fd5</c:v>
                </c:pt>
                <c:pt idx="609">
                  <c:v>e48b04bf1aa1ef711caebeb7aede6180</c:v>
                </c:pt>
                <c:pt idx="610">
                  <c:v>e48cc16ab70bfa09e1401740dce0b3d7</c:v>
                </c:pt>
                <c:pt idx="611">
                  <c:v>e49c26c3edfa46d227d5121a6b6e4d37</c:v>
                </c:pt>
                <c:pt idx="612">
                  <c:v>e59aa562b9f8076dd550fcddf0e73491</c:v>
                </c:pt>
                <c:pt idx="613">
                  <c:v>e5a3438891c0bfdb9394643f95273d8e</c:v>
                </c:pt>
                <c:pt idx="614">
                  <c:v>e5a38146df062edaf55c38afa99e42dc</c:v>
                </c:pt>
                <c:pt idx="615">
                  <c:v>e62b2d6ac10570a035a30bafcf01d263</c:v>
                </c:pt>
                <c:pt idx="616">
                  <c:v>e882b2a25a10b9c057cc49695f222c19</c:v>
                </c:pt>
                <c:pt idx="617">
                  <c:v>e883aa812c37a7413226856f4579fe91</c:v>
                </c:pt>
                <c:pt idx="618">
                  <c:v>e88c9b79e592e370d6bd852eeefbf057</c:v>
                </c:pt>
                <c:pt idx="619">
                  <c:v>e8b4225284fbb02d16f200513f1f395d</c:v>
                </c:pt>
                <c:pt idx="620">
                  <c:v>e9779976487b77c6d4ac45f75ec7afe9</c:v>
                </c:pt>
                <c:pt idx="621">
                  <c:v>e9bc59e7b60fc3063eb2290deda4cced</c:v>
                </c:pt>
                <c:pt idx="622">
                  <c:v>e9c6969d40e6a3d2d0f90013165c2b98</c:v>
                </c:pt>
                <c:pt idx="623">
                  <c:v>e9d99831abad74458942f21e16f33f92</c:v>
                </c:pt>
                <c:pt idx="624">
                  <c:v>ea00f977a203ff88adf7057cb7806998</c:v>
                </c:pt>
                <c:pt idx="625">
                  <c:v>ea566164622c6b439516ab18062c42cd</c:v>
                </c:pt>
                <c:pt idx="626">
                  <c:v>ea67327e24487bdfac5fbfa37ea124df</c:v>
                </c:pt>
                <c:pt idx="627">
                  <c:v>ea8482cd71df3c1969d7b9473ff13abc</c:v>
                </c:pt>
                <c:pt idx="628">
                  <c:v>ebd2d60905fb58271facef5596b620d3</c:v>
                </c:pt>
                <c:pt idx="629">
                  <c:v>ececbfcff9804a2d6b40f589df8eef2b</c:v>
                </c:pt>
                <c:pt idx="630">
                  <c:v>ed4acab38528488b65a9a9c603ff024a</c:v>
                </c:pt>
                <c:pt idx="631">
                  <c:v>edb1ef5e36e0c8cd84eb3c9b003e486d</c:v>
                </c:pt>
                <c:pt idx="632">
                  <c:v>eddd1991bd6d9309995a480c39b95137</c:v>
                </c:pt>
                <c:pt idx="633">
                  <c:v>edf96ef93ed595084bbcbd9224bd2894</c:v>
                </c:pt>
                <c:pt idx="634">
                  <c:v>eeb6de78f79159600292e314a77cbd18</c:v>
                </c:pt>
                <c:pt idx="635">
                  <c:v>eebb3372362aa9a46975164bed19a7e7</c:v>
                </c:pt>
                <c:pt idx="636">
                  <c:v>eed78ac17f7f795a19a709745f00cd4e</c:v>
                </c:pt>
                <c:pt idx="637">
                  <c:v>ef0ace09169ac090589d85746e3e036f</c:v>
                </c:pt>
                <c:pt idx="638">
                  <c:v>ef30892870c278497523264be1be2241</c:v>
                </c:pt>
                <c:pt idx="639">
                  <c:v>ef506c96320abeedfb894c34db06f478</c:v>
                </c:pt>
                <c:pt idx="640">
                  <c:v>ef990a83bbea832f36ebe81376335aa8</c:v>
                </c:pt>
                <c:pt idx="641">
                  <c:v>efcd8d2104f1a05d028af7bad20d974b</c:v>
                </c:pt>
                <c:pt idx="642">
                  <c:v>f00e21b1e91a79653163b7fd8f293ff1</c:v>
                </c:pt>
                <c:pt idx="643">
                  <c:v>f0b47fbbc6dee9aafe415a6e33051b3f</c:v>
                </c:pt>
                <c:pt idx="644">
                  <c:v>f12ff17ad8bbf01ec5c33b17e506649b</c:v>
                </c:pt>
                <c:pt idx="645">
                  <c:v>f181738b150df1f37cb0bd72e705b193</c:v>
                </c:pt>
                <c:pt idx="646">
                  <c:v>f214d28e8d8e3ef068748498ccc2f813</c:v>
                </c:pt>
                <c:pt idx="647">
                  <c:v>f22a247b79dd22ecd91dc8e3b2a1b07c</c:v>
                </c:pt>
                <c:pt idx="648">
                  <c:v>f262cbc1c910c83959f849465454ddd3</c:v>
                </c:pt>
                <c:pt idx="649">
                  <c:v>f3295428338a40977a03f555246a70f4</c:v>
                </c:pt>
                <c:pt idx="650">
                  <c:v>f45122a9ab94eb4f3f8953578bc0c560</c:v>
                </c:pt>
                <c:pt idx="651">
                  <c:v>f457c46070d02cadd8a68551231220dd</c:v>
                </c:pt>
                <c:pt idx="652">
                  <c:v>f46490624488d3ff7ce78613913a7711</c:v>
                </c:pt>
                <c:pt idx="653">
                  <c:v>f4a04f7be452aa3bb31760bf00055dd0</c:v>
                </c:pt>
                <c:pt idx="654">
                  <c:v>f4aba7c0bca51484c30ab7bdc34bcdd1</c:v>
                </c:pt>
                <c:pt idx="655">
                  <c:v>f4c4daa86e30c7e5a553a8d518ac03a5</c:v>
                </c:pt>
                <c:pt idx="656">
                  <c:v>f5a590cf36251cf1162ea35bef76fe84</c:v>
                </c:pt>
                <c:pt idx="657">
                  <c:v>f615fe7efbef0f4f08fd3086bc7a3e60</c:v>
                </c:pt>
                <c:pt idx="658">
                  <c:v>f61c63d13f7cd800549d5acdd390ae72</c:v>
                </c:pt>
                <c:pt idx="659">
                  <c:v>f67efa3f0b6761102a7f8c6b7b571f5d</c:v>
                </c:pt>
                <c:pt idx="660">
                  <c:v>f7ba60f8c3f99e7ee4042fdef03b70c4</c:v>
                </c:pt>
                <c:pt idx="661">
                  <c:v>f7ccf836d21b2fb1de37564105216cc1</c:v>
                </c:pt>
                <c:pt idx="662">
                  <c:v>f80edd2c5aaa505cc4b0a3b219abf4b8</c:v>
                </c:pt>
                <c:pt idx="663">
                  <c:v>f8201cab383e484733266d1906e2fdfa</c:v>
                </c:pt>
                <c:pt idx="664">
                  <c:v>f84a00e60c73a49e7e851c9bdca3a5bb</c:v>
                </c:pt>
                <c:pt idx="665">
                  <c:v>f84fa566034f5e8e880a07ec624c56af</c:v>
                </c:pt>
                <c:pt idx="666">
                  <c:v>f8db351d8c4c4c22c6835c19a46f01b0</c:v>
                </c:pt>
                <c:pt idx="667">
                  <c:v>fa1c13f2614d7b5c4749cbc52fecda94</c:v>
                </c:pt>
                <c:pt idx="668">
                  <c:v>fa40cc5b934574b62717c68f3d678b6d</c:v>
                </c:pt>
                <c:pt idx="669">
                  <c:v>fad44952713764836814be105382aee5</c:v>
                </c:pt>
                <c:pt idx="670">
                  <c:v>fc906263ca5083d09dce42fe02247800</c:v>
                </c:pt>
                <c:pt idx="671">
                  <c:v>fcb5ace8bcc92f75707dc0f01a27d269</c:v>
                </c:pt>
                <c:pt idx="672">
                  <c:v>fd386aa7bed2af3c7035c65506c9b4a3</c:v>
                </c:pt>
                <c:pt idx="673">
                  <c:v>fdb9095204a334cd8872252ffec6f2db</c:v>
                </c:pt>
                <c:pt idx="674">
                  <c:v>fde0cc9ea29c8ccfc0a2c22256a58c71</c:v>
                </c:pt>
                <c:pt idx="675">
                  <c:v>fe2032dab1a61af8794248c8196565c9</c:v>
                </c:pt>
                <c:pt idx="676">
                  <c:v>febab0275244b9a49a623f0bd613ca2f</c:v>
                </c:pt>
                <c:pt idx="677">
                  <c:v>ff063b022a9a0aab91bad2c9088760b7</c:v>
                </c:pt>
                <c:pt idx="678">
                  <c:v>ff1e15b778c700abdd4d239b81ac466d</c:v>
                </c:pt>
                <c:pt idx="679">
                  <c:v>ffad1e7127fb622cb64a900751590acd</c:v>
                </c:pt>
                <c:pt idx="680">
                  <c:v>ffc470761de7d0232558ba5e786e57b7</c:v>
                </c:pt>
                <c:pt idx="681">
                  <c:v>ffff564a4f9085cd26170f4732393726</c:v>
                </c:pt>
                <c:pt idx="682">
                  <c:v>(blank)</c:v>
                </c:pt>
              </c:strCache>
            </c:strRef>
          </c:cat>
          <c:val>
            <c:numRef>
              <c:f>Sheet3!$C$4:$C$687</c:f>
              <c:numCache>
                <c:formatCode>General</c:formatCode>
                <c:ptCount val="683"/>
                <c:pt idx="0">
                  <c:v>106.88939859559817</c:v>
                </c:pt>
                <c:pt idx="1">
                  <c:v>20.251248192439483</c:v>
                </c:pt>
                <c:pt idx="2">
                  <c:v>113.67693981340503</c:v>
                </c:pt>
                <c:pt idx="3">
                  <c:v>79.856465921382849</c:v>
                </c:pt>
                <c:pt idx="4">
                  <c:v>73.643199679798386</c:v>
                </c:pt>
                <c:pt idx="5">
                  <c:v>84.36555895823092</c:v>
                </c:pt>
                <c:pt idx="6">
                  <c:v>219.08557632331514</c:v>
                </c:pt>
                <c:pt idx="7">
                  <c:v>109.45181646577377</c:v>
                </c:pt>
                <c:pt idx="8">
                  <c:v>163.1045340742794</c:v>
                </c:pt>
                <c:pt idx="9">
                  <c:v>92.771844640598303</c:v>
                </c:pt>
                <c:pt idx="10">
                  <c:v>99.267370748797219</c:v>
                </c:pt>
                <c:pt idx="11">
                  <c:v>111.92366086954176</c:v>
                </c:pt>
                <c:pt idx="12">
                  <c:v>56.670833185815603</c:v>
                </c:pt>
                <c:pt idx="13">
                  <c:v>146.07956569478716</c:v>
                </c:pt>
                <c:pt idx="14">
                  <c:v>145.06550290421686</c:v>
                </c:pt>
                <c:pt idx="15">
                  <c:v>91.134616845537835</c:v>
                </c:pt>
                <c:pt idx="16">
                  <c:v>43.220161358112975</c:v>
                </c:pt>
                <c:pt idx="17">
                  <c:v>1953.1050164852736</c:v>
                </c:pt>
                <c:pt idx="18">
                  <c:v>71.791392878282991</c:v>
                </c:pt>
                <c:pt idx="19">
                  <c:v>13.698961760035424</c:v>
                </c:pt>
                <c:pt idx="20">
                  <c:v>25.742398310014899</c:v>
                </c:pt>
                <c:pt idx="21">
                  <c:v>88.06241701465801</c:v>
                </c:pt>
                <c:pt idx="22">
                  <c:v>175.83256898545093</c:v>
                </c:pt>
                <c:pt idx="23">
                  <c:v>109.26365170828626</c:v>
                </c:pt>
                <c:pt idx="24">
                  <c:v>22.751615655947916</c:v>
                </c:pt>
                <c:pt idx="25">
                  <c:v>181.31993356601987</c:v>
                </c:pt>
                <c:pt idx="26">
                  <c:v>8.519039118066777</c:v>
                </c:pt>
                <c:pt idx="27">
                  <c:v>103.53702466878154</c:v>
                </c:pt>
                <c:pt idx="28">
                  <c:v>25.585022211262178</c:v>
                </c:pt>
                <c:pt idx="29">
                  <c:v>24.87516785622115</c:v>
                </c:pt>
                <c:pt idx="30">
                  <c:v>104.08454379523867</c:v>
                </c:pt>
                <c:pt idx="31">
                  <c:v>91.692676283067186</c:v>
                </c:pt>
                <c:pt idx="32">
                  <c:v>41.229702871856368</c:v>
                </c:pt>
                <c:pt idx="33">
                  <c:v>40.235821442824971</c:v>
                </c:pt>
                <c:pt idx="34">
                  <c:v>58.789111028671755</c:v>
                </c:pt>
                <c:pt idx="35">
                  <c:v>55.972768105424493</c:v>
                </c:pt>
                <c:pt idx="36">
                  <c:v>67.688613113340679</c:v>
                </c:pt>
                <c:pt idx="37">
                  <c:v>29.073180341968392</c:v>
                </c:pt>
                <c:pt idx="38">
                  <c:v>93.556090565900789</c:v>
                </c:pt>
                <c:pt idx="39">
                  <c:v>44.111328463753651</c:v>
                </c:pt>
                <c:pt idx="40">
                  <c:v>99.562697489226352</c:v>
                </c:pt>
                <c:pt idx="41">
                  <c:v>108.38133202425621</c:v>
                </c:pt>
                <c:pt idx="42">
                  <c:v>44.63112345655297</c:v>
                </c:pt>
                <c:pt idx="43">
                  <c:v>140.56910334503377</c:v>
                </c:pt>
                <c:pt idx="44">
                  <c:v>89.510115655238522</c:v>
                </c:pt>
                <c:pt idx="45">
                  <c:v>69.289547885965959</c:v>
                </c:pt>
                <c:pt idx="46">
                  <c:v>93.329562507060345</c:v>
                </c:pt>
                <c:pt idx="47">
                  <c:v>54.458928144316815</c:v>
                </c:pt>
                <c:pt idx="48">
                  <c:v>13.323508231104272</c:v>
                </c:pt>
                <c:pt idx="49">
                  <c:v>62.160388592776393</c:v>
                </c:pt>
                <c:pt idx="50">
                  <c:v>139.88421958284837</c:v>
                </c:pt>
                <c:pt idx="51">
                  <c:v>20.725943226603246</c:v>
                </c:pt>
                <c:pt idx="52">
                  <c:v>191.12120678432154</c:v>
                </c:pt>
                <c:pt idx="53">
                  <c:v>42.351814398074694</c:v>
                </c:pt>
                <c:pt idx="54">
                  <c:v>47.090244098263732</c:v>
                </c:pt>
                <c:pt idx="55">
                  <c:v>425.84293736305824</c:v>
                </c:pt>
                <c:pt idx="56">
                  <c:v>37.074785321116444</c:v>
                </c:pt>
                <c:pt idx="57">
                  <c:v>158.36853847696719</c:v>
                </c:pt>
                <c:pt idx="58">
                  <c:v>100.41328317010164</c:v>
                </c:pt>
                <c:pt idx="59">
                  <c:v>87.690751654966505</c:v>
                </c:pt>
                <c:pt idx="60">
                  <c:v>40.004030687230738</c:v>
                </c:pt>
                <c:pt idx="61">
                  <c:v>95.977531124247704</c:v>
                </c:pt>
                <c:pt idx="62">
                  <c:v>244.28056969942674</c:v>
                </c:pt>
                <c:pt idx="63">
                  <c:v>311.46872009210011</c:v>
                </c:pt>
                <c:pt idx="64">
                  <c:v>192.11057066083308</c:v>
                </c:pt>
                <c:pt idx="65">
                  <c:v>576.92495800467248</c:v>
                </c:pt>
                <c:pt idx="66">
                  <c:v>119.56200205592792</c:v>
                </c:pt>
                <c:pt idx="67">
                  <c:v>34.310573960925069</c:v>
                </c:pt>
                <c:pt idx="68">
                  <c:v>79.718240425078491</c:v>
                </c:pt>
                <c:pt idx="69">
                  <c:v>20.087814152322249</c:v>
                </c:pt>
                <c:pt idx="70">
                  <c:v>55.935550518378164</c:v>
                </c:pt>
                <c:pt idx="71">
                  <c:v>180.94422286394146</c:v>
                </c:pt>
                <c:pt idx="72">
                  <c:v>123.18115047710391</c:v>
                </c:pt>
                <c:pt idx="73">
                  <c:v>112.49561271751092</c:v>
                </c:pt>
                <c:pt idx="74">
                  <c:v>310.77911095994784</c:v>
                </c:pt>
                <c:pt idx="75">
                  <c:v>71.310164281904008</c:v>
                </c:pt>
                <c:pt idx="76">
                  <c:v>40.721186040668158</c:v>
                </c:pt>
                <c:pt idx="77">
                  <c:v>145.6778949347536</c:v>
                </c:pt>
                <c:pt idx="78">
                  <c:v>41.275156099150095</c:v>
                </c:pt>
                <c:pt idx="79">
                  <c:v>53.128135512631964</c:v>
                </c:pt>
                <c:pt idx="80">
                  <c:v>104.77843917534771</c:v>
                </c:pt>
                <c:pt idx="81">
                  <c:v>111.5154465010129</c:v>
                </c:pt>
                <c:pt idx="82">
                  <c:v>25.075707465671741</c:v>
                </c:pt>
                <c:pt idx="83">
                  <c:v>56.123170969710692</c:v>
                </c:pt>
                <c:pt idx="84">
                  <c:v>127.17930469172283</c:v>
                </c:pt>
                <c:pt idx="85">
                  <c:v>16.170979836006733</c:v>
                </c:pt>
                <c:pt idx="86">
                  <c:v>115.30289221546506</c:v>
                </c:pt>
                <c:pt idx="87">
                  <c:v>476.67987395705853</c:v>
                </c:pt>
                <c:pt idx="88">
                  <c:v>51.325359763864164</c:v>
                </c:pt>
                <c:pt idx="89">
                  <c:v>179.86374445771463</c:v>
                </c:pt>
                <c:pt idx="90">
                  <c:v>19.952501599755415</c:v>
                </c:pt>
                <c:pt idx="91">
                  <c:v>57.641372442507496</c:v>
                </c:pt>
                <c:pt idx="92">
                  <c:v>54.352296413447931</c:v>
                </c:pt>
                <c:pt idx="93">
                  <c:v>26.80954162590416</c:v>
                </c:pt>
                <c:pt idx="94">
                  <c:v>75.300720243579065</c:v>
                </c:pt>
                <c:pt idx="95">
                  <c:v>71.303868459342212</c:v>
                </c:pt>
                <c:pt idx="96">
                  <c:v>115.11053854752801</c:v>
                </c:pt>
                <c:pt idx="97">
                  <c:v>78.870692236380563</c:v>
                </c:pt>
                <c:pt idx="98">
                  <c:v>211.32525765633602</c:v>
                </c:pt>
                <c:pt idx="99">
                  <c:v>250.25144917946983</c:v>
                </c:pt>
                <c:pt idx="100">
                  <c:v>231.39398178820628</c:v>
                </c:pt>
                <c:pt idx="101">
                  <c:v>166.25633120242804</c:v>
                </c:pt>
                <c:pt idx="102">
                  <c:v>275.40280688592861</c:v>
                </c:pt>
                <c:pt idx="103">
                  <c:v>57.14211797864354</c:v>
                </c:pt>
                <c:pt idx="104">
                  <c:v>59.452112669060682</c:v>
                </c:pt>
                <c:pt idx="105">
                  <c:v>195.94995366282848</c:v>
                </c:pt>
                <c:pt idx="106">
                  <c:v>304.68563944984686</c:v>
                </c:pt>
                <c:pt idx="107">
                  <c:v>27.705816595795671</c:v>
                </c:pt>
                <c:pt idx="108">
                  <c:v>38.011448912822679</c:v>
                </c:pt>
                <c:pt idx="109">
                  <c:v>140.27576872452775</c:v>
                </c:pt>
                <c:pt idx="110">
                  <c:v>23.7185085797075</c:v>
                </c:pt>
                <c:pt idx="111">
                  <c:v>37.556339269094558</c:v>
                </c:pt>
                <c:pt idx="112">
                  <c:v>134.87054904464463</c:v>
                </c:pt>
                <c:pt idx="113">
                  <c:v>98.933982718678578</c:v>
                </c:pt>
                <c:pt idx="114">
                  <c:v>50.382924933493626</c:v>
                </c:pt>
                <c:pt idx="115">
                  <c:v>46.505250381875953</c:v>
                </c:pt>
                <c:pt idx="116">
                  <c:v>36.028186900916168</c:v>
                </c:pt>
                <c:pt idx="117">
                  <c:v>59.372487326687065</c:v>
                </c:pt>
                <c:pt idx="118">
                  <c:v>76.094092458811318</c:v>
                </c:pt>
                <c:pt idx="119">
                  <c:v>52.902819486596954</c:v>
                </c:pt>
                <c:pt idx="120">
                  <c:v>369.16856258571869</c:v>
                </c:pt>
                <c:pt idx="121">
                  <c:v>37.133222388017863</c:v>
                </c:pt>
                <c:pt idx="122">
                  <c:v>56.54381238969485</c:v>
                </c:pt>
                <c:pt idx="123">
                  <c:v>211.88503947118107</c:v>
                </c:pt>
                <c:pt idx="124">
                  <c:v>75.429956692732119</c:v>
                </c:pt>
                <c:pt idx="125">
                  <c:v>135.93101904098211</c:v>
                </c:pt>
                <c:pt idx="126">
                  <c:v>15.068179305030393</c:v>
                </c:pt>
                <c:pt idx="127">
                  <c:v>64.315025567336548</c:v>
                </c:pt>
                <c:pt idx="128">
                  <c:v>106.35949321892657</c:v>
                </c:pt>
                <c:pt idx="129">
                  <c:v>187.59517746418726</c:v>
                </c:pt>
                <c:pt idx="130">
                  <c:v>65.862209623343958</c:v>
                </c:pt>
                <c:pt idx="131">
                  <c:v>180.83191824234945</c:v>
                </c:pt>
                <c:pt idx="132">
                  <c:v>118.95562432373745</c:v>
                </c:pt>
                <c:pt idx="133">
                  <c:v>242.67142374914263</c:v>
                </c:pt>
                <c:pt idx="134">
                  <c:v>116.64945043950765</c:v>
                </c:pt>
                <c:pt idx="135">
                  <c:v>84.533011011344527</c:v>
                </c:pt>
                <c:pt idx="136">
                  <c:v>176.39148003958005</c:v>
                </c:pt>
                <c:pt idx="137">
                  <c:v>78.04361159047069</c:v>
                </c:pt>
                <c:pt idx="138">
                  <c:v>25.237933168811093</c:v>
                </c:pt>
                <c:pt idx="139">
                  <c:v>207.61611090419007</c:v>
                </c:pt>
                <c:pt idx="140">
                  <c:v>89.078650952561929</c:v>
                </c:pt>
                <c:pt idx="141">
                  <c:v>36.856246319941178</c:v>
                </c:pt>
                <c:pt idx="142">
                  <c:v>82.971200467236415</c:v>
                </c:pt>
                <c:pt idx="143">
                  <c:v>136.6787233144845</c:v>
                </c:pt>
                <c:pt idx="144">
                  <c:v>177.85159437254538</c:v>
                </c:pt>
                <c:pt idx="145">
                  <c:v>54.527031049681426</c:v>
                </c:pt>
                <c:pt idx="146">
                  <c:v>13.963969323754494</c:v>
                </c:pt>
                <c:pt idx="147">
                  <c:v>60.495206907736474</c:v>
                </c:pt>
                <c:pt idx="148">
                  <c:v>29.212123135990669</c:v>
                </c:pt>
                <c:pt idx="149">
                  <c:v>53.686761771907953</c:v>
                </c:pt>
                <c:pt idx="150">
                  <c:v>191.16191441905281</c:v>
                </c:pt>
                <c:pt idx="151">
                  <c:v>30.333422617861</c:v>
                </c:pt>
                <c:pt idx="152">
                  <c:v>191.04898772444383</c:v>
                </c:pt>
                <c:pt idx="153">
                  <c:v>8.5499267496710161</c:v>
                </c:pt>
                <c:pt idx="154">
                  <c:v>57.944800592354405</c:v>
                </c:pt>
                <c:pt idx="155">
                  <c:v>34.044927152881371</c:v>
                </c:pt>
                <c:pt idx="156">
                  <c:v>43.41001323507998</c:v>
                </c:pt>
                <c:pt idx="157">
                  <c:v>176.47345278768722</c:v>
                </c:pt>
                <c:pt idx="158">
                  <c:v>121.42400740623107</c:v>
                </c:pt>
                <c:pt idx="159">
                  <c:v>49.136025579761046</c:v>
                </c:pt>
                <c:pt idx="160">
                  <c:v>126.10614050694507</c:v>
                </c:pt>
                <c:pt idx="161">
                  <c:v>114.18455720016068</c:v>
                </c:pt>
                <c:pt idx="162">
                  <c:v>136.75015220728332</c:v>
                </c:pt>
                <c:pt idx="163">
                  <c:v>68.49218906737876</c:v>
                </c:pt>
                <c:pt idx="164">
                  <c:v>362.69359523458974</c:v>
                </c:pt>
                <c:pt idx="165">
                  <c:v>15.654672694555599</c:v>
                </c:pt>
                <c:pt idx="166">
                  <c:v>802.64624334101529</c:v>
                </c:pt>
                <c:pt idx="167">
                  <c:v>14.454835838978649</c:v>
                </c:pt>
                <c:pt idx="168">
                  <c:v>76.338897440951754</c:v>
                </c:pt>
                <c:pt idx="169">
                  <c:v>71.451345134319695</c:v>
                </c:pt>
                <c:pt idx="170">
                  <c:v>92.197698613239453</c:v>
                </c:pt>
                <c:pt idx="171">
                  <c:v>67.488586639818919</c:v>
                </c:pt>
                <c:pt idx="172">
                  <c:v>49.499814672060296</c:v>
                </c:pt>
                <c:pt idx="173">
                  <c:v>61.274858619698577</c:v>
                </c:pt>
                <c:pt idx="174">
                  <c:v>290.88176080976228</c:v>
                </c:pt>
                <c:pt idx="175">
                  <c:v>131.23027403075631</c:v>
                </c:pt>
                <c:pt idx="176">
                  <c:v>229.31040488771217</c:v>
                </c:pt>
                <c:pt idx="177">
                  <c:v>59.955431626247282</c:v>
                </c:pt>
                <c:pt idx="178">
                  <c:v>18.354465748586499</c:v>
                </c:pt>
                <c:pt idx="179">
                  <c:v>34.796338418605224</c:v>
                </c:pt>
                <c:pt idx="180">
                  <c:v>298.98174573531008</c:v>
                </c:pt>
                <c:pt idx="181">
                  <c:v>138.10328888536912</c:v>
                </c:pt>
                <c:pt idx="182">
                  <c:v>108.41596618909053</c:v>
                </c:pt>
                <c:pt idx="183">
                  <c:v>96.11126824946696</c:v>
                </c:pt>
                <c:pt idx="184">
                  <c:v>28.565560271531034</c:v>
                </c:pt>
                <c:pt idx="185">
                  <c:v>415.13227495833144</c:v>
                </c:pt>
                <c:pt idx="186">
                  <c:v>129.62491645287554</c:v>
                </c:pt>
                <c:pt idx="187">
                  <c:v>115.35386594071524</c:v>
                </c:pt>
                <c:pt idx="188">
                  <c:v>38.840433307672065</c:v>
                </c:pt>
                <c:pt idx="189">
                  <c:v>263.4495774346791</c:v>
                </c:pt>
                <c:pt idx="190">
                  <c:v>23.59397881611374</c:v>
                </c:pt>
                <c:pt idx="191">
                  <c:v>70.109563122167145</c:v>
                </c:pt>
                <c:pt idx="192">
                  <c:v>104.48380553576072</c:v>
                </c:pt>
                <c:pt idx="193">
                  <c:v>26.125395437363288</c:v>
                </c:pt>
                <c:pt idx="194">
                  <c:v>77.524290408684948</c:v>
                </c:pt>
                <c:pt idx="195">
                  <c:v>102.69935997610597</c:v>
                </c:pt>
                <c:pt idx="196">
                  <c:v>221.94851921772229</c:v>
                </c:pt>
                <c:pt idx="197">
                  <c:v>145.47077294647528</c:v>
                </c:pt>
                <c:pt idx="198">
                  <c:v>71.723629408713194</c:v>
                </c:pt>
                <c:pt idx="199">
                  <c:v>94.742557578080067</c:v>
                </c:pt>
                <c:pt idx="200">
                  <c:v>101.11211440258062</c:v>
                </c:pt>
                <c:pt idx="201">
                  <c:v>87.271863304901487</c:v>
                </c:pt>
                <c:pt idx="202">
                  <c:v>140.1653951312712</c:v>
                </c:pt>
                <c:pt idx="203">
                  <c:v>103.68225928790666</c:v>
                </c:pt>
                <c:pt idx="204">
                  <c:v>46.262174744749409</c:v>
                </c:pt>
                <c:pt idx="205">
                  <c:v>59.860653729333364</c:v>
                </c:pt>
                <c:pt idx="206">
                  <c:v>141.25802331611169</c:v>
                </c:pt>
                <c:pt idx="207">
                  <c:v>23.363287069727292</c:v>
                </c:pt>
                <c:pt idx="208">
                  <c:v>198.05763977591457</c:v>
                </c:pt>
                <c:pt idx="209">
                  <c:v>79.374095135755113</c:v>
                </c:pt>
                <c:pt idx="210">
                  <c:v>84.723378043963422</c:v>
                </c:pt>
                <c:pt idx="211">
                  <c:v>204.60242551848211</c:v>
                </c:pt>
                <c:pt idx="212">
                  <c:v>253.49772503358056</c:v>
                </c:pt>
                <c:pt idx="213">
                  <c:v>75.889837539076652</c:v>
                </c:pt>
                <c:pt idx="214">
                  <c:v>60.055965119089862</c:v>
                </c:pt>
                <c:pt idx="215">
                  <c:v>238.34502519759019</c:v>
                </c:pt>
                <c:pt idx="216">
                  <c:v>27.578883523518186</c:v>
                </c:pt>
                <c:pt idx="217">
                  <c:v>279.73931369880177</c:v>
                </c:pt>
                <c:pt idx="218">
                  <c:v>78.713198254170322</c:v>
                </c:pt>
                <c:pt idx="219">
                  <c:v>130.37641750621106</c:v>
                </c:pt>
                <c:pt idx="220">
                  <c:v>116.8671203957901</c:v>
                </c:pt>
                <c:pt idx="221">
                  <c:v>118.6176183442365</c:v>
                </c:pt>
                <c:pt idx="222">
                  <c:v>223.34889872052321</c:v>
                </c:pt>
                <c:pt idx="223">
                  <c:v>553.75083867462672</c:v>
                </c:pt>
                <c:pt idx="224">
                  <c:v>28.395475843152706</c:v>
                </c:pt>
                <c:pt idx="225">
                  <c:v>88.03216499479727</c:v>
                </c:pt>
                <c:pt idx="226">
                  <c:v>1857.3886158353846</c:v>
                </c:pt>
                <c:pt idx="227">
                  <c:v>1292.1757999077574</c:v>
                </c:pt>
                <c:pt idx="228">
                  <c:v>98.933681023151209</c:v>
                </c:pt>
                <c:pt idx="229">
                  <c:v>71.982885337115974</c:v>
                </c:pt>
                <c:pt idx="230">
                  <c:v>68.003077786093101</c:v>
                </c:pt>
                <c:pt idx="231">
                  <c:v>28.542038271442681</c:v>
                </c:pt>
                <c:pt idx="232">
                  <c:v>55.509837818131942</c:v>
                </c:pt>
                <c:pt idx="233">
                  <c:v>143.29228712415284</c:v>
                </c:pt>
                <c:pt idx="234">
                  <c:v>30.015009012705207</c:v>
                </c:pt>
                <c:pt idx="235">
                  <c:v>38.542559476282463</c:v>
                </c:pt>
                <c:pt idx="236">
                  <c:v>64.596132582241424</c:v>
                </c:pt>
                <c:pt idx="237">
                  <c:v>10.881804964741217</c:v>
                </c:pt>
                <c:pt idx="238">
                  <c:v>60.960086583857446</c:v>
                </c:pt>
                <c:pt idx="239">
                  <c:v>39.619049204627316</c:v>
                </c:pt>
                <c:pt idx="240">
                  <c:v>136.28781481209796</c:v>
                </c:pt>
                <c:pt idx="241">
                  <c:v>145.9443651077944</c:v>
                </c:pt>
                <c:pt idx="242">
                  <c:v>819.17102939777169</c:v>
                </c:pt>
                <c:pt idx="243">
                  <c:v>225.41509941262166</c:v>
                </c:pt>
                <c:pt idx="244">
                  <c:v>190.96013811975942</c:v>
                </c:pt>
                <c:pt idx="245">
                  <c:v>68.582745693926924</c:v>
                </c:pt>
                <c:pt idx="246">
                  <c:v>152.60238199808748</c:v>
                </c:pt>
                <c:pt idx="247">
                  <c:v>104.74949896023192</c:v>
                </c:pt>
                <c:pt idx="248">
                  <c:v>140.14777915993463</c:v>
                </c:pt>
                <c:pt idx="249">
                  <c:v>91.468676323257682</c:v>
                </c:pt>
                <c:pt idx="250">
                  <c:v>193.07540695873897</c:v>
                </c:pt>
                <c:pt idx="251">
                  <c:v>95.308275254016024</c:v>
                </c:pt>
                <c:pt idx="252">
                  <c:v>193.60142417643746</c:v>
                </c:pt>
                <c:pt idx="253">
                  <c:v>61.161456166980173</c:v>
                </c:pt>
                <c:pt idx="254">
                  <c:v>92.317946201109379</c:v>
                </c:pt>
                <c:pt idx="255">
                  <c:v>412.69463855031313</c:v>
                </c:pt>
                <c:pt idx="256">
                  <c:v>96.114730303987471</c:v>
                </c:pt>
                <c:pt idx="257">
                  <c:v>386.96904051738886</c:v>
                </c:pt>
                <c:pt idx="258">
                  <c:v>15.24647373447009</c:v>
                </c:pt>
                <c:pt idx="259">
                  <c:v>95.084853157650684</c:v>
                </c:pt>
                <c:pt idx="260">
                  <c:v>80.829234417665958</c:v>
                </c:pt>
                <c:pt idx="261">
                  <c:v>37.96457219888557</c:v>
                </c:pt>
                <c:pt idx="262">
                  <c:v>57.408063921370328</c:v>
                </c:pt>
                <c:pt idx="263">
                  <c:v>328.79589323941843</c:v>
                </c:pt>
                <c:pt idx="264">
                  <c:v>660.98139368111094</c:v>
                </c:pt>
                <c:pt idx="265">
                  <c:v>35.383519020981616</c:v>
                </c:pt>
                <c:pt idx="266">
                  <c:v>1001.3469977877014</c:v>
                </c:pt>
                <c:pt idx="267">
                  <c:v>53.082182472377546</c:v>
                </c:pt>
                <c:pt idx="268">
                  <c:v>142.43287471855527</c:v>
                </c:pt>
                <c:pt idx="269">
                  <c:v>198.23008288741741</c:v>
                </c:pt>
                <c:pt idx="270">
                  <c:v>3.1998072843698857</c:v>
                </c:pt>
                <c:pt idx="271">
                  <c:v>113.2521925832539</c:v>
                </c:pt>
                <c:pt idx="272">
                  <c:v>96.589434180207434</c:v>
                </c:pt>
                <c:pt idx="273">
                  <c:v>171.2461774323981</c:v>
                </c:pt>
                <c:pt idx="274">
                  <c:v>60.765857877217208</c:v>
                </c:pt>
                <c:pt idx="275">
                  <c:v>20.892616081645919</c:v>
                </c:pt>
                <c:pt idx="276">
                  <c:v>32.656935868616415</c:v>
                </c:pt>
                <c:pt idx="277">
                  <c:v>13.776661089754336</c:v>
                </c:pt>
                <c:pt idx="278">
                  <c:v>58.897462863043351</c:v>
                </c:pt>
                <c:pt idx="279">
                  <c:v>98.523537457821845</c:v>
                </c:pt>
                <c:pt idx="280">
                  <c:v>152.04711639651825</c:v>
                </c:pt>
                <c:pt idx="281">
                  <c:v>107.59118596477802</c:v>
                </c:pt>
                <c:pt idx="282">
                  <c:v>74.13236323032622</c:v>
                </c:pt>
                <c:pt idx="283">
                  <c:v>477.18732888905879</c:v>
                </c:pt>
                <c:pt idx="284">
                  <c:v>31.991942665398849</c:v>
                </c:pt>
                <c:pt idx="285">
                  <c:v>43.043015343013295</c:v>
                </c:pt>
                <c:pt idx="286">
                  <c:v>43.647202122740076</c:v>
                </c:pt>
                <c:pt idx="287">
                  <c:v>66.873150404493146</c:v>
                </c:pt>
                <c:pt idx="288">
                  <c:v>79.650875117006095</c:v>
                </c:pt>
                <c:pt idx="289">
                  <c:v>159.19770118500301</c:v>
                </c:pt>
                <c:pt idx="290">
                  <c:v>153.52006440305368</c:v>
                </c:pt>
                <c:pt idx="291">
                  <c:v>32.233252195219499</c:v>
                </c:pt>
                <c:pt idx="292">
                  <c:v>37.368260134088374</c:v>
                </c:pt>
                <c:pt idx="293">
                  <c:v>92.91280545025792</c:v>
                </c:pt>
                <c:pt idx="294">
                  <c:v>88.292605934794253</c:v>
                </c:pt>
                <c:pt idx="295">
                  <c:v>56.280425304280442</c:v>
                </c:pt>
                <c:pt idx="296">
                  <c:v>72.759577308610744</c:v>
                </c:pt>
                <c:pt idx="297">
                  <c:v>47.685901454030081</c:v>
                </c:pt>
                <c:pt idx="298">
                  <c:v>292.5968636630983</c:v>
                </c:pt>
                <c:pt idx="299">
                  <c:v>55.850631912614332</c:v>
                </c:pt>
                <c:pt idx="300">
                  <c:v>55.836751531330357</c:v>
                </c:pt>
                <c:pt idx="301">
                  <c:v>15.617695379694496</c:v>
                </c:pt>
                <c:pt idx="302">
                  <c:v>80.008937858637182</c:v>
                </c:pt>
                <c:pt idx="303">
                  <c:v>128.37029133330341</c:v>
                </c:pt>
                <c:pt idx="304">
                  <c:v>60.82771728750518</c:v>
                </c:pt>
                <c:pt idx="305">
                  <c:v>49.786477706783103</c:v>
                </c:pt>
                <c:pt idx="306">
                  <c:v>95.293766532849148</c:v>
                </c:pt>
                <c:pt idx="307">
                  <c:v>107.56515561190622</c:v>
                </c:pt>
                <c:pt idx="308">
                  <c:v>7.631208367011153</c:v>
                </c:pt>
                <c:pt idx="309">
                  <c:v>21.178391588085002</c:v>
                </c:pt>
                <c:pt idx="310">
                  <c:v>92.895175172356161</c:v>
                </c:pt>
                <c:pt idx="311">
                  <c:v>43.148493253713376</c:v>
                </c:pt>
                <c:pt idx="312">
                  <c:v>71.341637461055171</c:v>
                </c:pt>
                <c:pt idx="313">
                  <c:v>176.12924106275838</c:v>
                </c:pt>
                <c:pt idx="314">
                  <c:v>56.943036350818694</c:v>
                </c:pt>
                <c:pt idx="315">
                  <c:v>38.625121796995593</c:v>
                </c:pt>
                <c:pt idx="316">
                  <c:v>76.08434099141985</c:v>
                </c:pt>
                <c:pt idx="317">
                  <c:v>32.920413115541137</c:v>
                </c:pt>
                <c:pt idx="318">
                  <c:v>17.621497644599238</c:v>
                </c:pt>
                <c:pt idx="319">
                  <c:v>121.16788726414852</c:v>
                </c:pt>
                <c:pt idx="320">
                  <c:v>107.79919278120036</c:v>
                </c:pt>
                <c:pt idx="321">
                  <c:v>34.789986089660701</c:v>
                </c:pt>
                <c:pt idx="322">
                  <c:v>110.30484545415824</c:v>
                </c:pt>
                <c:pt idx="323">
                  <c:v>73.988973317580161</c:v>
                </c:pt>
                <c:pt idx="324">
                  <c:v>41.843406775984157</c:v>
                </c:pt>
                <c:pt idx="325">
                  <c:v>356.0929790955521</c:v>
                </c:pt>
                <c:pt idx="326">
                  <c:v>534.64008101604099</c:v>
                </c:pt>
                <c:pt idx="327">
                  <c:v>114.16606034888052</c:v>
                </c:pt>
                <c:pt idx="328">
                  <c:v>19.400044453048974</c:v>
                </c:pt>
                <c:pt idx="329">
                  <c:v>129.57946454732317</c:v>
                </c:pt>
                <c:pt idx="330">
                  <c:v>102.4868984478185</c:v>
                </c:pt>
                <c:pt idx="331">
                  <c:v>164.01349942198362</c:v>
                </c:pt>
                <c:pt idx="332">
                  <c:v>314.02392930260362</c:v>
                </c:pt>
                <c:pt idx="333">
                  <c:v>46.313369666133326</c:v>
                </c:pt>
                <c:pt idx="334">
                  <c:v>110.72710855413186</c:v>
                </c:pt>
                <c:pt idx="335">
                  <c:v>59.647490154172232</c:v>
                </c:pt>
                <c:pt idx="336">
                  <c:v>1431.8126900904313</c:v>
                </c:pt>
                <c:pt idx="337">
                  <c:v>177.51785415705788</c:v>
                </c:pt>
                <c:pt idx="338">
                  <c:v>102.98077766960034</c:v>
                </c:pt>
                <c:pt idx="339">
                  <c:v>172.22906657155386</c:v>
                </c:pt>
                <c:pt idx="340">
                  <c:v>131.96505984456849</c:v>
                </c:pt>
                <c:pt idx="341">
                  <c:v>123.81624524793573</c:v>
                </c:pt>
                <c:pt idx="342">
                  <c:v>129.39031530407928</c:v>
                </c:pt>
                <c:pt idx="343">
                  <c:v>82.518610835394895</c:v>
                </c:pt>
                <c:pt idx="344">
                  <c:v>380.42362639824154</c:v>
                </c:pt>
                <c:pt idx="345">
                  <c:v>53.199174282795155</c:v>
                </c:pt>
                <c:pt idx="346">
                  <c:v>56.832533710595627</c:v>
                </c:pt>
                <c:pt idx="347">
                  <c:v>144.01299374877644</c:v>
                </c:pt>
                <c:pt idx="348">
                  <c:v>232.04751120121668</c:v>
                </c:pt>
                <c:pt idx="349">
                  <c:v>7.394318463446826</c:v>
                </c:pt>
                <c:pt idx="350">
                  <c:v>19.129345559533771</c:v>
                </c:pt>
                <c:pt idx="351">
                  <c:v>22.797532191106555</c:v>
                </c:pt>
                <c:pt idx="352">
                  <c:v>105.14083351600613</c:v>
                </c:pt>
                <c:pt idx="353">
                  <c:v>117.53882428563611</c:v>
                </c:pt>
                <c:pt idx="354">
                  <c:v>328.65610798629757</c:v>
                </c:pt>
                <c:pt idx="355">
                  <c:v>184.19424557637447</c:v>
                </c:pt>
                <c:pt idx="356">
                  <c:v>60.62936516711278</c:v>
                </c:pt>
                <c:pt idx="357">
                  <c:v>116.03095391771693</c:v>
                </c:pt>
                <c:pt idx="358">
                  <c:v>87.634501670284408</c:v>
                </c:pt>
                <c:pt idx="359">
                  <c:v>189.39499549097633</c:v>
                </c:pt>
                <c:pt idx="360">
                  <c:v>91.145038485268202</c:v>
                </c:pt>
                <c:pt idx="361">
                  <c:v>478.89171172200577</c:v>
                </c:pt>
                <c:pt idx="362">
                  <c:v>46.054708444334189</c:v>
                </c:pt>
                <c:pt idx="363">
                  <c:v>565.39705661764378</c:v>
                </c:pt>
                <c:pt idx="364">
                  <c:v>69.229468613719263</c:v>
                </c:pt>
                <c:pt idx="365">
                  <c:v>123.35954037622652</c:v>
                </c:pt>
                <c:pt idx="366">
                  <c:v>80.260014174352293</c:v>
                </c:pt>
                <c:pt idx="367">
                  <c:v>211.96745474682584</c:v>
                </c:pt>
                <c:pt idx="368">
                  <c:v>87.162961350257106</c:v>
                </c:pt>
                <c:pt idx="369">
                  <c:v>139.72727915263263</c:v>
                </c:pt>
                <c:pt idx="370">
                  <c:v>30.485152819670201</c:v>
                </c:pt>
                <c:pt idx="371">
                  <c:v>40.775059822253873</c:v>
                </c:pt>
                <c:pt idx="372">
                  <c:v>18.7819748032917</c:v>
                </c:pt>
                <c:pt idx="373">
                  <c:v>76.183432238927878</c:v>
                </c:pt>
                <c:pt idx="374">
                  <c:v>86.206253522764598</c:v>
                </c:pt>
                <c:pt idx="375">
                  <c:v>96.006001009011072</c:v>
                </c:pt>
                <c:pt idx="376">
                  <c:v>45.547862898464238</c:v>
                </c:pt>
                <c:pt idx="377">
                  <c:v>362.59721394970398</c:v>
                </c:pt>
                <c:pt idx="378">
                  <c:v>85.542777639037155</c:v>
                </c:pt>
                <c:pt idx="379">
                  <c:v>319.63080963603454</c:v>
                </c:pt>
                <c:pt idx="380">
                  <c:v>102.91882075921318</c:v>
                </c:pt>
                <c:pt idx="381">
                  <c:v>36.718570919678108</c:v>
                </c:pt>
                <c:pt idx="382">
                  <c:v>58.811498112920937</c:v>
                </c:pt>
                <c:pt idx="383">
                  <c:v>103.95712864652631</c:v>
                </c:pt>
                <c:pt idx="384">
                  <c:v>198.65216570541759</c:v>
                </c:pt>
                <c:pt idx="385">
                  <c:v>92.401271714882128</c:v>
                </c:pt>
                <c:pt idx="386">
                  <c:v>16.178196504985792</c:v>
                </c:pt>
                <c:pt idx="387">
                  <c:v>16.728438211904535</c:v>
                </c:pt>
                <c:pt idx="388">
                  <c:v>504.31043551047998</c:v>
                </c:pt>
                <c:pt idx="389">
                  <c:v>100.46803332528258</c:v>
                </c:pt>
                <c:pt idx="390">
                  <c:v>54.46396795827124</c:v>
                </c:pt>
                <c:pt idx="391">
                  <c:v>36.128464375635446</c:v>
                </c:pt>
                <c:pt idx="392">
                  <c:v>667.7797548532227</c:v>
                </c:pt>
                <c:pt idx="393">
                  <c:v>14.82111920967437</c:v>
                </c:pt>
                <c:pt idx="394">
                  <c:v>56.58979733157139</c:v>
                </c:pt>
                <c:pt idx="395">
                  <c:v>84.494455009917914</c:v>
                </c:pt>
                <c:pt idx="396">
                  <c:v>152.53747724244798</c:v>
                </c:pt>
                <c:pt idx="397">
                  <c:v>137.85135090561835</c:v>
                </c:pt>
                <c:pt idx="398">
                  <c:v>203.64655719335329</c:v>
                </c:pt>
                <c:pt idx="399">
                  <c:v>61.645519650817278</c:v>
                </c:pt>
                <c:pt idx="400">
                  <c:v>45.436766717055299</c:v>
                </c:pt>
                <c:pt idx="401">
                  <c:v>42.531944160547212</c:v>
                </c:pt>
                <c:pt idx="402">
                  <c:v>496.12063499504609</c:v>
                </c:pt>
                <c:pt idx="403">
                  <c:v>206.91015200553792</c:v>
                </c:pt>
                <c:pt idx="404">
                  <c:v>15.933703305298243</c:v>
                </c:pt>
                <c:pt idx="405">
                  <c:v>574.22628706768842</c:v>
                </c:pt>
                <c:pt idx="406">
                  <c:v>175.56125967279544</c:v>
                </c:pt>
                <c:pt idx="407">
                  <c:v>42.958415121370685</c:v>
                </c:pt>
                <c:pt idx="408">
                  <c:v>91.853290328745075</c:v>
                </c:pt>
                <c:pt idx="409">
                  <c:v>32.877967972635929</c:v>
                </c:pt>
                <c:pt idx="410">
                  <c:v>68.912286546002647</c:v>
                </c:pt>
                <c:pt idx="411">
                  <c:v>57.242986782353057</c:v>
                </c:pt>
                <c:pt idx="412">
                  <c:v>107.00829877716328</c:v>
                </c:pt>
                <c:pt idx="413">
                  <c:v>268.82901332505276</c:v>
                </c:pt>
                <c:pt idx="414">
                  <c:v>476.92884867102953</c:v>
                </c:pt>
                <c:pt idx="415">
                  <c:v>40.049371407266747</c:v>
                </c:pt>
                <c:pt idx="416">
                  <c:v>53.127855012557575</c:v>
                </c:pt>
                <c:pt idx="417">
                  <c:v>66.95754437181165</c:v>
                </c:pt>
                <c:pt idx="418">
                  <c:v>73.465066213459053</c:v>
                </c:pt>
                <c:pt idx="419">
                  <c:v>82.31792405712801</c:v>
                </c:pt>
                <c:pt idx="420">
                  <c:v>116.32984593614417</c:v>
                </c:pt>
                <c:pt idx="421">
                  <c:v>156.03006442931135</c:v>
                </c:pt>
                <c:pt idx="422">
                  <c:v>155.84612243676466</c:v>
                </c:pt>
                <c:pt idx="423">
                  <c:v>138.35854259323813</c:v>
                </c:pt>
                <c:pt idx="424">
                  <c:v>24.47212710261206</c:v>
                </c:pt>
                <c:pt idx="425">
                  <c:v>99.991044582395276</c:v>
                </c:pt>
                <c:pt idx="426">
                  <c:v>163.47491724217056</c:v>
                </c:pt>
                <c:pt idx="427">
                  <c:v>101.61800037277804</c:v>
                </c:pt>
                <c:pt idx="428">
                  <c:v>58.437998038476394</c:v>
                </c:pt>
                <c:pt idx="429">
                  <c:v>110.50691081015356</c:v>
                </c:pt>
                <c:pt idx="430">
                  <c:v>14.0165489270845</c:v>
                </c:pt>
                <c:pt idx="431">
                  <c:v>98.553389115315198</c:v>
                </c:pt>
                <c:pt idx="432">
                  <c:v>167.84479236371939</c:v>
                </c:pt>
                <c:pt idx="433">
                  <c:v>192.32598371275847</c:v>
                </c:pt>
                <c:pt idx="434">
                  <c:v>47.645571107406482</c:v>
                </c:pt>
                <c:pt idx="435">
                  <c:v>131.3204472605172</c:v>
                </c:pt>
                <c:pt idx="436">
                  <c:v>20.835581459629406</c:v>
                </c:pt>
                <c:pt idx="437">
                  <c:v>40.052514399270947</c:v>
                </c:pt>
                <c:pt idx="438">
                  <c:v>74.592723358250154</c:v>
                </c:pt>
                <c:pt idx="439">
                  <c:v>54.156427869053189</c:v>
                </c:pt>
                <c:pt idx="440">
                  <c:v>311.84579038274921</c:v>
                </c:pt>
                <c:pt idx="441">
                  <c:v>125.6763676369839</c:v>
                </c:pt>
                <c:pt idx="442">
                  <c:v>131.57337133455871</c:v>
                </c:pt>
                <c:pt idx="443">
                  <c:v>89.402086787012635</c:v>
                </c:pt>
                <c:pt idx="444">
                  <c:v>86.543791493038796</c:v>
                </c:pt>
                <c:pt idx="445">
                  <c:v>50.31151101479557</c:v>
                </c:pt>
                <c:pt idx="446">
                  <c:v>72.673510428310266</c:v>
                </c:pt>
                <c:pt idx="447">
                  <c:v>562.01431802066372</c:v>
                </c:pt>
                <c:pt idx="448">
                  <c:v>131.57393830598335</c:v>
                </c:pt>
                <c:pt idx="449">
                  <c:v>89.881621996846462</c:v>
                </c:pt>
                <c:pt idx="450">
                  <c:v>45.792752921498135</c:v>
                </c:pt>
                <c:pt idx="451">
                  <c:v>55.077617051275936</c:v>
                </c:pt>
                <c:pt idx="452">
                  <c:v>127.19023167776422</c:v>
                </c:pt>
                <c:pt idx="453">
                  <c:v>151.97184824818979</c:v>
                </c:pt>
                <c:pt idx="454">
                  <c:v>328.44703073758774</c:v>
                </c:pt>
                <c:pt idx="455">
                  <c:v>93.632654350800351</c:v>
                </c:pt>
                <c:pt idx="456">
                  <c:v>87.339937016900862</c:v>
                </c:pt>
                <c:pt idx="457">
                  <c:v>195.28885719827872</c:v>
                </c:pt>
                <c:pt idx="458">
                  <c:v>56.323640957289363</c:v>
                </c:pt>
                <c:pt idx="459">
                  <c:v>177.78911614369275</c:v>
                </c:pt>
                <c:pt idx="460">
                  <c:v>371.58742606587771</c:v>
                </c:pt>
                <c:pt idx="461">
                  <c:v>57.625949308904168</c:v>
                </c:pt>
                <c:pt idx="462">
                  <c:v>142.56418343569732</c:v>
                </c:pt>
                <c:pt idx="463">
                  <c:v>139.16874161934521</c:v>
                </c:pt>
                <c:pt idx="464">
                  <c:v>46.672147550242165</c:v>
                </c:pt>
                <c:pt idx="465">
                  <c:v>130.59864314895736</c:v>
                </c:pt>
                <c:pt idx="466">
                  <c:v>59.499145090715182</c:v>
                </c:pt>
                <c:pt idx="467">
                  <c:v>125.26706314362968</c:v>
                </c:pt>
                <c:pt idx="468">
                  <c:v>143.69355514175038</c:v>
                </c:pt>
                <c:pt idx="469">
                  <c:v>121.86096553764372</c:v>
                </c:pt>
                <c:pt idx="470">
                  <c:v>218.95906871408181</c:v>
                </c:pt>
                <c:pt idx="471">
                  <c:v>42.09831107427722</c:v>
                </c:pt>
                <c:pt idx="472">
                  <c:v>49.040156082852299</c:v>
                </c:pt>
                <c:pt idx="473">
                  <c:v>182.38145026806021</c:v>
                </c:pt>
                <c:pt idx="474">
                  <c:v>127.95895429136147</c:v>
                </c:pt>
                <c:pt idx="475">
                  <c:v>149.26453773458493</c:v>
                </c:pt>
                <c:pt idx="476">
                  <c:v>414.08586903642009</c:v>
                </c:pt>
                <c:pt idx="477">
                  <c:v>53.770271041999202</c:v>
                </c:pt>
                <c:pt idx="478">
                  <c:v>33.084502443931157</c:v>
                </c:pt>
                <c:pt idx="479">
                  <c:v>103.79703603953104</c:v>
                </c:pt>
                <c:pt idx="480">
                  <c:v>333.89461660912804</c:v>
                </c:pt>
                <c:pt idx="481">
                  <c:v>114.9679987860909</c:v>
                </c:pt>
                <c:pt idx="482">
                  <c:v>295.38510093768235</c:v>
                </c:pt>
                <c:pt idx="483">
                  <c:v>272.37930826032135</c:v>
                </c:pt>
                <c:pt idx="484">
                  <c:v>257.92202022055397</c:v>
                </c:pt>
                <c:pt idx="485">
                  <c:v>1657.3728052507611</c:v>
                </c:pt>
                <c:pt idx="486">
                  <c:v>142.68482053492616</c:v>
                </c:pt>
                <c:pt idx="487">
                  <c:v>131.77200967069368</c:v>
                </c:pt>
                <c:pt idx="488">
                  <c:v>67.200084374044991</c:v>
                </c:pt>
                <c:pt idx="489">
                  <c:v>225.31093581799928</c:v>
                </c:pt>
                <c:pt idx="490">
                  <c:v>36.822123757886175</c:v>
                </c:pt>
                <c:pt idx="491">
                  <c:v>37.139146090045855</c:v>
                </c:pt>
                <c:pt idx="492">
                  <c:v>70.750139229682873</c:v>
                </c:pt>
                <c:pt idx="493">
                  <c:v>12.848722045045257</c:v>
                </c:pt>
                <c:pt idx="494">
                  <c:v>144.57550810578337</c:v>
                </c:pt>
                <c:pt idx="495">
                  <c:v>115.28366849185367</c:v>
                </c:pt>
                <c:pt idx="496">
                  <c:v>13.189910274340068</c:v>
                </c:pt>
                <c:pt idx="497">
                  <c:v>868.71152611633363</c:v>
                </c:pt>
                <c:pt idx="498">
                  <c:v>124.98547114009592</c:v>
                </c:pt>
                <c:pt idx="499">
                  <c:v>145.0351287766276</c:v>
                </c:pt>
                <c:pt idx="500">
                  <c:v>145.45610539728352</c:v>
                </c:pt>
                <c:pt idx="501">
                  <c:v>65.284234609446585</c:v>
                </c:pt>
                <c:pt idx="502">
                  <c:v>1400.2474799258514</c:v>
                </c:pt>
                <c:pt idx="503">
                  <c:v>167.22526240444355</c:v>
                </c:pt>
                <c:pt idx="504">
                  <c:v>76.814664618471795</c:v>
                </c:pt>
                <c:pt idx="505">
                  <c:v>391.84163884585138</c:v>
                </c:pt>
                <c:pt idx="506">
                  <c:v>31.19907308013574</c:v>
                </c:pt>
                <c:pt idx="507">
                  <c:v>127.87436101579011</c:v>
                </c:pt>
                <c:pt idx="508">
                  <c:v>85.054566585691745</c:v>
                </c:pt>
                <c:pt idx="509">
                  <c:v>95.768316948391515</c:v>
                </c:pt>
                <c:pt idx="510">
                  <c:v>58.592103841351097</c:v>
                </c:pt>
                <c:pt idx="511">
                  <c:v>27.755373770624203</c:v>
                </c:pt>
                <c:pt idx="512">
                  <c:v>52.354086456388274</c:v>
                </c:pt>
                <c:pt idx="513">
                  <c:v>264.56354363455051</c:v>
                </c:pt>
                <c:pt idx="514">
                  <c:v>120.10849393165262</c:v>
                </c:pt>
                <c:pt idx="515">
                  <c:v>144.36840473927541</c:v>
                </c:pt>
                <c:pt idx="516">
                  <c:v>126.65391464472869</c:v>
                </c:pt>
                <c:pt idx="517">
                  <c:v>95.551957910687889</c:v>
                </c:pt>
                <c:pt idx="518">
                  <c:v>35.135003537375084</c:v>
                </c:pt>
                <c:pt idx="519">
                  <c:v>108.96752779483344</c:v>
                </c:pt>
                <c:pt idx="520">
                  <c:v>123.15677671566793</c:v>
                </c:pt>
                <c:pt idx="521">
                  <c:v>85.489904203342988</c:v>
                </c:pt>
                <c:pt idx="522">
                  <c:v>178.95076988861402</c:v>
                </c:pt>
                <c:pt idx="523">
                  <c:v>395.35476929781203</c:v>
                </c:pt>
                <c:pt idx="524">
                  <c:v>60.936596780330653</c:v>
                </c:pt>
                <c:pt idx="525">
                  <c:v>50.722813618802022</c:v>
                </c:pt>
                <c:pt idx="526">
                  <c:v>72.623503015971238</c:v>
                </c:pt>
                <c:pt idx="527">
                  <c:v>50.88897536165161</c:v>
                </c:pt>
                <c:pt idx="528">
                  <c:v>122.68533064715042</c:v>
                </c:pt>
                <c:pt idx="529">
                  <c:v>112.4395386408454</c:v>
                </c:pt>
                <c:pt idx="530">
                  <c:v>54.419363298029225</c:v>
                </c:pt>
                <c:pt idx="531">
                  <c:v>124.20291100222872</c:v>
                </c:pt>
                <c:pt idx="532">
                  <c:v>235.86169285959397</c:v>
                </c:pt>
                <c:pt idx="533">
                  <c:v>94.712993302467694</c:v>
                </c:pt>
                <c:pt idx="534">
                  <c:v>66.127113399097695</c:v>
                </c:pt>
                <c:pt idx="535">
                  <c:v>19.713534854695769</c:v>
                </c:pt>
                <c:pt idx="536">
                  <c:v>53.486693080255968</c:v>
                </c:pt>
                <c:pt idx="537">
                  <c:v>29.90899624858957</c:v>
                </c:pt>
                <c:pt idx="538">
                  <c:v>76.319625090138828</c:v>
                </c:pt>
                <c:pt idx="539">
                  <c:v>61.647663751501319</c:v>
                </c:pt>
                <c:pt idx="540">
                  <c:v>556.55981737516299</c:v>
                </c:pt>
                <c:pt idx="541">
                  <c:v>63.286010291243009</c:v>
                </c:pt>
                <c:pt idx="542">
                  <c:v>88.509405377633911</c:v>
                </c:pt>
                <c:pt idx="543">
                  <c:v>351.96441014766378</c:v>
                </c:pt>
                <c:pt idx="544">
                  <c:v>34.046908809994406</c:v>
                </c:pt>
                <c:pt idx="545">
                  <c:v>103.48038534093806</c:v>
                </c:pt>
                <c:pt idx="546">
                  <c:v>82.683361838242291</c:v>
                </c:pt>
                <c:pt idx="547">
                  <c:v>235.5303956034542</c:v>
                </c:pt>
                <c:pt idx="548">
                  <c:v>597.93940555582481</c:v>
                </c:pt>
                <c:pt idx="549">
                  <c:v>152.57542605170889</c:v>
                </c:pt>
                <c:pt idx="550">
                  <c:v>169.64685317347269</c:v>
                </c:pt>
                <c:pt idx="551">
                  <c:v>12.686568710287153</c:v>
                </c:pt>
                <c:pt idx="552">
                  <c:v>375.90253754914556</c:v>
                </c:pt>
                <c:pt idx="553">
                  <c:v>61.481948446948728</c:v>
                </c:pt>
                <c:pt idx="554">
                  <c:v>90.061424052015667</c:v>
                </c:pt>
                <c:pt idx="555">
                  <c:v>84.729244778083142</c:v>
                </c:pt>
                <c:pt idx="556">
                  <c:v>152.72062366535502</c:v>
                </c:pt>
                <c:pt idx="557">
                  <c:v>107.31865062621351</c:v>
                </c:pt>
                <c:pt idx="558">
                  <c:v>112.01223868318577</c:v>
                </c:pt>
                <c:pt idx="559">
                  <c:v>52.160100798739116</c:v>
                </c:pt>
                <c:pt idx="560">
                  <c:v>98.447578775160494</c:v>
                </c:pt>
                <c:pt idx="561">
                  <c:v>100.97194266891121</c:v>
                </c:pt>
                <c:pt idx="562">
                  <c:v>10.067143071261558</c:v>
                </c:pt>
                <c:pt idx="563">
                  <c:v>935.47435929205039</c:v>
                </c:pt>
                <c:pt idx="564">
                  <c:v>41.496262316687535</c:v>
                </c:pt>
                <c:pt idx="565">
                  <c:v>116.9203845472708</c:v>
                </c:pt>
                <c:pt idx="566">
                  <c:v>93.617199468155647</c:v>
                </c:pt>
                <c:pt idx="567">
                  <c:v>98.377852547857671</c:v>
                </c:pt>
                <c:pt idx="568">
                  <c:v>53.378335880825233</c:v>
                </c:pt>
                <c:pt idx="569">
                  <c:v>21.492948359377756</c:v>
                </c:pt>
                <c:pt idx="570">
                  <c:v>36.651044566162092</c:v>
                </c:pt>
                <c:pt idx="571">
                  <c:v>36.204026612730345</c:v>
                </c:pt>
                <c:pt idx="572">
                  <c:v>37.942116974966169</c:v>
                </c:pt>
                <c:pt idx="573">
                  <c:v>94.599862586089372</c:v>
                </c:pt>
                <c:pt idx="574">
                  <c:v>141.8858382312518</c:v>
                </c:pt>
                <c:pt idx="575">
                  <c:v>70.848251055049857</c:v>
                </c:pt>
                <c:pt idx="576">
                  <c:v>940.59250965329102</c:v>
                </c:pt>
                <c:pt idx="577">
                  <c:v>61.39581008460187</c:v>
                </c:pt>
                <c:pt idx="578">
                  <c:v>119.81601726514654</c:v>
                </c:pt>
                <c:pt idx="579">
                  <c:v>136.08963149554543</c:v>
                </c:pt>
                <c:pt idx="580">
                  <c:v>32.585441489445401</c:v>
                </c:pt>
                <c:pt idx="581">
                  <c:v>51.351196138075423</c:v>
                </c:pt>
                <c:pt idx="582">
                  <c:v>112.75354582886769</c:v>
                </c:pt>
                <c:pt idx="583">
                  <c:v>31.476705387829888</c:v>
                </c:pt>
                <c:pt idx="584">
                  <c:v>163.42861939751032</c:v>
                </c:pt>
                <c:pt idx="585">
                  <c:v>30.203487575735561</c:v>
                </c:pt>
                <c:pt idx="586">
                  <c:v>42.750042797044244</c:v>
                </c:pt>
                <c:pt idx="587">
                  <c:v>90.620645573060628</c:v>
                </c:pt>
                <c:pt idx="588">
                  <c:v>49.423306241655823</c:v>
                </c:pt>
                <c:pt idx="589">
                  <c:v>207.33533804261216</c:v>
                </c:pt>
                <c:pt idx="590">
                  <c:v>63.047523444242103</c:v>
                </c:pt>
                <c:pt idx="591">
                  <c:v>302.21183894870614</c:v>
                </c:pt>
                <c:pt idx="592">
                  <c:v>114.04147302272025</c:v>
                </c:pt>
                <c:pt idx="593">
                  <c:v>148.1563952232525</c:v>
                </c:pt>
                <c:pt idx="594">
                  <c:v>118.97084583746795</c:v>
                </c:pt>
                <c:pt idx="595">
                  <c:v>70.934079044911371</c:v>
                </c:pt>
                <c:pt idx="596">
                  <c:v>216.16575778075511</c:v>
                </c:pt>
                <c:pt idx="597">
                  <c:v>40.392925255450322</c:v>
                </c:pt>
                <c:pt idx="598">
                  <c:v>228.95366640357253</c:v>
                </c:pt>
                <c:pt idx="599">
                  <c:v>101.17942053136032</c:v>
                </c:pt>
                <c:pt idx="600">
                  <c:v>83.957312337228799</c:v>
                </c:pt>
                <c:pt idx="601">
                  <c:v>30.906744195490631</c:v>
                </c:pt>
                <c:pt idx="602">
                  <c:v>109.96929094453525</c:v>
                </c:pt>
                <c:pt idx="603">
                  <c:v>56.226850416950015</c:v>
                </c:pt>
                <c:pt idx="604">
                  <c:v>181.861644096156</c:v>
                </c:pt>
                <c:pt idx="605">
                  <c:v>134.88758295954611</c:v>
                </c:pt>
                <c:pt idx="606">
                  <c:v>100.49182297726971</c:v>
                </c:pt>
                <c:pt idx="607">
                  <c:v>61.767044809149091</c:v>
                </c:pt>
                <c:pt idx="608">
                  <c:v>342.85925206990618</c:v>
                </c:pt>
                <c:pt idx="609">
                  <c:v>39.429636099663696</c:v>
                </c:pt>
                <c:pt idx="610">
                  <c:v>15.025358710186168</c:v>
                </c:pt>
                <c:pt idx="611">
                  <c:v>20.512000047550593</c:v>
                </c:pt>
                <c:pt idx="612">
                  <c:v>441.37573235871059</c:v>
                </c:pt>
                <c:pt idx="613">
                  <c:v>24.265070752795232</c:v>
                </c:pt>
                <c:pt idx="614">
                  <c:v>85.306747609879167</c:v>
                </c:pt>
                <c:pt idx="615">
                  <c:v>50.999435801258272</c:v>
                </c:pt>
                <c:pt idx="616">
                  <c:v>432.50767001181543</c:v>
                </c:pt>
                <c:pt idx="617">
                  <c:v>69.728892364053507</c:v>
                </c:pt>
                <c:pt idx="618">
                  <c:v>12.764218307355875</c:v>
                </c:pt>
                <c:pt idx="619">
                  <c:v>149.48003143628523</c:v>
                </c:pt>
                <c:pt idx="620">
                  <c:v>68.610537132514523</c:v>
                </c:pt>
                <c:pt idx="621">
                  <c:v>116.6077073046162</c:v>
                </c:pt>
                <c:pt idx="622">
                  <c:v>483.67049610074929</c:v>
                </c:pt>
                <c:pt idx="623">
                  <c:v>34.109681818262061</c:v>
                </c:pt>
                <c:pt idx="624">
                  <c:v>40.292839396164133</c:v>
                </c:pt>
                <c:pt idx="625">
                  <c:v>44.528981660512947</c:v>
                </c:pt>
                <c:pt idx="626">
                  <c:v>118.37766852790634</c:v>
                </c:pt>
                <c:pt idx="627">
                  <c:v>32.692813874937748</c:v>
                </c:pt>
                <c:pt idx="628">
                  <c:v>148.30963085143719</c:v>
                </c:pt>
                <c:pt idx="629">
                  <c:v>66.628145543144697</c:v>
                </c:pt>
                <c:pt idx="630">
                  <c:v>298.76102657633317</c:v>
                </c:pt>
                <c:pt idx="631">
                  <c:v>496.08879104627113</c:v>
                </c:pt>
                <c:pt idx="632">
                  <c:v>305.46173400387841</c:v>
                </c:pt>
                <c:pt idx="633">
                  <c:v>153.35575605134588</c:v>
                </c:pt>
                <c:pt idx="634">
                  <c:v>747.4717859343865</c:v>
                </c:pt>
                <c:pt idx="635">
                  <c:v>79.090412209570843</c:v>
                </c:pt>
                <c:pt idx="636">
                  <c:v>50.369766972668117</c:v>
                </c:pt>
                <c:pt idx="637">
                  <c:v>110.4053883566598</c:v>
                </c:pt>
                <c:pt idx="638">
                  <c:v>42.539010448210682</c:v>
                </c:pt>
                <c:pt idx="639">
                  <c:v>29.945443559718409</c:v>
                </c:pt>
                <c:pt idx="640">
                  <c:v>103.72372217237715</c:v>
                </c:pt>
                <c:pt idx="641">
                  <c:v>51.08243690045979</c:v>
                </c:pt>
                <c:pt idx="642">
                  <c:v>65.967909475918731</c:v>
                </c:pt>
                <c:pt idx="643">
                  <c:v>29.338199252275579</c:v>
                </c:pt>
                <c:pt idx="644">
                  <c:v>192.15347510419579</c:v>
                </c:pt>
                <c:pt idx="645">
                  <c:v>14.578004939597392</c:v>
                </c:pt>
                <c:pt idx="646">
                  <c:v>31.878670252687975</c:v>
                </c:pt>
                <c:pt idx="647">
                  <c:v>23.632569408905457</c:v>
                </c:pt>
                <c:pt idx="648">
                  <c:v>148.71705293647318</c:v>
                </c:pt>
                <c:pt idx="649">
                  <c:v>30.093452984002056</c:v>
                </c:pt>
                <c:pt idx="650">
                  <c:v>44.645738990411019</c:v>
                </c:pt>
                <c:pt idx="651">
                  <c:v>76.117260271356542</c:v>
                </c:pt>
                <c:pt idx="652">
                  <c:v>54.129742712298608</c:v>
                </c:pt>
                <c:pt idx="653">
                  <c:v>42.005642582637385</c:v>
                </c:pt>
                <c:pt idx="654">
                  <c:v>20.135706342235888</c:v>
                </c:pt>
                <c:pt idx="655">
                  <c:v>262.59632717535419</c:v>
                </c:pt>
                <c:pt idx="656">
                  <c:v>175.43453843404757</c:v>
                </c:pt>
                <c:pt idx="657">
                  <c:v>102.24939993873528</c:v>
                </c:pt>
                <c:pt idx="658">
                  <c:v>8.0199840361669921</c:v>
                </c:pt>
                <c:pt idx="659">
                  <c:v>96.653311170459801</c:v>
                </c:pt>
                <c:pt idx="660">
                  <c:v>335.59133042496853</c:v>
                </c:pt>
                <c:pt idx="661">
                  <c:v>30.14425044020463</c:v>
                </c:pt>
                <c:pt idx="662">
                  <c:v>70.485081026559826</c:v>
                </c:pt>
                <c:pt idx="663">
                  <c:v>92.281365153205684</c:v>
                </c:pt>
                <c:pt idx="664">
                  <c:v>50.821004686797146</c:v>
                </c:pt>
                <c:pt idx="665">
                  <c:v>45.940349669556731</c:v>
                </c:pt>
                <c:pt idx="666">
                  <c:v>84.104451238919566</c:v>
                </c:pt>
                <c:pt idx="667">
                  <c:v>228.81336151420612</c:v>
                </c:pt>
                <c:pt idx="668">
                  <c:v>44.506732964606265</c:v>
                </c:pt>
                <c:pt idx="669">
                  <c:v>181.39348015996811</c:v>
                </c:pt>
                <c:pt idx="670">
                  <c:v>34.70979582152178</c:v>
                </c:pt>
                <c:pt idx="671">
                  <c:v>700.56355328100051</c:v>
                </c:pt>
                <c:pt idx="672">
                  <c:v>46.072600107987213</c:v>
                </c:pt>
                <c:pt idx="673">
                  <c:v>132.63239735423844</c:v>
                </c:pt>
                <c:pt idx="674">
                  <c:v>99.661598074876053</c:v>
                </c:pt>
                <c:pt idx="675">
                  <c:v>179.01077583792198</c:v>
                </c:pt>
                <c:pt idx="676">
                  <c:v>47.436267946389172</c:v>
                </c:pt>
                <c:pt idx="677">
                  <c:v>80.0396623476299</c:v>
                </c:pt>
                <c:pt idx="678">
                  <c:v>56.180035184081376</c:v>
                </c:pt>
                <c:pt idx="679">
                  <c:v>99.795076900810329</c:v>
                </c:pt>
                <c:pt idx="680">
                  <c:v>40.858534345882404</c:v>
                </c:pt>
                <c:pt idx="681">
                  <c:v>50.935642697815076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56-4103-814D-78CAB4C8E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811679"/>
        <c:axId val="76809279"/>
      </c:barChart>
      <c:catAx>
        <c:axId val="7681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09279"/>
        <c:crosses val="autoZero"/>
        <c:auto val="1"/>
        <c:lblAlgn val="ctr"/>
        <c:lblOffset val="100"/>
        <c:noMultiLvlLbl val="0"/>
      </c:catAx>
      <c:valAx>
        <c:axId val="7680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 gap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11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1</xdr:row>
      <xdr:rowOff>179070</xdr:rowOff>
    </xdr:from>
    <xdr:to>
      <xdr:col>11</xdr:col>
      <xdr:colOff>106680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845B05-104A-745E-A974-441A4D1D2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125730</xdr:rowOff>
    </xdr:from>
    <xdr:to>
      <xdr:col>11</xdr:col>
      <xdr:colOff>266700</xdr:colOff>
      <xdr:row>16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9741E6-59FA-3B7F-9440-3FDF5C6DD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rshithakishore" refreshedDate="46096.125737268521" createdVersion="8" refreshedVersion="8" minRefreshableVersion="3" recordCount="2001" xr:uid="{DA06BE12-8626-479B-A7A9-903045C1F4AE}">
  <cacheSource type="worksheet">
    <worksheetSource ref="A1:H1048576" sheet="Sheet1"/>
  </cacheSource>
  <cacheFields count="8">
    <cacheField name="product_id" numFmtId="0">
      <sharedItems containsBlank="1"/>
    </cacheField>
    <cacheField name="seller_id" numFmtId="0">
      <sharedItems containsBlank="1" count="683">
        <s v="48436dade18ac8b2bce089ec2a041202"/>
        <s v="dd7ddc04e1b6c2c614352b383efe2d36"/>
        <s v="5b51032eddd242adc84c38acab88f23d"/>
        <s v="9d7a1d34a5052409006425275ba1c2b4"/>
        <s v="df560393f3a51e74553ab94004ba5c87"/>
        <s v="6426d21aca402a131fc0a5d0960a3c90"/>
        <s v="7040e82f899a04d1b434b795a43b4617"/>
        <s v="5996cddab893a4652a15592fb58ab8db"/>
        <s v="a416b6a846a11724393025641d4edd5e"/>
        <s v="ba143b05f0110f0dc71ad71b4466ce92"/>
        <s v="cc419e0650a3c5ba77189a1882b7556a"/>
        <s v="8602a61d680a10a82cceeeda0d99ea3d"/>
        <s v="4a3ca9315b744ce9f8e9374361493884"/>
        <s v="1f50f920176fa81dab994f9023523100"/>
        <s v="530ec6109d11eaaf87999465c6afee01"/>
        <s v="fcb5ace8bcc92f75707dc0f01a27d269"/>
        <s v="fe2032dab1a61af8794248c8196565c9"/>
        <s v="218d46b86c1881d022bce9c68a7d4b15"/>
        <s v="8cbac7e12637ed9cffa18c7875207478"/>
        <s v="1c129092bf23f28a5930387c980c0dfc"/>
        <s v="ea8482cd71df3c1969d7b9473ff13abc"/>
        <s v="7c67e1448b00f6e969d365cea6b010ab"/>
        <s v="6560211a19b47992c3666cc44a7e94c0"/>
        <s v="3504c0cb71d7fa48d967e0e4c94d59d9"/>
        <s v="c864036feaab8c1659f65ea4faebe1da"/>
        <s v="bfd27a966d91cfaafdb25d076585f0da"/>
        <s v="41b39e28db005d9731d9d485a83b4c38"/>
        <s v="16090f2ca825584b5a147ab24aa30c86"/>
        <s v="1554a68530182680ad5c8b042c3ab563"/>
        <s v="e59aa562b9f8076dd550fcddf0e73491"/>
        <s v="77530e9772f57a62c906e1c21538ab82"/>
        <s v="a17f621c590ea0fab3d5d883e1630ec6"/>
        <s v="92eb0f42c21942b6552362b9b114707d"/>
        <s v="8b321bb669392f5163d04c59e235e066"/>
        <s v="a3e9a2c700480d9bb01fba070ba80a0e"/>
        <s v="a35124e2d763d7ca3fbe3b97d143200f"/>
        <s v="25c5c91f63607446a97b143d2d535d31"/>
        <s v="7a67c85e85bb2ce8582c35f2203ad736"/>
        <s v="5656537e588803a555b8eb41f07a944b"/>
        <s v="ffc470761de7d0232558ba5e786e57b7"/>
        <s v="9c0e69c7bf2619675bbadf47b43f655a"/>
        <s v="f4aba7c0bca51484c30ab7bdc34bcdd1"/>
        <s v="f45122a9ab94eb4f3f8953578bc0c560"/>
        <s v="3340ef1913fb70d28420f6ceb685c339"/>
        <s v="2a84855fd20af891be03bc5924d2b453"/>
        <s v="ff063b022a9a0aab91bad2c9088760b7"/>
        <s v="8a32e327fe2c1b3511609d81aaf9f042"/>
        <s v="b2ba3715d723d245138f291a6fe42594"/>
        <s v="c3cfdc648177fdbbbb35635a37472c53"/>
        <s v="5f3ae9136c875522250f8184f253413a"/>
        <s v="e8b4225284fbb02d16f200513f1f395d"/>
        <s v="9f505651f4a6abe901a56cdc21508025"/>
        <s v="955fee9216a65b617aa5c0531780ce60"/>
        <s v="87142160b41353c4e5fca2360caf6f92"/>
        <s v="0887a9f087bcd5d9f6642b52f897fc6c"/>
        <s v="12b9676b00f60f3b700e83af21824c0e"/>
        <s v="99eaacc9e6046db1c82b163c5f84869f"/>
        <s v="8f78f0903005064036736c7173a5c2ed"/>
        <s v="058fd0aa2bfdb2274e05e1ae971dabb6"/>
        <s v="900ba814c251a692506d7834c1218441"/>
        <s v="d3dcf0604eabf0224fbd5948b5e02f69"/>
        <s v="6c7d50c24b3ccd2fd83b44d8bb34e073"/>
        <s v="b1a81260566c1bac3114a6d124413f27"/>
        <s v="00720abe85ba0859807595bbf045a33b"/>
        <s v="0241d4d5d36f10f80c644447315af0bd"/>
        <s v="1835b56ce799e6a4dc4eddc053f04066"/>
        <s v="7299e27ed73d2ad986de7f7c77d919fa"/>
        <s v="fa40cc5b934574b62717c68f3d678b6d"/>
        <s v="8e6cc767478edae941d9bd9eb778d77a"/>
        <s v="855668e0971d4dfd7bef1b6a4133b41b"/>
        <s v="a2deecd5398f5df4987110c80a1972a3"/>
        <s v="0dd184061fb0eaa7ca37932c68ab91c5"/>
        <s v="e333046ce6517bd8bb510291d44f0130"/>
        <s v="dbc22125167c298ef99da25668e1011f"/>
        <s v="f00e21b1e91a79653163b7fd8f293ff1"/>
        <s v="70c27847eca8195c983ed7e798c56743"/>
        <s v="cfb1a033743668a192316f3c6d1d2671"/>
        <s v="23c38debaffe4a25a30fdbd9b586a13f"/>
        <s v="516e7738bd8f735ac19a010ee5450d8d"/>
        <s v="8444e55c1f13cd5c179851e5ca5ebd00"/>
        <s v="537eb890efff034a88679788b647c564"/>
        <s v="46dc3b2cc0980fb8ec44634e21d2718e"/>
        <s v="c54679b132454625907c773d273d4126"/>
        <s v="b410bdd36d5db7a65dcd42b7ead933b8"/>
        <s v="f80edd2c5aaa505cc4b0a3b219abf4b8"/>
        <s v="53e4c6e0f4312d4d2107a8c9cddf45cd"/>
        <s v="8e6d7754bc7e0f22c96d255ebda59eba"/>
        <s v="4869f7a5dfa277a7dca6462dcf3b52b2"/>
        <s v="06a2c3af7b3aee5d69171b0e14f0ee87"/>
        <s v="ef506c96320abeedfb894c34db06f478"/>
        <s v="0b90b6df587eb83608a64ea8b390cf07"/>
        <s v="7e93a43ef30c4f03f38b393420bc753a"/>
        <s v="7d13fca15225358621be4086e1eb0964"/>
        <s v="f457c46070d02cadd8a68551231220dd"/>
        <s v="624f4ece8da4aafb77699233d480f8ef"/>
        <s v="0be8ff43f22e456b4e0371b2245e4d01"/>
        <s v="06e5eefc71ec47ae763c5c6f8db7064f"/>
        <s v="431af27f296bc6519d890aa5a05fdb11"/>
        <s v="3db66a856d18a9cba7c9241fc5221c50"/>
        <s v="43f8c9950d11ecd03a0304a49e010da6"/>
        <s v="38e6dada03429a47197d5d584d793b41"/>
        <s v="702835e4b785b67a084280efca355756"/>
        <s v="c70c1b0d8ca86052f45a432a38b73958"/>
        <s v="0db783cfcd3b73998abc6e10e59a102f"/>
        <s v="620c87c171fb2a6dd6e8bb4dec959fc6"/>
        <s v="3d871de0142ce09b7081e2b9d1733cb1"/>
        <s v="7586919161935337bf6b6d7ff5779648"/>
        <s v="c826c40d7b19f62a09e2d7c5e7295ee2"/>
        <s v="7210cd29727d674c00741e5e387b3ccd"/>
        <s v="a1043bafd471dff536d0c462352beb48"/>
        <s v="e5a3438891c0bfdb9394643f95273d8e"/>
        <s v="7202e2ba20579a9bd1acb29e61fe71f6"/>
        <s v="4e922959ae960d389249c378d1c939f5"/>
        <s v="8c16d1f32a54d92897cc437244442e1b"/>
        <s v="7008613ea464bad5cb9b83456e1e6a8f"/>
        <s v="d98eec89afa3380e14463da2aabaea72"/>
        <s v="e9bc59e7b60fc3063eb2290deda4cced"/>
        <s v="86ccac0b835037332a596a33b6949ee1"/>
        <s v="23d7c96d4a1160db1c726b248601b25a"/>
        <s v="2e90cb1677d35cfe24eef47d441b7c87"/>
        <s v="d91fb3b7d041e83b64a00a3edfb37e4f"/>
        <s v="1b938a7ec6ac5061a66a3766e0e75f90"/>
        <s v="1d8dbc4f32378d715c717c1c1fc57bae"/>
        <s v="640e21a7d01df7614a3b4923e990d40c"/>
        <s v="822bad9bc42b51213ba522fe87b7ab5d"/>
        <s v="6fc26fe110feebd80a433e1f012a84f9"/>
        <s v="5b67882648febfb6e1225e6ad7164f6b"/>
        <s v="88460e8ebdecbfecb5f9601833981930"/>
        <s v="afa6714acee029b2dfdf357e5579cc03"/>
        <s v="323ce52b5b81df2cd804b017b7f09aa7"/>
        <s v="850f4f8af5ea87287ac68de36e29107f"/>
        <s v="cab85505710c7cb9b720bceb52b01cee"/>
        <s v="cea729054f157f5870bdd321a958d994"/>
        <s v="001cca7ae9ae17fb1caed9dfb1094831"/>
        <s v="2528513dd95219a6013d4d05176e391a"/>
        <s v="729b2d09b2a0bdab221076327f13d050"/>
        <s v="4c03b9dd4c11ee2cb35c96c49efc9420"/>
        <s v="de23c3b98a88888289c6f5cc1209054a"/>
        <s v="634964b17796e64304cadf1ad3050fb7"/>
        <s v="c3867b4666c7d76867627c2f7fb22e21"/>
        <s v="2709af9587499e95e803a6498a5a56e9"/>
        <s v="cca3071e3e9bb7d12640c9fbe2301306"/>
        <s v="4c2b230173bb36f9b240f2b8ac11786e"/>
        <s v="1e8b33f18b4f7598d87f5cbee2282cc2"/>
        <s v="e38db885400cd35c71dfd162f2c1dbcf"/>
        <s v="f8db351d8c4c4c22c6835c19a46f01b0"/>
        <s v="7139dc5186aa238b006e066d8fbab2e4"/>
        <s v="96493fab2fbb13a14d0c0e8772eef5c3"/>
        <s v="54965bbe3e4f07ae045b90b0b8541f52"/>
        <s v="bd0389da23d89b726abf911cccc54596"/>
        <s v="85d9eb9ddc5d00ca9336a2219c97bb13"/>
        <s v="8b28d096634035667e8263d57ba3368c"/>
        <s v="a5cba26a62b8b4d0145b68b841e62e7f"/>
        <s v="2e1c9f22be269ef4643f826c9e650a52"/>
        <s v="3b872fd4747f01cc56206f2934198618"/>
        <s v="1da3aeb70d7989d1e6d9b0e887f97c23"/>
        <s v="6a8b085f816a1f75f92dbac6eb545f8f"/>
        <s v="7ad32824caee82087b3e2e5f33b1bf32"/>
        <s v="1690cada046eb7e92c12f98b1f8a8167"/>
        <s v="ebd2d60905fb58271facef5596b620d3"/>
        <s v="688756f717c462a206ad854c5027a64a"/>
        <s v="8581055ce74af1daba164fdbd55a40de"/>
        <s v="5cf13accae3222c70a9cac40818ae839"/>
        <s v="8648b1e89e9b349e32d3741b30ec737e"/>
        <s v="5670f4db5b62c43d542e1b2d56b0cf7c"/>
        <s v="c003204e1ab016dfa150abc119207b24"/>
        <s v="17e34d8224d27a541263c4c64b11a56b"/>
        <s v="18a349e75d307f4b4cc646a691ed4216"/>
        <s v="56e361f411e38dcef17cdc2a3d99628b"/>
        <s v="7901646fdd36a55f564ffaf2dbccaaf7"/>
        <s v="2d50d6282f8aa2257819a77bfaa0efe0"/>
        <s v="391fc6631aebcf3004804e51b40bcf1e"/>
        <s v="ef0ace09169ac090589d85746e3e036f"/>
        <s v="582d4f8675b945722eda7c0cb61ba4c7"/>
        <s v="e9779976487b77c6d4ac45f75ec7afe9"/>
        <s v="31344c16881c08a8a72c6d2eb29918c1"/>
        <s v="37515688008a7a40ac93e3b2e4ab203f"/>
        <s v="1c68394e931a64f90ea236c5ea590300"/>
        <s v="94e93ce877be27a515118dbfd2c2be41"/>
        <s v="2138ccb85b11a4ec1e37afbd1c8eda1f"/>
        <s v="974cf2cb8f4b7add98709c30df02fe10"/>
        <s v="0509040ea3fe50071181bbc359eb7738"/>
        <s v="42b729f859728f5079499127a9c2ef37"/>
        <s v="ceaec5548eefc6e23e6607c5435102e7"/>
        <s v="bf0d50a6410d487dc97d2baac0a8c0be"/>
        <s v="a420f60ff1aa9acc80d0e42959f2b313"/>
        <s v="1025f0e2d44d7041d6cf58b6550e0bfa"/>
        <s v="0691148aee60ca47977c187804f935ae"/>
        <s v="3c487ae8f8d7542beff5788e2e0aea83"/>
        <s v="edb1ef5e36e0c8cd84eb3c9b003e486d"/>
        <s v="20d83f3ef0e6925fd74bfd59170babf7"/>
        <s v="f7ccf836d21b2fb1de37564105216cc1"/>
        <s v="d50d79cb34e38265a8649c383dcffd48"/>
        <s v="6a38087bc8ad4f89ff453561005f6dea"/>
        <s v="ef30892870c278497523264be1be2241"/>
        <s v="c4fb51fb1c5b7c07bc5e67be6e7e8f6e"/>
        <s v="53243585a1d6dc2643021fd1853d8905"/>
        <s v="bf84056e679dbe9c69929847a40e338f"/>
        <s v="bce6a5ecf98e99fd2a8868b15c51f04b"/>
        <s v="56642bcb79900e777d68e91915cb4267"/>
        <s v="3bb548e3cb7f70f28e3f11ee9dce0e59"/>
        <s v="d921b68bf747894be13a97ae52b0f386"/>
        <s v="4d6d651bd7684af3fffabd5f08d12e5a"/>
        <s v="13fa2a6c6b9d0f43cb588d7c82117a12"/>
        <s v="128639473a139ac0f3e5f5ade55873a5"/>
        <s v="f3295428338a40977a03f555246a70f4"/>
        <s v="6edacfd9f9074789dad6d62ba7950b9c"/>
        <s v="1c56ffe0e9dea2657fc6e95b53f40b13"/>
        <s v="91f0eec23d4a61d7d7caeefa3f0ad1ca"/>
        <s v="4e06067cc08b3f41d837768d392c3ee3"/>
        <s v="99a54764c341d5dc80b4a8fac4eba3fb"/>
        <s v="610f72e407cdd7caaa2f8167b0163fd8"/>
        <s v="abbf6046bbdf1028606a5bc7f00c99e7"/>
        <s v="2e0dba2da448400b1c11d7b4b22f32a4"/>
        <s v="01cf7e3d21494c41fb86034f2e714fa1"/>
        <s v="6d66611d7c44cc30ce351abc49a68421"/>
        <s v="5bc237df65098fe211bb4818f4d26d78"/>
        <s v="70a12e78e608ac31179aea7f8422044b"/>
        <s v="11bfa66332777660bd0640ee84d47006"/>
        <s v="ad420dd0c4f92f8af951ac24b86d0cf5"/>
        <s v="55029529919c0123526150bd26ca8f20"/>
        <s v="b839e41795b7f3ad94cc2014a52f6796"/>
        <s v="6b243f80ed07b10f0e8aa0f21a205f3c"/>
        <s v="9e6229250fedbe05838fef417b74e7fb"/>
        <s v="f8201cab383e484733266d1906e2fdfa"/>
        <s v="ccc4bbb5f32a6ab2b7066a4130f114e3"/>
        <s v="c31eff8334d6b3047ed34bebd4d62c36"/>
        <s v="b33e7c55446eabf8fe1a42d037ac7d6d"/>
        <s v="2156f2671501a81034d7d07f217609d0"/>
        <s v="522620dcb18a6b31cd7bdf73665113a9"/>
        <s v="8d956fec2e4337affcb520f56fd8cbfd"/>
        <s v="65b081a070633e057c462abdd6fb9dd8"/>
        <s v="229c3efbfb0ea2058de4ccdfbc3d784a"/>
        <s v="0c8380b62e38e8a1e6adbeba7eb9688c"/>
        <s v="81f89e42267213cb94da7ddc301651da"/>
        <s v="a673821011d0cec28146ea42f5ab767f"/>
        <s v="1a3df491d1c4f1589fc2b934ada68bf2"/>
        <s v="47efca563408aae19bb7206c2d969ea9"/>
        <s v="8ed8ea9a57c862f2c18c2fe41f601d56"/>
        <s v="1b4c3a6f53068f0b6944d2d005c9fc89"/>
        <s v="392353362d22cc2c236e1ee81ff19890"/>
        <s v="c03121937e54a93fcc1825c3098bbb6e"/>
        <s v="0c7533c71df861ec58ad7ff999ed0e8d"/>
        <s v="0ec28cec4046a4a199b6de9b4c891d97"/>
        <s v="7d7866a99a8656a42c7ff6352a433410"/>
        <s v="e88c9b79e592e370d6bd852eeefbf057"/>
        <s v="08061dc0fc165ed41288cc7acde738ee"/>
        <s v="ca3bd7cd9f149df75950150d010fe4a2"/>
        <s v="056b4ada5bbc2c50cc7842547dda6b51"/>
        <s v="37be5a7c751166fbc5f8ccba4119e043"/>
        <s v="b17b679f4f5ce2e03ce6968c62648246"/>
        <s v="8931a84a914b3fe9b1ddaa4d704947ca"/>
        <s v="3b15288545f8928d3e65a8f949a28291"/>
        <s v="6fd52c528dcb38be2eea044946b811f8"/>
        <s v="f61c63d13f7cd800549d5acdd390ae72"/>
        <s v="b4f8921fcc4ff77b66bea6dda43dcd51"/>
        <s v="ce7d1888639e6fb06b2749cbfdac1ff7"/>
        <s v="76d5af76d0271110f9af36c92573f765"/>
        <s v="a49928bcdf77c55c6d6e05e09a9b4ca5"/>
        <s v="fa1c13f2614d7b5c4749cbc52fecda94"/>
        <s v="c9c7905cffc4ef9ff9f113554423e671"/>
        <s v="edf96ef93ed595084bbcbd9224bd2894"/>
        <s v="aac29b1b99776be73c3049939652091d"/>
        <s v="080102cd0a76b09e0dcf55fcacc60e05"/>
        <s v="7142540dd4c91e2237acb7e911c4eba2"/>
        <s v="daeb5653dd96c1b11860f72209795012"/>
        <s v="e06f09ec0a4aca210779cf1cfc63cf19"/>
        <s v="b32be1695eb7ec5f10f72d9610a12527"/>
        <s v="897060da8b9a21f655304d50fd935913"/>
        <s v="a5259c149128e82c9d6d46e0c1c812bb"/>
        <s v="602044f2c16190c2c6e45eb35c2e21cb"/>
        <s v="f84a00e60c73a49e7e851c9bdca3a5bb"/>
        <s v="a3b0df0065e264a91b7bbf5f844af5cd"/>
        <s v="6b536a23086fba0d58c08d68814397f6"/>
        <s v="abcd2cb37d46c2c8fb1bf071c859fc5b"/>
        <s v="e24fc9fcd865784fb25705606fe3dfe7"/>
        <s v="59b22a78efb79a4797979612b885db36"/>
        <s v="d1c281d3ae149232351cd8c8cc885f0d"/>
        <s v="b2479f944e1b90cf8a5de1bbfde284d6"/>
        <s v="0d83f8e03188682112cc0d93523705cc"/>
        <s v="71dc18fd8cbf5fd77f45dd8b427abb34"/>
        <s v="f4c4daa86e30c7e5a553a8d518ac03a5"/>
        <s v="41ab63a91b8b264e8c8780368bf1dd5b"/>
        <s v="e48cc16ab70bfa09e1401740dce0b3d7"/>
        <s v="b74d1c09cb380e1d03a6f859c6f4224b"/>
        <s v="9dda5bbacd45e18d6485fee649205d09"/>
        <s v="34d1ca11b242c0fee2c834ae8d788566"/>
        <s v="8d79c8a04e42d722a75097ce5cbcf2ef"/>
        <s v="db4350fd57ae30082dec7acbaacc17f9"/>
        <s v="f262cbc1c910c83959f849465454ddd3"/>
        <s v="efcd8d2104f1a05d028af7bad20d974b"/>
        <s v="bd4889b5e9133b35b66e42a8665cea5c"/>
        <s v="4a3ccda38b2129705f3fb522db62ca31"/>
        <s v="da8622b14eb17ae2831f4ac5b9dab84a"/>
        <s v="d66c305afaec317ebee552073a674429"/>
        <s v="06532f10282704ef4c69168b914b77be"/>
        <s v="e24d3429d294b2eb200b064ebb035879"/>
        <s v="669ae81880e08f269a64487cfb287169"/>
        <s v="01fdefa7697d26ad920e9e0346d4bd1b"/>
        <s v="3c7c4a49ec3c6550809089c6a2ca9370"/>
        <s v="6338ea67c41078a46ad99cc009654956"/>
        <s v="8a432f4e5b471f8da497d7dc517666e2"/>
        <s v="db2956745b3a8e9f3785c99f34b5d25e"/>
        <s v="0adac9fbd9a2b63cccaac4f8756c1ca8"/>
        <s v="4c8b8048e33af2bf94f2eb547746a916"/>
        <s v="325f3178fb58e2a9778334621eecdbf9"/>
        <s v="966cb4760537b1404caedd472cc610a5"/>
        <s v="3785b653b1b82de85ab47dd139938091"/>
        <s v="ea67327e24487bdfac5fbfa37ea124df"/>
        <s v="dbd66278cbfe1aa1000f90a217ca4695"/>
        <s v="18e694e0e48ed6f7aa3f24aade5fd697"/>
        <s v="559d56f3b8f0bc2e5a9a62fe2ce2a39f"/>
        <s v="33a6f4b1e7cdc205511e76ba1b6e0186"/>
        <s v="834f3294fba9f932f56edc879193f925"/>
        <s v="25be943a321c8938947bdaabca979a90"/>
        <s v="b76dba6c951ab00dc4edf0a1aa88037e"/>
        <s v="c6bda72e4dbf5c5866b13cb1810c6d03"/>
        <s v="8a87611c08849ffeeccab52aa798b6c7"/>
        <s v="6e864f5c4669eff3d98140a07cc50202"/>
        <s v="b499c00f28f4b7069ff6550af8c1348a"/>
        <s v="562fc2f2c2863ab7e79a9e4388a58a14"/>
        <s v="d05ae8f7a5bd1d2a690a44cd079e4e27"/>
        <s v="5b179e9e8cc7ab6fd113a46ca584da81"/>
        <s v="a72c2f59332659e361d647515c698798"/>
        <s v="31da954dc0855f2495c6310f70a2f931"/>
        <s v="827f8f69dfa529c561901c4f2e0f332f"/>
        <s v="1ca7077d890b907f89be8c954a02686a"/>
        <s v="813348c996469b40f2e028d5429d3495"/>
        <s v="79ebd9a61bac3eaf882805ed4ecfa12a"/>
        <s v="cd06602b43d8800bd0afad514919d35c"/>
        <s v="c1ed9e3daf6154542826a6996af0fb8c"/>
        <s v="da7039f29f90ce5b4846ffc0fcc93beb"/>
        <s v="7d456afc660226829370f3173d14520c"/>
        <s v="6a51fc556dab5f766ced6fbc860bc613"/>
        <s v="709e16e2b25c7474d980076c6bfc4806"/>
        <s v="5b2e94f2c22b39ccc24d34ad0f669672"/>
        <s v="4305fe92735c8a43d154ff6dd2b8d927"/>
        <s v="ececbfcff9804a2d6b40f589df8eef2b"/>
        <s v="30829ded4523ab9224b93bc49a62c95f"/>
        <s v="33576ec5412fb5905d876f12f33bfde6"/>
        <s v="2dee2ce60de9709b1a24083217181a1f"/>
        <s v="acce39e832338debb07b02385cde5967"/>
        <s v="2b1a40c1daabc6ca280c4b815c101841"/>
        <s v="527801b552d0077ffd170872eb49683b"/>
        <s v="dc64d75cc406bb0697be983831430e60"/>
        <s v="3df020b72d3d44b3af9d110fa3940b65"/>
        <s v="72c5da29406b4234927b81855e7b64f6"/>
        <s v="1900267e848ceeba8fa32d80c1a5f5a8"/>
        <s v="87e24fc7052259b1f7f607d61c10d8be"/>
        <s v="1464afc72f696af775557a821c2e253f"/>
        <s v="51702dc2a3e106c76dbff722b5bf0726"/>
        <s v="f84fa566034f5e8e880a07ec624c56af"/>
        <s v="00fc707aaaad2d31347cf883cd2dfe10"/>
        <s v="5dceca129747e92ff8ef7a997dc4f8ca"/>
        <s v="4bf2f4ee540798a61f9636d12cd9cc80"/>
        <s v="e9d99831abad74458942f21e16f33f92"/>
        <s v="8cc6a0e5738e61a87b03c78b2ba9db4b"/>
        <s v="5a8e7d5003a1f221f9e1d6e411de7c23"/>
        <s v="a4b6b9b992b46e9ef863637af96e04bc"/>
        <s v="213b25e6f54661939f11710a6fddb871"/>
        <s v="65febd49fd28ec955651299159b1f527"/>
        <s v="a3a38f4affed601eb87a97788c949667"/>
        <s v="aaed1309374718fdd995ee4c58c9dfcd"/>
        <s v="f4a04f7be452aa3bb31760bf00055dd0"/>
        <s v="36a968b544695394e4e9d7572688598f"/>
        <s v="a888faf2d1baececa6baf9c3d603ee1f"/>
        <s v="282f23a9769b2690c5dda22e316f9941"/>
        <s v="817245bcc3badd82bbd222e0366951a6"/>
        <s v="070d165398b553f3b4b851c216b8a358"/>
        <s v="ad273c9eb54ecb4532de4bf75bae9e4e"/>
        <s v="8f2ce03f928b567e3d56181ae20ae952"/>
        <s v="cac876b37d3abcd6bd76caca30277996"/>
        <s v="3c03b12bab54d8b37d79d914bfdb1aa0"/>
        <s v="06579cb253ecd5a3a12a9e6eb6bf8f47"/>
        <s v="d1582f4043306e6b91afa6a8a884f898"/>
        <s v="4830e40640734fc1c52cd21127c341d4"/>
        <s v="ce248b21cb2adc36282ede306b7660e5"/>
        <s v="ac3508719a1d8f5b7614b798f70af136"/>
        <s v="b1204cfda1d4948679db3cfc0d3cb95c"/>
        <s v="0bf0150d5b9d60d9cd2906003332f085"/>
        <s v="9d5a9018aee56acb367ba9c3f05d1d6a"/>
        <s v="b2ac621f0d0322434d04a12b078b9369"/>
        <s v="d2374cbcbb3ca4ab1086534108cc3ab7"/>
        <s v="5c243662ce92d84573bfaff24c3e3700"/>
        <s v="9616352088dcf83a7c06637f4ebf1c80"/>
        <s v="6f892e20a171e98efe17fdb971ff319b"/>
        <s v="3361277dc30b7cccdb0c286b24219756"/>
        <s v="1bb2bdb95f4841f1bba2c0d2cd83d3c9"/>
        <s v="4391ea5c5990502176a1dcda44a2373d"/>
        <s v="9c7fd21e0aa159b20da593371f08ff7c"/>
        <s v="0bae85eb84b9fb3bd773911e89288d54"/>
        <s v="8160255418d5aaa7dbdc9f4c64ebda44"/>
        <s v="2199e7fe213c16213bf5d6a7eadc9a5d"/>
        <s v="f46490624488d3ff7ce78613913a7711"/>
        <s v="3afc536624bc2e65bddfb5db33cc01f3"/>
        <s v="7722b1df1b0e383e000397b2c11e3e19"/>
        <s v="4324dd16853115efb0fd9d0d131ba6f4"/>
        <s v="6481e96574816ead57975da2c0f6d80d"/>
        <s v="1d1bbb8ac1581824986f582583fff01d"/>
        <s v="59fb871bf6f4522a87ba567b42dafecf"/>
        <s v="98dac6635aee4995d501a3972e047414"/>
        <s v="04aba03279157f6d4e0fe8ccaf21963c"/>
        <s v="eed78ac17f7f795a19a709745f00cd4e"/>
        <s v="fdb9095204a334cd8872252ffec6f2db"/>
        <s v="ef990a83bbea832f36ebe81376335aa8"/>
        <s v="1127b7f2594683f2510f1c2c834a486b"/>
        <s v="594f9aaa48e5bf431f011ddc5669b0d5"/>
        <s v="aafe36600ce604f205b86b5084d3d767"/>
        <s v="77a515caa36327151d1cc6c32a9f00e1"/>
        <s v="7b07b3c7487f0ea825fc6df75abd658b"/>
        <s v="f7ba60f8c3f99e7ee4042fdef03b70c4"/>
        <s v="bc47d5d1490df2b36add65d733eafaba"/>
        <s v="d25aa0aaacb370e912f8cf6efeba38b3"/>
        <s v="80e6699fe29150b372a0c8a1ebf7dcc8"/>
        <s v="6061155addc1e54b4cfb51c1c2a32ad8"/>
        <s v="d5ba419e26d246a0719437cf37d9b46d"/>
        <s v="f22a247b79dd22ecd91dc8e3b2a1b07c"/>
        <s v="ea00f977a203ff88adf7057cb7806998"/>
        <s v="1838dd9b8977065acf51d95e0053ea7a"/>
        <s v="54065e9aef7e9e9c2dc23b7594db021a"/>
        <s v="a6fe7de3d16f6149ffe280349a8535a0"/>
        <s v="7d76b645482be4a332374e8223836592"/>
        <s v="51e4e89242cbb846c2deff3dc015650e"/>
        <s v="710e3548e02bc1d2831dfc4f1b5b14d4"/>
        <s v="3078096983cf766a32a06257648502d1"/>
        <s v="4e17c65a516f69d023a2ae78b84f28d6"/>
        <s v="c092292535a57dacd95a8765f5518f87"/>
        <s v="52562a9f449c3dc3d53f5f5b9ed74903"/>
        <s v="1b7e5006cb25dd23ce8686691013b121"/>
        <s v="48162d548f5b1b11b9d29d1e01f75a61"/>
        <s v="b4ffb71f0cb1b1c3d63fad021ecf93e1"/>
        <s v="e0a366315b1b726b6c7832d664c0f530"/>
        <s v="a7f13822ceb966b076af67121f87b063"/>
        <s v="439a47cc365d6e3bd526812ea9de3c29"/>
        <s v="080199a181c46c657dc5aa235411be3b"/>
        <s v="ffff564a4f9085cd26170f4732393726"/>
        <s v="8b87cd0d43d49b9bdf40f56229364d59"/>
        <s v="478bfe564db21eeb44386606aa30b650"/>
        <s v="4b9750c8ad28220fe6702d4ecb7c898f"/>
        <s v="d71d863e5ef30d94e440c11be17dcd8f"/>
        <s v="6860153b69cc696d5dcfe1cdaaafcf62"/>
        <s v="b01c2b7b8599b325103ebcddc67413e1"/>
        <s v="5bc55dbe2f12b6af6d83ed46023e0dc8"/>
        <s v="252e76235acb79183cfca6e34f13337d"/>
        <s v="f0b47fbbc6dee9aafe415a6e33051b3f"/>
        <s v="17f51e7198701186712e53a39c564617"/>
        <s v="2a61c271b1ac763450d846849783e922"/>
        <s v="7ddcbb64b5bc1ef36ca8c151f6ec77df"/>
        <s v="2a261b5b644fa05f4f2700eb93544f2c"/>
        <s v="1b8356dabde1d35e17cef975c3f82730"/>
        <s v="2aa3443d7bf9d9bb11133f420d75e083"/>
        <s v="1996942dc085d7773ba77a529b163cd0"/>
        <s v="95ec4458365c4d11f452ccf538377619"/>
        <s v="4200ddf1967c5e41e48db62bc6d4b5ac"/>
        <s v="de722cd6dad950a92b7d4f82673f8833"/>
        <s v="95e03ca3d4146e4011985981aeb959b9"/>
        <s v="157c3e4b42f81ac4a44e8b1ca2fe9876"/>
        <s v="2a1348e9addc1af5aaa619b1a3679d6b"/>
        <s v="5f5b43b2bffa8656e4bc6efeb13cc649"/>
        <s v="e49c26c3edfa46d227d5121a6b6e4d37"/>
        <s v="3cfa1358a6caa965278721344c8d76f2"/>
        <s v="66922902710d126a0e7d26b0e3805106"/>
        <s v="8b9d6eec4a7eb7d0f9d579ce0b38324d"/>
        <s v="718539d38d07dd351c76db862760e2e2"/>
        <s v="f12ff17ad8bbf01ec5c33b17e506649b"/>
        <s v="63b464dbf392c7b80d12d932fa7cafed"/>
        <s v="b92e3c8f9738272ff7c59e111e108d7c"/>
        <s v="bacb1f0ed56ad24198f5810d2b3fe9a5"/>
        <s v="062ce95fa2ad4dfaedfc79260130565f"/>
        <s v="d4e12e7884759a14fa0f5f896c791cae"/>
        <s v="04e38a233f726ef161074ab1c9b0399a"/>
        <s v="2eb70248d66e0e3ef83659f71b244378"/>
        <s v="6039e27294dc75811c0d8a39069f52c0"/>
        <s v="2a6fbeaa7ab9e5d59a35841a8da71ce4"/>
        <s v="784ba75dd9d20200c4caed3d7a77141a"/>
        <s v="cd68562d3f44870c08922d380acae552"/>
        <s v="cb3dd9ce66268c7a3ca7241ac70ab58c"/>
        <s v="aba1721a889e04decc910aa13b768ef4"/>
        <s v="c8b3445d737de6befde0c88ede534a5e"/>
        <s v="7357b52d27cbaa90f81a96cbc1279396"/>
        <s v="259f7b5e6e482c230e5bfaa670b6bb8f"/>
        <s v="b2a6d334e2833acea353624840e25a0e"/>
        <s v="0df3984f9dfb3d49ac6366acbd3bbb85"/>
        <s v="382229d1e840115ffe3dbf5ff460e417"/>
        <s v="e439f7176d763f92de325271111b2fd5"/>
        <s v="9baf5cb77970f539089d09a38bcec5c3"/>
        <s v="54219883e72aad869adfb2a54b7bfa0f"/>
        <s v="f214d28e8d8e3ef068748498ccc2f813"/>
        <s v="6a8a889bde935bafa76d7848782dfaf9"/>
        <s v="83e197e95a1bbabc8c75e883ed016c47"/>
        <s v="70849ca4f400aaabb62cb7462a6f1428"/>
        <s v="8f119a0aee85c0c8fc534629734e94fd"/>
        <s v="dee656f0f566ed1aa85bd137c943f08f"/>
        <s v="fc906263ca5083d09dce42fe02247800"/>
        <s v="ce3ad9de960102d0677a81f5d0bb7b2d"/>
        <s v="1f9ab4708f3056ede07124aad39a2554"/>
        <s v="d17f467e4bf608a510c20d82f4ba3b6b"/>
        <s v="bd23da7354813347129d751591d1a6e2"/>
        <s v="e2aee0892199b1d92530e371abd825bf"/>
        <s v="2059c39f76271d4ca3f15b5ffaccc8b8"/>
        <s v="9646c3513289980f17226a2fc4720dbd"/>
        <s v="6cd68b3ed6d59aaa9fece558ad360c0a"/>
        <s v="af7cdac9d9897cddead9c6b08976c642"/>
        <s v="2009a095de2a2a41626f6c6d7722678d"/>
        <s v="9a03a4e9eb0b947652fae4f6121a3f5e"/>
        <s v="e62b2d6ac10570a035a30bafcf01d263"/>
        <s v="08ad4ac1388e4420ca531c3edfc46198"/>
        <s v="430315b7bb4b6e4b3c978f9dfa9b0558"/>
        <s v="8e8a7ce9f2f970dc00e2acf6f6e199f6"/>
        <s v="b561927807645834b59ef0d16ba55a24"/>
        <s v="76d64c4aca3a7baf218bf93ef7fa768d"/>
        <s v="1336efc61c316ddf92c899eb817f7cae"/>
        <s v="d23019c84ffae2d5ef2270367b8605fc"/>
        <s v="116ccb1a1604bc88e4d234a8c23f33de"/>
        <s v="66e0557ecc2b4dbea057e93f215f68d8"/>
        <s v="870d0118f7a9d85960f29ad89d5d989a"/>
        <s v="0d33a55da925bbf1ff02af5f6059fc7f"/>
        <s v="318f287a62ab7ac10b703ac37435a231"/>
        <s v="58f1a6197ed863543e0136bdedb3fce2"/>
        <s v="54a1852d1b8f10312c55e906355666ee"/>
        <s v="25cf099de44674fde97473224f9d59ab"/>
        <s v="e0eabded302882513ced4ea3eb0c7059"/>
        <s v="503c1de08ae81a2d86f17951b204db55"/>
        <s v="d101c6da914ae3d53f7bee42283f2fe2"/>
        <s v="f5a590cf36251cf1162ea35bef76fe84"/>
        <s v="9674754b5a0cb32b638cec001178f799"/>
        <s v="fd386aa7bed2af3c7035c65506c9b4a3"/>
        <s v="d57e18d5f73c7ccb7f7339b61166898d"/>
        <s v="45ba18c210d42734ec52c0c1c574e9ee"/>
        <s v="373ee4a3a775a733770ca3f790b8b9ac"/>
        <s v="6df688df543f90e9b38f4319e75a9d88"/>
        <s v="1f1bb1f0859883505541bdd6606193e5"/>
        <s v="ea566164622c6b439516ab18062c42cd"/>
        <s v="392e0502231ae2f8b29994ef6398cd77"/>
        <s v="adbc26658d6c7b4b6219f9d934598091"/>
        <s v="bba74270a87732727b5a3b4fd9ac1c39"/>
        <s v="acadd4d36859671cb635527c6c977533"/>
        <s v="c7dcd301ecfe5ab7f778ac172cf74be7"/>
        <s v="25e6ffe976bd75618accfe16cefcbd0d"/>
        <s v="7a241947449cc45dbfda4f9d0798d9d0"/>
        <s v="0b35c634521043bf4b47e21547b99ab5"/>
        <s v="eebb3372362aa9a46975164bed19a7e7"/>
        <s v="29e6e05b65f93bc224c644319dc52ecf"/>
        <s v="aa762680c40618316a896838866140ea"/>
        <s v="8ae520247981aa06bc94abddf5f46d34"/>
        <s v="d3674f271c91f824f82d24d92011f669"/>
        <s v="7b7f91e98f8c6def45a1407923304402"/>
        <s v="dbb9b48c841a0e39e21f98e1a6b2ec3e"/>
        <s v="b83cedfb587e7911540e3f576d6917ce"/>
        <s v="e48b04bf1aa1ef711caebeb7aede6180"/>
        <s v="eeb6de78f79159600292e314a77cbd18"/>
        <s v="ffad1e7127fb622cb64a900751590acd"/>
        <s v="4992e76a42cb3aad7a7047e0d3d7e729"/>
        <s v="5fd924b4836098a5be0ecf81ba054ce0"/>
        <s v="312ba1d77e9c332ef21f9598b7f64cd7"/>
        <s v="b1fc4f64df5a0e8b6913ab38803c57a9"/>
        <s v="75d34ebb1bd0bd7dde40dd507b8169c3"/>
        <s v="4917cee8d902e13428c3ec4b1ca6f315"/>
        <s v="94144541854e298c2d976cb893b81343"/>
        <s v="d624126b9206f595fb3fbb6ba03b28a8"/>
        <s v="165fc07beebdcb6190fba8a06db2a449"/>
        <s v="2cb98e27ce1c18abdb42209b34c382a7"/>
        <s v="432c37c9dfba871172ec162e20118b8c"/>
        <s v="d1b65fc7debc3361ea86b5f14c68d2e2"/>
        <s v="725c32fa80c2faacc4fc88450d27314e"/>
        <s v="81a1104df0f08b59c68aa5b03cfe398e"/>
        <s v="951e8cef368f09bb3f3d03c00ca4702c"/>
        <s v="058cb5aeb36d7c0fcae20fc85d5e0a59"/>
        <s v="5058e8c1e82653974541e83690655b4a"/>
        <s v="0ea22c1cfbdc755f86b9b54b39c16043"/>
        <s v="5f67c6082caacb26e431a7b17940cece"/>
        <s v="eddd1991bd6d9309995a480c39b95137"/>
        <s v="febab0275244b9a49a623f0bd613ca2f"/>
        <s v="609e1a9a6c2539919b8205cf7c4e6ff0"/>
        <s v="3d621842b2ed28e2b474132480edac3c"/>
        <s v="6973a06f484aacf400ece213dbf3d946"/>
        <s v="00ee68308b45bc5e2660cd833c3f81cc"/>
        <s v="fde0cc9ea29c8ccfc0a2c22256a58c71"/>
        <s v="acb6c2ca5c82411c1fdb88d5fd5eb95e"/>
        <s v="6bd503a8230299c9316fb0f726933927"/>
        <s v="11eac105f3f90a9b87b19c89d91e24f3"/>
        <s v="835f0f7810c76831d6c7d24c7a646d4d"/>
        <s v="643214e62b870443ccbe55ab29a4dccf"/>
        <s v="9de4643a8dbde634fe55621059d92273"/>
        <s v="5b0cc932433fa5184b5b94bfe6bcc256"/>
        <s v="c3aad7dc65449ae90a5e9c3c6c1e78e0"/>
        <s v="cd6efc47efaabf134f8bdb654e10b4f1"/>
        <s v="994f04b3718c2bab35c2adfa8afecd2a"/>
        <s v="0f0c984a4a955310903b6b6008660bad"/>
        <s v="d566c37fa119d5e66c4e9052e83ee4ea"/>
        <s v="bba3293d6f5d5af2f415e004e8b93ae3"/>
        <s v="b16d3dadc47d4eb18be3d88bad0775ce"/>
        <s v="e26901d5ab434ce92fd9b5c256820a4e"/>
        <s v="4170f6a9367e6b5d6401d03ce6d54569"/>
        <s v="7e1fb0a3ebfb01ffb3a7dae98bf3238d"/>
        <s v="2d2c62bef4c8ba0dd74e0e228e808539"/>
        <s v="cfe94489ddd337d1e29e12f2a7205d10"/>
        <s v="dd2bdf855a9172734fbc3744021ae9b9"/>
        <s v="14d7985702e72162bbf13b6beb74ab2b"/>
        <s v="9b013e03b2ab786505a1d3b5c0756754"/>
        <s v="79ed755314cfe6df0daef2c6cd3022cd"/>
        <s v="4f0d637c1197fd65405ebd755ac9f86b"/>
        <s v="6cf476a4ca74498db55cbccdaa9dcfb6"/>
        <s v="a2e874074c877c5a05abae80ad6e488f"/>
        <s v="ba90964cff9b9e0e6f32b23b82465f7b"/>
        <s v="542917da124346b47ea1ac79a93ce454"/>
        <s v="b372ee768ed69e46ca8cdbd267aa7a38"/>
        <s v="d20b021d3efdf267a402c402a48ea64b"/>
        <s v="cce6ab8d1682639fe45ab70234f1665f"/>
        <s v="e883aa812c37a7413226856f4579fe91"/>
        <s v="729f06993dac8e860d4f02d7088ca48a"/>
        <s v="97512d3fc193b2d1dfcdba0f9d1f0f8a"/>
        <s v="b56906f7fd1696e043f1bcce164c487b"/>
        <s v="0ffa40d54288e4f3499b8780dd0f144f"/>
        <s v="b37c4c02bda3161a7546a4e6d222d5b2"/>
        <s v="289cdb325fb7e7f891c38608bf9e0962"/>
        <s v="87d30a6a0cbf89356e49324971ab1d24"/>
        <s v="31561f325664a8a7aba4c8d0c3a9b3db"/>
        <s v="ed4acab38528488b65a9a9c603ff024a"/>
        <s v="c4d51195486dc781531876a7d00453d8"/>
        <s v="fad44952713764836814be105382aee5"/>
        <s v="66fd84ee7528c0c0de85d0f44a73d5ab"/>
        <s v="e067ad2c1c0b48758eb1b5228bcf7a68"/>
        <s v="f67efa3f0b6761102a7f8c6b7b571f5d"/>
        <s v="b64d51f0435e884e8de603b1655155ae"/>
        <s v="cac4c8e7b1ca6252d8f20b2fc1a2e4af"/>
        <s v="b494891378bd8f4560abe576c52deacd"/>
        <s v="b8578d2d823bd8e251f6fdd02b40902d"/>
        <s v="34056b8b55c1775a22af2331670a799c"/>
        <s v="40d54b51e962dbe09cabbcfd33298dee"/>
        <s v="c68fb906c8f4b4b946d8386bfa6e5467"/>
        <s v="701938c450705b8ae65fc923b70f35c7"/>
        <s v="5160d23075764e18e07c1f4a87fad743"/>
        <s v="0432ead42b6c8a0bdf68154add917fdf"/>
        <s v="52d76513f0c4d97f3b99570e2c94ee31"/>
        <s v="d4e4b5192cba4e0e66eb12a9d347239d"/>
        <s v="633ecdf879b94b5337cca303328e4a25"/>
        <s v="a369d693961cb93b61ca2cc518872a85"/>
        <s v="1caf283236cd69af44cbc09a0a1e7d32"/>
        <s v="3dbbce181edfaa4a597ec858c382d2ec"/>
        <s v="cbf09e831b0c11f6f23ffb51004db972"/>
        <s v="e5a38146df062edaf55c38afa99e42dc"/>
        <s v="3d8fa2f5b647373c8620330c4e077a9f"/>
        <s v="13c2ed7698b3ca92dad49e849219da59"/>
        <s v="2c9e548be18521d1c43cde1c582c6de8"/>
        <s v="53336f97ddbe53e2a617d07b17447b95"/>
        <s v="7b0df942f46435babab05d49b744b2c4"/>
        <s v="485452467ff670447e84a8370c3fc898"/>
        <s v="671585f5a2af58b6e276bc01003c0d2b"/>
        <s v="406822777a0b9eb5c50e442dd4cd3ec5"/>
        <s v="b6d44737c043328708f6749c2dbe50bd"/>
        <s v="dd533b429f380718b70ad9922c294bae"/>
        <s v="99002261c568a84cce14d43fcffb43ea"/>
        <s v="e9c6969d40e6a3d2d0f90013165c2b98"/>
        <s v="5b85809efd0d0e4dea1a9544e1280ed9"/>
        <s v="b1b3948701c5c72445495bd161b83a4c"/>
        <s v="004c9cd9d87a3c30c522c48c4fc07416"/>
        <s v="8b2492b7ff4468839593fafeed55bad9"/>
        <s v="002100f778ceb8431b7a1020ff7ab48f"/>
        <s v="c157bdeedcbc9a8e3c8bf0d87ff24428"/>
        <s v="54aa8463e87776b5612f4bdc4bd5d4de"/>
        <s v="ff1e15b778c700abdd4d239b81ac466d"/>
        <s v="f615fe7efbef0f4f08fd3086bc7a3e60"/>
        <s v="3a490ba60afa30ece0e7d50cfe74a4f0"/>
        <s v="715bbd5ba4e6b74cb0d2f29eb45058b0"/>
        <s v="5a93f3ab0ef4c84ed5e1b5dbf23978bc"/>
        <s v="066a6914e1ebf3ea95a216c73a986b91"/>
        <s v="f181738b150df1f37cb0bd72e705b193"/>
        <s v="7c5b05cbdb5542049f38d90d7815b97d"/>
        <s v="3a734b715d333a2588a3d54a0c9b8746"/>
        <s v="21c62b998a043ebe31161d38f84929fc"/>
        <s v="d94a40fd42351c259927028d163af842"/>
        <s v="612170e34b97004b3ba37eae81836b4c"/>
        <s v="c4f7fee5b0db50e87766f5a4d1b1b758"/>
        <s v="76c47a299e4a8fe992316a85865acbe9"/>
        <s v="38e679b9e0064cd94c6f035707344dae"/>
        <s v="e882b2a25a10b9c057cc49695f222c19"/>
        <s v="270d3ef21830ad0ecf3a6c53d08a533a"/>
        <s v="9c1c0c36cd23c20897e473901a8fb149"/>
        <s v="17a053fcb14bd219540cbde0df490be0"/>
        <s v="e2c92f9c1c7746d899d18f2e158bbff7"/>
        <s v="d03698c2efd04a549382afa6623e27fb"/>
        <m/>
      </sharedItems>
    </cacheField>
    <cacheField name="price" numFmtId="0">
      <sharedItems containsString="0" containsBlank="1" containsNumber="1" minValue="3.49" maxValue="2649.99"/>
    </cacheField>
    <cacheField name="freight_value" numFmtId="0">
      <sharedItems containsString="0" containsBlank="1" containsNumber="1" minValue="0" maxValue="294.76"/>
    </cacheField>
    <cacheField name="competitor_price" numFmtId="0">
      <sharedItems containsString="0" containsBlank="1" containsNumber="1" minValue="3.1472330858832569" maxValue="2837.1589195248584"/>
    </cacheField>
    <cacheField name="price_gap" numFmtId="0">
      <sharedItems containsString="0" containsBlank="1" containsNumber="1" minValue="-187.16891952485867" maxValue="165.65968271020711"/>
    </cacheField>
    <cacheField name=" price _diff_percent" numFmtId="0">
      <sharedItems containsString="0" containsBlank="1" containsNumber="1" minValue="-9.0760469077808631E-2" maxValue="0.11110754763478102"/>
    </cacheField>
    <cacheField name="pricing_status" numFmtId="0">
      <sharedItems containsBlank="1" count="5">
        <s v="underprived"/>
        <s v="competitive"/>
        <s v="overpriced"/>
        <m/>
        <s v="underpriced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s v="4244733e06e7ecb4970a6e2683c13e61"/>
    <x v="0"/>
    <n v="58.9"/>
    <n v="13.29"/>
    <n v="62.551275081364615"/>
    <n v="-3.6512750813646164"/>
    <n v="-5.8372512416655926E-2"/>
    <x v="0"/>
  </r>
  <r>
    <s v="e5f2d52b802189ee658865ca93d83a8f"/>
    <x v="1"/>
    <n v="239.9"/>
    <n v="19.93"/>
    <n v="252.93608459471847"/>
    <n v="-13.03608459471846"/>
    <n v="-5.1539046378480495E-2"/>
    <x v="0"/>
  </r>
  <r>
    <s v="c777355d18b72b67abbeef9df44fd0fd"/>
    <x v="2"/>
    <n v="199"/>
    <n v="17.87"/>
    <n v="193.07540695873897"/>
    <n v="5.9245930412610335"/>
    <n v="3.0685384195653382E-2"/>
    <x v="1"/>
  </r>
  <r>
    <s v="7634da152a4610f1595efa32f14722fc"/>
    <x v="3"/>
    <n v="12.99"/>
    <n v="12.79"/>
    <n v="14.0165489270845"/>
    <n v="-1.0265489270844999"/>
    <n v="-7.3238350782686298E-2"/>
    <x v="0"/>
  </r>
  <r>
    <s v="ac6c3623068f30de03045865e4e10089"/>
    <x v="4"/>
    <n v="199.9"/>
    <n v="18.14"/>
    <n v="216.16575778075511"/>
    <n v="-16.265757780755109"/>
    <n v="-7.5246690075921094E-2"/>
    <x v="0"/>
  </r>
  <r>
    <s v="ef92defde845ab8450f9d70c526ef70f"/>
    <x v="5"/>
    <n v="21.9"/>
    <n v="12.69"/>
    <n v="20.892616081645919"/>
    <n v="1.0073839183540798"/>
    <n v="4.8217222506618626E-2"/>
    <x v="1"/>
  </r>
  <r>
    <s v="8d4f2bb7e93e6710a28f34fa83ee7d28"/>
    <x v="6"/>
    <n v="19.899999999999999"/>
    <n v="11.85"/>
    <n v="21.178391588085002"/>
    <n v="-1.2783915880850039"/>
    <n v="-6.0363015896081035E-2"/>
    <x v="0"/>
  </r>
  <r>
    <s v="557d850972a7d6f792fd18ae1400d9b6"/>
    <x v="7"/>
    <n v="810"/>
    <n v="70.75"/>
    <n v="819.17102939777169"/>
    <n v="-9.1710293977716901"/>
    <n v="-1.1195500168644804E-2"/>
    <x v="1"/>
  </r>
  <r>
    <s v="310ae3c140ff94b03219ad0adc3c778f"/>
    <x v="8"/>
    <n v="145.94999999999999"/>
    <n v="11.65"/>
    <n v="140.99236047924455"/>
    <n v="4.9576395207554356"/>
    <n v="3.5162469114667021E-2"/>
    <x v="1"/>
  </r>
  <r>
    <s v="4535b0e1091c278dfd193e5a1d63b39f"/>
    <x v="9"/>
    <n v="53.99"/>
    <n v="11.4"/>
    <n v="56.879170923333753"/>
    <n v="-2.8891709233337508"/>
    <n v="-5.0794884602449707E-2"/>
    <x v="0"/>
  </r>
  <r>
    <s v="d63c1011f49d98b976c352955b1c4bea"/>
    <x v="10"/>
    <n v="59.99"/>
    <n v="8.8800000000000008"/>
    <n v="55.430734858934166"/>
    <n v="4.5592651410658362"/>
    <n v="8.2251573114964519E-2"/>
    <x v="2"/>
  </r>
  <r>
    <s v="f177554ea93259a5b282f24e33f65ab6"/>
    <x v="11"/>
    <n v="45"/>
    <n v="12.98"/>
    <n v="40.775059822253873"/>
    <n v="4.2249401777461273"/>
    <n v="0.10361579348168791"/>
    <x v="2"/>
  </r>
  <r>
    <s v="99a4788cb24856965c36a24e339b6058"/>
    <x v="12"/>
    <n v="74"/>
    <n v="23.32"/>
    <n v="78.583496621535417"/>
    <n v="-4.5834966215354171"/>
    <n v="-5.8326452990631272E-2"/>
    <x v="0"/>
  </r>
  <r>
    <s v="368c6c730842d78016ad823897a372db"/>
    <x v="13"/>
    <n v="49.9"/>
    <n v="13.37"/>
    <n v="51.757485750554139"/>
    <n v="-1.8574857505541402"/>
    <n v="-3.5888253140933399E-2"/>
    <x v="1"/>
  </r>
  <r>
    <s v="368c6c730842d78016ad823897a372db"/>
    <x v="13"/>
    <n v="49.9"/>
    <n v="13.37"/>
    <n v="49.311295163156792"/>
    <n v="0.58870483684320618"/>
    <n v="1.193853933252721E-2"/>
    <x v="1"/>
  </r>
  <r>
    <s v="8cab8abac59158715e0d70a36c807415"/>
    <x v="14"/>
    <n v="99.9"/>
    <n v="27.65"/>
    <n v="92.486323977665052"/>
    <n v="7.413676022334954"/>
    <n v="8.0159700412845009E-2"/>
    <x v="2"/>
  </r>
  <r>
    <s v="3f27ac8e699df3d300ec4a5d8c5cf0b2"/>
    <x v="15"/>
    <n v="639"/>
    <n v="11.34"/>
    <n v="700.56355328100051"/>
    <n v="-61.563553281000509"/>
    <n v="-8.7877185435461802E-2"/>
    <x v="0"/>
  </r>
  <r>
    <s v="4fa33915031a8cde03dd0d3e8fb27f01"/>
    <x v="16"/>
    <n v="144"/>
    <n v="8.77"/>
    <n v="139.30252848207422"/>
    <n v="4.6974715179257771"/>
    <n v="3.3721365786481459E-2"/>
    <x v="1"/>
  </r>
  <r>
    <s v="b50c950aba0dcead2c48032a690ce817"/>
    <x v="17"/>
    <n v="99"/>
    <n v="13.71"/>
    <n v="99.920392780458727"/>
    <n v="-0.92039278045872663"/>
    <n v="-9.2112606330619472E-3"/>
    <x v="1"/>
  </r>
  <r>
    <s v="5ed9eaf534f6936b51d0b6c5e4d5c2e9"/>
    <x v="18"/>
    <n v="25"/>
    <n v="16.11"/>
    <n v="25.313507737276758"/>
    <n v="-0.31350773727675829"/>
    <n v="-1.2384997785790301E-2"/>
    <x v="1"/>
  </r>
  <r>
    <s v="553e0e7590d3116a072507a3635d2877"/>
    <x v="19"/>
    <n v="47.9"/>
    <n v="8.8800000000000008"/>
    <n v="52.170814956682236"/>
    <n v="-4.2708149566822371"/>
    <n v="-8.1862147643818148E-2"/>
    <x v="0"/>
  </r>
  <r>
    <s v="57d79905de06d8897872c551bfd09358"/>
    <x v="20"/>
    <n v="21.99"/>
    <n v="11.85"/>
    <n v="20.532508170017984"/>
    <n v="1.4574918299820148"/>
    <n v="7.0984597590969242E-2"/>
    <x v="2"/>
  </r>
  <r>
    <s v="1c05e0964302b6cf68ca0d15f326c6ba"/>
    <x v="21"/>
    <n v="119.99"/>
    <n v="44.4"/>
    <n v="131.08104033272721"/>
    <n v="-11.091040332727218"/>
    <n v="-8.4612086573119E-2"/>
    <x v="0"/>
  </r>
  <r>
    <s v="5d7c23067ed3fc8c6e699b9373d5890b"/>
    <x v="22"/>
    <n v="49"/>
    <n v="15.1"/>
    <n v="48.621637414646557"/>
    <n v="0.37836258535344314"/>
    <n v="7.7817738248253015E-3"/>
    <x v="1"/>
  </r>
  <r>
    <s v="5a419dbf24a8c9718fe522b81c69f61a"/>
    <x v="23"/>
    <n v="48.9"/>
    <n v="16.600000000000001"/>
    <n v="45.430948650347318"/>
    <n v="3.4690513496526805"/>
    <n v="7.6358769797032613E-2"/>
    <x v="2"/>
  </r>
  <r>
    <s v="21b1c2f67a9aafb5af0eb06c13b9dbda"/>
    <x v="24"/>
    <n v="219.9"/>
    <n v="16.98"/>
    <n v="235.86169285959397"/>
    <n v="-15.961692859593967"/>
    <n v="-6.7673951908315169E-2"/>
    <x v="0"/>
  </r>
  <r>
    <s v="c389f712c4b4510bc997cee93e8b1a28"/>
    <x v="25"/>
    <n v="289"/>
    <n v="26.33"/>
    <n v="264.56354363455051"/>
    <n v="24.436456365449487"/>
    <n v="9.2365168797422403E-2"/>
    <x v="2"/>
  </r>
  <r>
    <s v="1c0c0093a48f13ba70d0c6b0a9157cb7"/>
    <x v="26"/>
    <n v="109.9"/>
    <n v="25.51"/>
    <n v="111.23103539837867"/>
    <n v="-1.3310353983786598"/>
    <n v="-1.1966403024223412E-2"/>
    <x v="1"/>
  </r>
  <r>
    <s v="89321f94e35fc6d7903d36f74e351d40"/>
    <x v="27"/>
    <n v="27.9"/>
    <n v="7.94"/>
    <n v="29.150654131095507"/>
    <n v="-1.2506541310955086"/>
    <n v="-4.2903124076430731E-2"/>
    <x v="1"/>
  </r>
  <r>
    <s v="38afdf723b95d455b418a0f57d623c6b"/>
    <x v="28"/>
    <n v="119.9"/>
    <n v="17.32"/>
    <n v="124.0951330618344"/>
    <n v="-4.1951330618343974"/>
    <n v="-3.380578237298023E-2"/>
    <x v="1"/>
  </r>
  <r>
    <s v="672e757f331900b9deea127a2a7b79fd"/>
    <x v="29"/>
    <n v="397"/>
    <n v="24.65"/>
    <n v="369.83069767224731"/>
    <n v="27.169302327752689"/>
    <n v="7.3464162111904416E-2"/>
    <x v="2"/>
  </r>
  <r>
    <s v="28b4eced95a52d9c437a4caf9d311b95"/>
    <x v="30"/>
    <n v="59.9"/>
    <n v="23.35"/>
    <n v="54.792020444416181"/>
    <n v="5.1079795555838174"/>
    <n v="9.3224880450714753E-2"/>
    <x v="2"/>
  </r>
  <r>
    <s v="e95ee6822b66ac6058e2e4aff656071a"/>
    <x v="31"/>
    <n v="21.33"/>
    <n v="15.1"/>
    <n v="19.965028246897834"/>
    <n v="1.3649717531021643"/>
    <n v="6.8368135332553495E-2"/>
    <x v="2"/>
  </r>
  <r>
    <s v="e95ee6822b66ac6058e2e4aff656071a"/>
    <x v="31"/>
    <n v="21.33"/>
    <n v="15.1"/>
    <n v="22.197621334174173"/>
    <n v="-0.86762133417417431"/>
    <n v="-3.9086230056480632E-2"/>
    <x v="1"/>
  </r>
  <r>
    <s v="e95ee6822b66ac6058e2e4aff656071a"/>
    <x v="31"/>
    <n v="21.33"/>
    <n v="15.1"/>
    <n v="19.878201767763251"/>
    <n v="1.4517982322367473"/>
    <n v="7.3034686396590873E-2"/>
    <x v="2"/>
  </r>
  <r>
    <s v="23365beed316535b4105bd800c46670e"/>
    <x v="32"/>
    <n v="16.5"/>
    <n v="14.1"/>
    <n v="17.414356484908598"/>
    <n v="-0.91435648490859833"/>
    <n v="-5.2505901421105394E-2"/>
    <x v="0"/>
  </r>
  <r>
    <s v="50fd2b788dc166edd20512370dac54df"/>
    <x v="33"/>
    <n v="21.9"/>
    <n v="15.1"/>
    <n v="19.787762564295782"/>
    <n v="2.1122374357042162"/>
    <n v="0.10674463213518894"/>
    <x v="2"/>
  </r>
  <r>
    <s v="b10eba910a974df70b8a12d0665cdb9e"/>
    <x v="34"/>
    <n v="39"/>
    <n v="16.11"/>
    <n v="35.765843662870857"/>
    <n v="3.2341563371291429"/>
    <n v="9.0425836661769468E-2"/>
    <x v="2"/>
  </r>
  <r>
    <s v="4089861a1bd4685da70bddd6b4f974f1"/>
    <x v="35"/>
    <n v="49.75"/>
    <n v="20.8"/>
    <n v="54.156427869053189"/>
    <n v="-4.4064278690531893"/>
    <n v="-8.1364817482195331E-2"/>
    <x v="0"/>
  </r>
  <r>
    <s v="fe59a1e006df3ac42bf0ceb876d70969"/>
    <x v="36"/>
    <n v="809.1"/>
    <n v="44.29"/>
    <n v="769.64741213237846"/>
    <n v="39.45258786762156"/>
    <n v="5.1260599653436836E-2"/>
    <x v="2"/>
  </r>
  <r>
    <s v="c6dd917a0be2a704582055949915ab32"/>
    <x v="37"/>
    <n v="99.99"/>
    <n v="13.72"/>
    <n v="96.603033452985088"/>
    <n v="3.3869665470149073"/>
    <n v="3.5060664514880699E-2"/>
    <x v="1"/>
  </r>
  <r>
    <s v="28b4eced95a52d9c437a4caf9d311b95"/>
    <x v="30"/>
    <n v="59.9"/>
    <n v="19.95"/>
    <n v="56.14134196145735"/>
    <n v="3.7586580385426487"/>
    <n v="6.6949914398609783E-2"/>
    <x v="2"/>
  </r>
  <r>
    <s v="0b0172eb0fd18479d29c3bc122c058c2"/>
    <x v="38"/>
    <n v="24.89"/>
    <n v="17.63"/>
    <n v="26.440772782144283"/>
    <n v="-1.550772782144282"/>
    <n v="-5.865081156748695E-2"/>
    <x v="0"/>
  </r>
  <r>
    <s v="0b0172eb0fd18479d29c3bc122c058c2"/>
    <x v="38"/>
    <n v="24.89"/>
    <n v="17.63"/>
    <n v="23.849965426089749"/>
    <n v="1.0400345739102512"/>
    <n v="4.3607382875806837E-2"/>
    <x v="1"/>
  </r>
  <r>
    <s v="0b0172eb0fd18479d29c3bc122c058c2"/>
    <x v="38"/>
    <n v="24.89"/>
    <n v="17.63"/>
    <n v="23.338664977062045"/>
    <n v="1.5513350229379554"/>
    <n v="6.6470598230989428E-2"/>
    <x v="2"/>
  </r>
  <r>
    <s v="dbaee28f4ee64465838a229582d77520"/>
    <x v="39"/>
    <n v="54"/>
    <n v="8.5399999999999991"/>
    <n v="58.181794459123601"/>
    <n v="-4.1817944591236014"/>
    <n v="-7.1874621571900416E-2"/>
    <x v="0"/>
  </r>
  <r>
    <s v="dbb67791e405873b259e4656bf971246"/>
    <x v="40"/>
    <n v="81.99"/>
    <n v="13.01"/>
    <n v="76.632680239129485"/>
    <n v="5.3573197608705101"/>
    <n v="6.9909074616119241E-2"/>
    <x v="2"/>
  </r>
  <r>
    <s v="84f456958365164420cfc80fbe4c7fab"/>
    <x v="12"/>
    <n v="99"/>
    <n v="13.71"/>
    <n v="96.778062189846779"/>
    <n v="2.2219378101532214"/>
    <n v="2.2959106225897655E-2"/>
    <x v="1"/>
  </r>
  <r>
    <s v="e67307ff0f15ade43fcb6e670be7a74c"/>
    <x v="41"/>
    <n v="18.989999999999998"/>
    <n v="7.78"/>
    <n v="17.73815656532183"/>
    <n v="1.2518434346781682"/>
    <n v="7.0573479835301892E-2"/>
    <x v="2"/>
  </r>
  <r>
    <s v="e67307ff0f15ade43fcb6e670be7a74c"/>
    <x v="41"/>
    <n v="18.989999999999998"/>
    <n v="7.78"/>
    <n v="19.811448875145611"/>
    <n v="-0.82144887514561304"/>
    <n v="-4.1463341743579345E-2"/>
    <x v="1"/>
  </r>
  <r>
    <s v="30c01cc81c9eb80469371743813789cc"/>
    <x v="42"/>
    <n v="38.33"/>
    <n v="16.79"/>
    <n v="34.706125392478313"/>
    <n v="3.6238746075216852"/>
    <n v="0.10441599477154744"/>
    <x v="2"/>
  </r>
  <r>
    <s v="777d2e438a1b645f3aec9bd57e92672c"/>
    <x v="12"/>
    <n v="69.900000000000006"/>
    <n v="18"/>
    <n v="64.1214164632853"/>
    <n v="5.7785835367147058"/>
    <n v="9.0119399343328799E-2"/>
    <x v="2"/>
  </r>
  <r>
    <s v="884fa3cd42986ba480ea2f8ae4e25ff7"/>
    <x v="43"/>
    <n v="195"/>
    <n v="18.21"/>
    <n v="207.61611090419007"/>
    <n v="-12.616110904190066"/>
    <n v="-6.0766531312264602E-2"/>
    <x v="0"/>
  </r>
  <r>
    <s v="bdcf6a834e8faa30dac3886c7a58e92e"/>
    <x v="44"/>
    <n v="35.9"/>
    <n v="15.2"/>
    <n v="35.428733843742741"/>
    <n v="0.47126615625725776"/>
    <n v="1.3301806334252913E-2"/>
    <x v="1"/>
  </r>
  <r>
    <s v="a5341e3f8155dbb3e62323d3ea289729"/>
    <x v="45"/>
    <n v="79.5"/>
    <n v="21.05"/>
    <n v="80.0396623476299"/>
    <n v="-0.53966234762989984"/>
    <n v="-6.7424365845776225E-3"/>
    <x v="1"/>
  </r>
  <r>
    <s v="e19ddcc85537b41f22116c8d5425ef46"/>
    <x v="46"/>
    <n v="29.99"/>
    <n v="15.1"/>
    <n v="31.567292581536933"/>
    <n v="-1.5772925815369341"/>
    <n v="-4.996603929408442E-2"/>
    <x v="1"/>
  </r>
  <r>
    <s v="e6b6e13cf71449a457269f425b89dc74"/>
    <x v="47"/>
    <n v="109.9"/>
    <n v="13.21"/>
    <n v="119.20838688452992"/>
    <n v="-9.3083868845299094"/>
    <n v="-7.8084999955132281E-2"/>
    <x v="0"/>
  </r>
  <r>
    <s v="13fcfc313dfb2217e5ee3000a702f9ef"/>
    <x v="48"/>
    <n v="74.900000000000006"/>
    <n v="16.489999999999998"/>
    <n v="78.776975971087793"/>
    <n v="-3.8769759710877878"/>
    <n v="-4.9214582348409641E-2"/>
    <x v="1"/>
  </r>
  <r>
    <s v="4e3f399366b0047a572b6682f9bb166e"/>
    <x v="49"/>
    <n v="14.95"/>
    <n v="18.23"/>
    <n v="15.24647373447009"/>
    <n v="-0.29647373447009073"/>
    <n v="-1.9445396990374644E-2"/>
    <x v="1"/>
  </r>
  <r>
    <s v="18901878788fec7ddc55e64d1ace8187"/>
    <x v="50"/>
    <n v="149.9"/>
    <n v="43.11"/>
    <n v="149.48003143628523"/>
    <n v="0.4199685637147752"/>
    <n v="2.8095295383569925E-3"/>
    <x v="1"/>
  </r>
  <r>
    <s v="0c4d0a08f95c7b7dc5dc7402bfdafd4c"/>
    <x v="51"/>
    <n v="19.989999999999998"/>
    <n v="14.1"/>
    <n v="21.844006564108788"/>
    <n v="-1.8540065641087899"/>
    <n v="-8.4874840092524551E-2"/>
    <x v="0"/>
  </r>
  <r>
    <s v="35537536ed2b4c561b4018bf3abf54e0"/>
    <x v="52"/>
    <n v="390"/>
    <n v="29.39"/>
    <n v="388.19741054442005"/>
    <n v="1.8025894555799482"/>
    <n v="4.6434865525041523E-3"/>
    <x v="1"/>
  </r>
  <r>
    <s v="fe077ec80df6b4ee60bb4498d5ab1962"/>
    <x v="53"/>
    <n v="135"/>
    <n v="21.75"/>
    <n v="146.6464996924318"/>
    <n v="-11.646499692431803"/>
    <n v="-7.9418872709942093E-2"/>
    <x v="0"/>
  </r>
  <r>
    <s v="430d215740da7fdda91cc938f8fd92f6"/>
    <x v="54"/>
    <n v="104"/>
    <n v="16.43"/>
    <n v="103.53702466878154"/>
    <n v="0.46297533121845902"/>
    <n v="4.4715920000553697E-3"/>
    <x v="1"/>
  </r>
  <r>
    <s v="892832da5b05b0f54578e1f14f193c22"/>
    <x v="55"/>
    <n v="149"/>
    <n v="15.8"/>
    <n v="154.22396314904401"/>
    <n v="-5.2239631490440104"/>
    <n v="-3.3872577531907318E-2"/>
    <x v="1"/>
  </r>
  <r>
    <s v="6490b9f63b0b595e1c1402b46b0f50ad"/>
    <x v="56"/>
    <n v="279.89999999999998"/>
    <n v="13.46"/>
    <n v="257.5978105135361"/>
    <n v="22.302189486463874"/>
    <n v="8.6577558411708444E-2"/>
    <x v="2"/>
  </r>
  <r>
    <s v="71c89e9d8fa274b017279aa322cd0e19"/>
    <x v="57"/>
    <n v="44.9"/>
    <n v="23.22"/>
    <n v="42.531944160547212"/>
    <n v="2.3680558394527864"/>
    <n v="5.5677112490178704E-2"/>
    <x v="2"/>
  </r>
  <r>
    <s v="df3655ac9aa8c6cbfa63bdd8d3b09c50"/>
    <x v="20"/>
    <n v="37.99"/>
    <n v="19.18"/>
    <n v="36.239107279594442"/>
    <n v="1.7508927204055595"/>
    <n v="4.8315006959110555E-2"/>
    <x v="1"/>
  </r>
  <r>
    <s v="059344baebbeaa42fa9f2bbe11b1583e"/>
    <x v="52"/>
    <n v="29.99"/>
    <n v="15.31"/>
    <n v="30.993338430210752"/>
    <n v="-1.0033384302107535"/>
    <n v="-3.2372712364304376E-2"/>
    <x v="1"/>
  </r>
  <r>
    <s v="d9bdf643d95cb89844c0da1a0df1d16e"/>
    <x v="58"/>
    <n v="120"/>
    <n v="15.59"/>
    <n v="108.43711962082327"/>
    <n v="11.562880379176733"/>
    <n v="0.10663212394066859"/>
    <x v="2"/>
  </r>
  <r>
    <s v="7614c62b86a81021243e438cfde78ccc"/>
    <x v="59"/>
    <n v="492.75"/>
    <n v="21.62"/>
    <n v="496.12063499504609"/>
    <n v="-3.370634995046089"/>
    <n v="-6.7939826672997498E-3"/>
    <x v="1"/>
  </r>
  <r>
    <s v="01c666c82f414c762ad21bffa56e8b49"/>
    <x v="60"/>
    <n v="94.9"/>
    <n v="18.54"/>
    <n v="98.377852547857671"/>
    <n v="-3.4778525478576654"/>
    <n v="-3.5351986832257813E-2"/>
    <x v="1"/>
  </r>
  <r>
    <s v="c2ece64199af7a53793ed9612a89a8cd"/>
    <x v="61"/>
    <n v="88.34"/>
    <n v="21.11"/>
    <n v="91.491069416304384"/>
    <n v="-3.1510694163043809"/>
    <n v="-3.4441278656021888E-2"/>
    <x v="1"/>
  </r>
  <r>
    <s v="cc47c0863559499f01b4cad750929d10"/>
    <x v="37"/>
    <n v="199.99"/>
    <n v="65.56"/>
    <n v="183.77543166150471"/>
    <n v="16.214568338495297"/>
    <n v="8.8230337384601287E-2"/>
    <x v="2"/>
  </r>
  <r>
    <s v="a6f449f6257f26e556013151cee46b4b"/>
    <x v="62"/>
    <n v="99.9"/>
    <n v="19.670000000000002"/>
    <n v="106.26439959753414"/>
    <n v="-6.3643995975341312"/>
    <n v="-5.9892114590010037E-2"/>
    <x v="0"/>
  </r>
  <r>
    <s v="2d9ff06c8870a518f5f6909774e140fb"/>
    <x v="63"/>
    <n v="78"/>
    <n v="8.9"/>
    <n v="78.514631850025893"/>
    <n v="-0.51463185002589285"/>
    <n v="-6.5545980144046632E-3"/>
    <x v="1"/>
  </r>
  <r>
    <s v="2d9ff06c8870a518f5f6909774e140fb"/>
    <x v="63"/>
    <n v="78"/>
    <n v="8.9"/>
    <n v="81.198299992739805"/>
    <n v="-3.1982999927398055"/>
    <n v="-3.9388755590028059E-2"/>
    <x v="1"/>
  </r>
  <r>
    <s v="97c58626cc3e15d514d2095f69650220"/>
    <x v="16"/>
    <n v="155"/>
    <n v="14.84"/>
    <n v="153.04098748649008"/>
    <n v="1.9590125135099186"/>
    <n v="1.2800574183977042E-2"/>
    <x v="1"/>
  </r>
  <r>
    <s v="d54c5b81fc2b38707588dd4eddc7c594"/>
    <x v="64"/>
    <n v="249.9"/>
    <n v="34.229999999999997"/>
    <n v="269.58855397907149"/>
    <n v="-19.688553979071486"/>
    <n v="-7.3031861659081918E-2"/>
    <x v="0"/>
  </r>
  <r>
    <s v="9eae06d51aaa383b2bed5547a19d581c"/>
    <x v="65"/>
    <n v="53.98"/>
    <n v="23.31"/>
    <n v="50.34785537397638"/>
    <n v="3.6321446260236172"/>
    <n v="7.2140999830967723E-2"/>
    <x v="2"/>
  </r>
  <r>
    <s v="d41dc2f2979f52d75d78714b378d4068"/>
    <x v="66"/>
    <n v="8.99"/>
    <n v="32.57"/>
    <n v="8.7523973269166273"/>
    <n v="0.23760267308337291"/>
    <n v="2.7147153426486145E-2"/>
    <x v="1"/>
  </r>
  <r>
    <s v="880be32f4db1d9f6e2bec38fb6ac23ab"/>
    <x v="67"/>
    <n v="44.9"/>
    <n v="7.16"/>
    <n v="46.303067900755941"/>
    <n v="-1.4030679007559428"/>
    <n v="-3.030183450831422E-2"/>
    <x v="1"/>
  </r>
  <r>
    <s v="ae27a5524edb2c8dc4656c670f458fb7"/>
    <x v="68"/>
    <n v="60.6"/>
    <n v="17.670000000000002"/>
    <n v="57.856028109001869"/>
    <n v="2.7439718909981323"/>
    <n v="4.7427588458517002E-2"/>
    <x v="1"/>
  </r>
  <r>
    <s v="bd7cab8de4d7943286634023cc06f8ff"/>
    <x v="69"/>
    <n v="225"/>
    <n v="67.239999999999995"/>
    <n v="243.60560881528028"/>
    <n v="-18.605608815280277"/>
    <n v="-7.6375945963495534E-2"/>
    <x v="0"/>
  </r>
  <r>
    <s v="c8e7c2ef329fcda4a233e7e2f8bb8b7d"/>
    <x v="70"/>
    <n v="39.9"/>
    <n v="15.38"/>
    <n v="40.052514399270947"/>
    <n v="-0.15251439927094879"/>
    <n v="-3.8078607937214776E-3"/>
    <x v="1"/>
  </r>
  <r>
    <s v="54e5063e43f27f747d592eb24e913150"/>
    <x v="71"/>
    <n v="76"/>
    <n v="34.07"/>
    <n v="69.088512244117211"/>
    <n v="6.9114877558827885"/>
    <n v="0.10003816164779683"/>
    <x v="2"/>
  </r>
  <r>
    <s v="08279c494018541f71443c07d77560f8"/>
    <x v="72"/>
    <n v="159"/>
    <n v="27.19"/>
    <n v="158.83845465632973"/>
    <n v="0.1615453436702694"/>
    <n v="1.0170417737933577E-3"/>
    <x v="1"/>
  </r>
  <r>
    <s v="2b939dc9b176d7fa21594d588815d4a4"/>
    <x v="73"/>
    <n v="102.9"/>
    <n v="14.45"/>
    <n v="110.32208478562067"/>
    <n v="-7.4220847856206689"/>
    <n v="-6.7276509504360454E-2"/>
    <x v="0"/>
  </r>
  <r>
    <s v="2b939dc9b176d7fa21594d588815d4a4"/>
    <x v="73"/>
    <n v="102.9"/>
    <n v="14.45"/>
    <n v="100.80892109651852"/>
    <n v="2.0910789034814883"/>
    <n v="2.0742994575642815E-2"/>
    <x v="1"/>
  </r>
  <r>
    <s v="87b08e712cc4c9fe70984c5a24b29e2f"/>
    <x v="74"/>
    <n v="63.9"/>
    <n v="16.89"/>
    <n v="65.967909475918731"/>
    <n v="-2.0679094759187322"/>
    <n v="-3.1347203395517824E-2"/>
    <x v="1"/>
  </r>
  <r>
    <s v="e1bf2f209fd2b08e1af3ed71732d9008"/>
    <x v="75"/>
    <n v="168.8"/>
    <n v="8.2100000000000009"/>
    <n v="176.12924106275838"/>
    <n v="-7.3292410627583706"/>
    <n v="-4.1612857799953926E-2"/>
    <x v="1"/>
  </r>
  <r>
    <s v="1f9799a175f50c9fa725984775cac5c5"/>
    <x v="76"/>
    <n v="59.9"/>
    <n v="9.94"/>
    <n v="57.696951854866285"/>
    <n v="2.2030481451337138"/>
    <n v="3.8183094155049439E-2"/>
    <x v="1"/>
  </r>
  <r>
    <s v="13944d17b257432717fd260e69853140"/>
    <x v="76"/>
    <n v="59.9"/>
    <n v="9.94"/>
    <n v="54.433855852918164"/>
    <n v="5.4661441470818346"/>
    <n v="0.10041809571329123"/>
    <x v="2"/>
  </r>
  <r>
    <s v="84904413b82eee333a3f79137e8d197e"/>
    <x v="77"/>
    <n v="232.75"/>
    <n v="28.58"/>
    <n v="231.39398178820628"/>
    <n v="1.3560182117937245"/>
    <n v="5.8602138280107949E-3"/>
    <x v="1"/>
  </r>
  <r>
    <s v="0f2fd0a589cb7849c1dbedbd4109c2f8"/>
    <x v="78"/>
    <n v="48.9"/>
    <n v="18.440000000000001"/>
    <n v="52.570048980285378"/>
    <n v="-3.6700489802853795"/>
    <n v="-6.9812546335304107E-2"/>
    <x v="0"/>
  </r>
  <r>
    <s v="8a6187b2665118d5095f99a25fd7ba7a"/>
    <x v="12"/>
    <n v="87"/>
    <n v="12.11"/>
    <n v="84.490218593548605"/>
    <n v="2.5097814064513955"/>
    <n v="2.9704993645773739E-2"/>
    <x v="1"/>
  </r>
  <r>
    <s v="ec02a5d380128f7a188e9ce8f3ddd832"/>
    <x v="79"/>
    <n v="131.9"/>
    <n v="18.54"/>
    <n v="121.58602066063875"/>
    <n v="10.313979339361254"/>
    <n v="8.4828661085543822E-2"/>
    <x v="2"/>
  </r>
  <r>
    <s v="71a5f1c2a5fd9889ef26b5ac22aec9c6"/>
    <x v="80"/>
    <n v="19.899999999999999"/>
    <n v="14.1"/>
    <n v="21.687114447593668"/>
    <n v="-1.7871144475936696"/>
    <n v="-8.2404436602766307E-2"/>
    <x v="0"/>
  </r>
  <r>
    <s v="4c1bbc12438daec98a77243c2bf7a3ba"/>
    <x v="21"/>
    <n v="136.99"/>
    <n v="66.040000000000006"/>
    <n v="130.03361687846282"/>
    <n v="6.9563831215371863"/>
    <n v="5.3496805584043988E-2"/>
    <x v="2"/>
  </r>
  <r>
    <s v="3a264b078bf20e98f315ff65c23fa263"/>
    <x v="81"/>
    <n v="399.99"/>
    <n v="23.64"/>
    <n v="420.46579559452033"/>
    <n v="-20.475795594520321"/>
    <n v="-4.8697886508386343E-2"/>
    <x v="1"/>
  </r>
  <r>
    <s v="38fa750a3a3b3204f169c86a3284d387"/>
    <x v="17"/>
    <n v="41"/>
    <n v="11.85"/>
    <n v="44.043740151684048"/>
    <n v="-3.0437401516840481"/>
    <n v="-6.9107213447395385E-2"/>
    <x v="0"/>
  </r>
  <r>
    <s v="99e71b776debf2f01a69dce207e3e4f8"/>
    <x v="82"/>
    <n v="69"/>
    <n v="18.579999999999998"/>
    <n v="69.937902273918269"/>
    <n v="-0.93790227391826875"/>
    <n v="-1.3410500507219786E-2"/>
    <x v="1"/>
  </r>
  <r>
    <s v="99e71b776debf2f01a69dce207e3e4f8"/>
    <x v="82"/>
    <n v="69"/>
    <n v="18.579999999999998"/>
    <n v="75.309103758024207"/>
    <n v="-6.3091037580242073"/>
    <n v="-8.3776109968005968E-2"/>
    <x v="0"/>
  </r>
  <r>
    <s v="62984ea1bba7fcea1f5b57084d3bf885"/>
    <x v="48"/>
    <n v="169.9"/>
    <n v="33.33"/>
    <n v="169.25341791321094"/>
    <n v="0.64658208678906703"/>
    <n v="3.8202010615857617E-3"/>
    <x v="1"/>
  </r>
  <r>
    <s v="a4d286543a67e29c930c99cbd7a55a8f"/>
    <x v="83"/>
    <n v="119"/>
    <n v="15.28"/>
    <n v="118.53469746211788"/>
    <n v="0.46530253788212406"/>
    <n v="3.9254543002552366E-3"/>
    <x v="1"/>
  </r>
  <r>
    <s v="452f66a0f164cac57802e2cea93188ac"/>
    <x v="84"/>
    <n v="39.9"/>
    <n v="18.079999999999998"/>
    <n v="40.207021548168498"/>
    <n v="-0.30702154816849969"/>
    <n v="-7.636018196490485E-3"/>
    <x v="1"/>
  </r>
  <r>
    <s v="fadc89c2a60ff96b18827644074dfd70"/>
    <x v="85"/>
    <n v="85"/>
    <n v="12.9"/>
    <n v="90.560886594795491"/>
    <n v="-5.5608865947954911"/>
    <n v="-6.1404948691337939E-2"/>
    <x v="0"/>
  </r>
  <r>
    <s v="db886bd83f6a076a2caeb7fd02722c35"/>
    <x v="86"/>
    <n v="220"/>
    <n v="8.89"/>
    <n v="233.82297589233684"/>
    <n v="-13.822975892336842"/>
    <n v="-5.9117269547974596E-2"/>
    <x v="0"/>
  </r>
  <r>
    <s v="41402af2a88247152583bb812ba235dd"/>
    <x v="87"/>
    <n v="277"/>
    <n v="35.74"/>
    <n v="272.29260733672857"/>
    <n v="4.7073926632714347"/>
    <n v="1.7287992903347808E-2"/>
    <x v="1"/>
  </r>
  <r>
    <s v="3fbc0ef745950c7932d5f2a446189725"/>
    <x v="88"/>
    <n v="66.989999999999995"/>
    <n v="27.75"/>
    <n v="71.706153742762808"/>
    <n v="-4.7161537427628133"/>
    <n v="-6.5770557986995742E-2"/>
    <x v="0"/>
  </r>
  <r>
    <s v="500870614ddcf5bd84f7d26861026c8a"/>
    <x v="89"/>
    <n v="14"/>
    <n v="50.85"/>
    <n v="14.50495386880017"/>
    <n v="-0.50495386880017001"/>
    <n v="-3.481251118532093E-2"/>
    <x v="1"/>
  </r>
  <r>
    <s v="656e0eca68dcecf6a31b8ececfabe3e8"/>
    <x v="90"/>
    <n v="85"/>
    <n v="17.03"/>
    <n v="84.859021359482043"/>
    <n v="0.14097864051795739"/>
    <n v="1.6613276733506025E-3"/>
    <x v="1"/>
  </r>
  <r>
    <s v="656e0eca68dcecf6a31b8ececfabe3e8"/>
    <x v="90"/>
    <n v="85"/>
    <n v="17.03"/>
    <n v="90.716909426328016"/>
    <n v="-5.7169094263280158"/>
    <n v="-6.3019226101069581E-2"/>
    <x v="0"/>
  </r>
  <r>
    <s v="4bc3ab2ff016887e619e587a993af3bf"/>
    <x v="91"/>
    <n v="229"/>
    <n v="9.8000000000000007"/>
    <n v="248.97842683217078"/>
    <n v="-19.978426832170783"/>
    <n v="-8.0241597982453589E-2"/>
    <x v="0"/>
  </r>
  <r>
    <s v="53b36df67ebb7c41585e8d54d6772e08"/>
    <x v="92"/>
    <n v="99.9"/>
    <n v="0"/>
    <n v="108.08568835621631"/>
    <n v="-8.1856883562163034"/>
    <n v="-7.5733323076398962E-2"/>
    <x v="0"/>
  </r>
  <r>
    <s v="3f14d740544f37ece8a9e7bc8349797e"/>
    <x v="93"/>
    <n v="84.9"/>
    <n v="34.39"/>
    <n v="88.903493809010897"/>
    <n v="-4.0034938090108909"/>
    <n v="-4.5031906368173724E-2"/>
    <x v="1"/>
  </r>
  <r>
    <s v="8b5632d7a4f86bd2f1331355305427e6"/>
    <x v="94"/>
    <n v="189"/>
    <n v="33.909999999999997"/>
    <n v="193.41705612993184"/>
    <n v="-4.4170561299318365"/>
    <n v="-2.2836952533103333E-2"/>
    <x v="1"/>
  </r>
  <r>
    <s v="5e21d5cab5d33e770d8150a4ee6117db"/>
    <x v="22"/>
    <n v="49"/>
    <n v="7.78"/>
    <n v="51.413599053293133"/>
    <n v="-2.4135990532931331"/>
    <n v="-4.6944759708249559E-2"/>
    <x v="1"/>
  </r>
  <r>
    <s v="d0fb1e667e989933a80444f93da833c0"/>
    <x v="95"/>
    <n v="37.9"/>
    <n v="15.37"/>
    <n v="40.235821442824971"/>
    <n v="-2.3358214428249724"/>
    <n v="-5.8053280859300227E-2"/>
    <x v="0"/>
  </r>
  <r>
    <s v="01cf56cd6138b926a4802d16fc304149"/>
    <x v="96"/>
    <n v="179.93"/>
    <n v="16.14"/>
    <n v="193.42102499310408"/>
    <n v="-13.491024993104077"/>
    <n v="-6.9749526937855202E-2"/>
    <x v="0"/>
  </r>
  <r>
    <s v="9545d45c37449ccbc376de3a04c66e71"/>
    <x v="97"/>
    <n v="116.9"/>
    <n v="13.84"/>
    <n v="114.44062773469594"/>
    <n v="2.4593722653040686"/>
    <n v="2.1490377272357794E-2"/>
    <x v="1"/>
  </r>
  <r>
    <s v="86a11a09edde2267675505fc4d56d9b0"/>
    <x v="98"/>
    <n v="94.9"/>
    <n v="15.51"/>
    <n v="97.155337930722823"/>
    <n v="-2.255337930722817"/>
    <n v="-2.321373152271879E-2"/>
    <x v="1"/>
  </r>
  <r>
    <s v="19f0917ba5781b978298ffcd9ae225c1"/>
    <x v="99"/>
    <n v="121.99"/>
    <n v="15.73"/>
    <n v="115.35386594071524"/>
    <n v="6.6361340592847569"/>
    <n v="5.7528492913235522E-2"/>
    <x v="2"/>
  </r>
  <r>
    <s v="ff6caf9340512b8bf6d2a2a6df032cfa"/>
    <x v="100"/>
    <n v="7.79"/>
    <n v="7.78"/>
    <n v="8.5499267496710161"/>
    <n v="-0.75992674967101603"/>
    <n v="-8.8881083068958047E-2"/>
    <x v="0"/>
  </r>
  <r>
    <s v="9df0e8a7eef2a38b74e6d5c0e224b11f"/>
    <x v="21"/>
    <n v="179.99"/>
    <n v="85.97"/>
    <n v="197.64893889143249"/>
    <n v="-17.658938891432484"/>
    <n v="-8.934497190056985E-2"/>
    <x v="0"/>
  </r>
  <r>
    <s v="a9c404971d1a5b1cbc2e4070e02731fd"/>
    <x v="101"/>
    <n v="7.6"/>
    <n v="10.96"/>
    <n v="7.631208367011153"/>
    <n v="-3.1208367011153371E-2"/>
    <n v="-4.0895708137211398E-3"/>
    <x v="1"/>
  </r>
  <r>
    <s v="389d119b48cf3043d311335e499d9c6b"/>
    <x v="13"/>
    <n v="49.9"/>
    <n v="17.600000000000001"/>
    <n v="48.630947633375115"/>
    <n v="1.2690523666248836"/>
    <n v="2.6095571408399638E-2"/>
    <x v="1"/>
  </r>
  <r>
    <s v="c589625c8ccc7bfd2e8f1fb041e24c4a"/>
    <x v="102"/>
    <n v="110.32"/>
    <n v="8.0299999999999994"/>
    <n v="120.04561410557588"/>
    <n v="-9.725614105575886"/>
    <n v="-8.1015988614315818E-2"/>
    <x v="0"/>
  </r>
  <r>
    <s v="8c5876b1c7768217964f353bc7e64393"/>
    <x v="103"/>
    <n v="49"/>
    <n v="11.85"/>
    <n v="48.136637805535919"/>
    <n v="0.8633621944640808"/>
    <n v="1.793565636951882E-2"/>
    <x v="1"/>
  </r>
  <r>
    <s v="cd71c76f5ab15f51f24fb214fc42d8ab"/>
    <x v="104"/>
    <n v="159.9"/>
    <n v="61.18"/>
    <n v="158.26730432916341"/>
    <n v="1.6326956708365969"/>
    <n v="1.0316064191255359E-2"/>
    <x v="1"/>
  </r>
  <r>
    <s v="28a652ff04e43c1bc57937a9f8770f9b"/>
    <x v="105"/>
    <n v="120"/>
    <n v="27.39"/>
    <n v="126.04135380385587"/>
    <n v="-6.0413538038558698"/>
    <n v="-4.7931521056631593E-2"/>
    <x v="1"/>
  </r>
  <r>
    <s v="0c753fe6a58dfa7a27bda5de76e779c3"/>
    <x v="106"/>
    <n v="21.5"/>
    <n v="11.98"/>
    <n v="19.400044453048974"/>
    <n v="2.0999555469510263"/>
    <n v="0.10824488325442937"/>
    <x v="2"/>
  </r>
  <r>
    <s v="5a848e4ab52fd5445cdc07aab1c40e48"/>
    <x v="107"/>
    <n v="122.99"/>
    <n v="15.61"/>
    <n v="111.12369433931478"/>
    <n v="11.866305660685214"/>
    <n v="0.10678465768472024"/>
    <x v="2"/>
  </r>
  <r>
    <s v="68c923fddf7f83316b53252eaf830724"/>
    <x v="37"/>
    <n v="72.989999999999995"/>
    <n v="19.75"/>
    <n v="68.56449937171115"/>
    <n v="4.4255006282888445"/>
    <n v="6.4545073162376954E-2"/>
    <x v="2"/>
  </r>
  <r>
    <s v="601a360bd2a916ecef0e88de72a6531a"/>
    <x v="37"/>
    <n v="129.99"/>
    <n v="13.93"/>
    <n v="128.95726515595859"/>
    <n v="1.0327348440414141"/>
    <n v="8.0083494543129706E-3"/>
    <x v="1"/>
  </r>
  <r>
    <s v="84f456958365164420cfc80fbe4c7fab"/>
    <x v="12"/>
    <n v="92"/>
    <n v="17.89"/>
    <n v="90.996730986241232"/>
    <n v="1.0032690137587679"/>
    <n v="1.1025330282584138E-2"/>
    <x v="1"/>
  </r>
  <r>
    <s v="84f456958365164420cfc80fbe4c7fab"/>
    <x v="12"/>
    <n v="92"/>
    <n v="17.89"/>
    <n v="89.304090991876436"/>
    <n v="2.6959090081235644"/>
    <n v="3.0187967630383228E-2"/>
    <x v="1"/>
  </r>
  <r>
    <s v="0c4a0f8ab44f9acd2d04e7024f9ba362"/>
    <x v="108"/>
    <n v="33.89"/>
    <n v="8.4"/>
    <n v="36.902517696689273"/>
    <n v="-3.0125176966892724"/>
    <n v="-8.1634476039003215E-2"/>
    <x v="0"/>
  </r>
  <r>
    <s v="0c4a0f8ab44f9acd2d04e7024f9ba362"/>
    <x v="108"/>
    <n v="33.89"/>
    <n v="8.4"/>
    <n v="33.797462533585637"/>
    <n v="9.2537466414363223E-2"/>
    <n v="2.7380004141555224E-3"/>
    <x v="1"/>
  </r>
  <r>
    <s v="0c4a0f8ab44f9acd2d04e7024f9ba362"/>
    <x v="108"/>
    <n v="33.89"/>
    <n v="8.4"/>
    <n v="36.492050371267879"/>
    <n v="-2.6020503712678789"/>
    <n v="-7.1304581266187522E-2"/>
    <x v="0"/>
  </r>
  <r>
    <s v="0c4a0f8ab44f9acd2d04e7024f9ba362"/>
    <x v="108"/>
    <n v="33.89"/>
    <n v="8.4"/>
    <n v="31.967913757100007"/>
    <n v="1.9220862428999936"/>
    <n v="6.0125482616866177E-2"/>
    <x v="2"/>
  </r>
  <r>
    <s v="d1c427060a0f73f6b889a5c7c61f2ac4"/>
    <x v="109"/>
    <n v="149"/>
    <n v="40.369999999999997"/>
    <n v="137.42282139294966"/>
    <n v="11.577178607050342"/>
    <n v="8.4244949199131336E-2"/>
    <x v="2"/>
  </r>
  <r>
    <s v="41eee23c25f7a574dfaf8d5c151dbb12"/>
    <x v="110"/>
    <n v="20.3"/>
    <n v="16.79"/>
    <n v="21.908408959753565"/>
    <n v="-1.6084089597535645"/>
    <n v="-7.3415142227272745E-2"/>
    <x v="0"/>
  </r>
  <r>
    <s v="8695c431b31927efef5343e675f279e7"/>
    <x v="16"/>
    <n v="179.9"/>
    <n v="15.01"/>
    <n v="174.34106351691054"/>
    <n v="5.5589364830894681"/>
    <n v="3.1885411107121467E-2"/>
    <x v="1"/>
  </r>
  <r>
    <s v="8695c431b31927efef5343e675f279e7"/>
    <x v="16"/>
    <n v="179.9"/>
    <n v="15.01"/>
    <n v="178.42756599717333"/>
    <n v="1.4724340028266738"/>
    <n v="8.2522787025520496E-3"/>
    <x v="1"/>
  </r>
  <r>
    <s v="d9c01b484ada6a360c2715a08fdf1568"/>
    <x v="111"/>
    <n v="109.9"/>
    <n v="12.27"/>
    <n v="107.79919278120036"/>
    <n v="2.1008072187996447"/>
    <n v="1.9488153525079224E-2"/>
    <x v="1"/>
  </r>
  <r>
    <s v="bd6e8cf9fe4122c385da2bcb9f979d5d"/>
    <x v="112"/>
    <n v="89"/>
    <n v="25.9"/>
    <n v="83.776994885358448"/>
    <n v="5.2230051146415519"/>
    <n v="6.2344144974271057E-2"/>
    <x v="2"/>
  </r>
  <r>
    <s v="2948658cb6abc82847412be7201bfc4c"/>
    <x v="52"/>
    <n v="120"/>
    <n v="13.75"/>
    <n v="115.08438450694918"/>
    <n v="4.9156154930508222"/>
    <n v="4.2713140571681997E-2"/>
    <x v="1"/>
  </r>
  <r>
    <s v="7e6c4a0bf900e259f50ba63331fd2785"/>
    <x v="22"/>
    <n v="75"/>
    <n v="14.28"/>
    <n v="69.18324195540491"/>
    <n v="5.8167580445950904"/>
    <n v="8.4077558093396912E-2"/>
    <x v="2"/>
  </r>
  <r>
    <s v="381169576b9f3c083a1c3261da161a3b"/>
    <x v="113"/>
    <n v="46.86"/>
    <n v="14.52"/>
    <n v="49.474498056932028"/>
    <n v="-2.6144980569320282"/>
    <n v="-5.2845368010069234E-2"/>
    <x v="0"/>
  </r>
  <r>
    <s v="7e97894cc00196a56d6ec315c68b2353"/>
    <x v="114"/>
    <n v="96"/>
    <n v="14.84"/>
    <n v="95.293766532849148"/>
    <n v="0.70623346715085233"/>
    <n v="7.4111192457420958E-3"/>
    <x v="1"/>
  </r>
  <r>
    <s v="fb7a100ec8c7b34f60cec22b1a9a10e0"/>
    <x v="115"/>
    <n v="49.99"/>
    <n v="18.12"/>
    <n v="51.383526515689454"/>
    <n v="-1.3935265156894516"/>
    <n v="-2.7120102690187137E-2"/>
    <x v="1"/>
  </r>
  <r>
    <s v="4c3ae5db49258df0784827bdacf3b396"/>
    <x v="115"/>
    <n v="24.99"/>
    <n v="13.58"/>
    <n v="24.763366478153358"/>
    <n v="0.22663352184664021"/>
    <n v="9.151967364638405E-3"/>
    <x v="1"/>
  </r>
  <r>
    <s v="4c3ae5db49258df0784827bdacf3b396"/>
    <x v="115"/>
    <n v="24.99"/>
    <n v="13.58"/>
    <n v="25.321065816888314"/>
    <n v="-0.33106581688831582"/>
    <n v="-1.3074718863828626E-2"/>
    <x v="1"/>
  </r>
  <r>
    <s v="03bb24d19ea7449ce170e0888d830707"/>
    <x v="116"/>
    <n v="120.1"/>
    <n v="16.600000000000001"/>
    <n v="130.13696687864456"/>
    <n v="-10.036966878644563"/>
    <n v="-7.7126178052115232E-2"/>
    <x v="0"/>
  </r>
  <r>
    <s v="f9259c9e7c0f12c70f7a81409680a5ff"/>
    <x v="98"/>
    <n v="69.900000000000006"/>
    <n v="16.25"/>
    <n v="63.388435805798757"/>
    <n v="6.5115641942012488"/>
    <n v="0.10272479690381589"/>
    <x v="2"/>
  </r>
  <r>
    <s v="32a8448d1612773bcfd0c5a8dd235e4e"/>
    <x v="117"/>
    <n v="39.9"/>
    <n v="54.02"/>
    <n v="38.087537736778309"/>
    <n v="1.8124622632216898"/>
    <n v="4.7586753329857012E-2"/>
    <x v="1"/>
  </r>
  <r>
    <s v="3d514fecadf6cef40a2a32a3c20cd1c8"/>
    <x v="118"/>
    <n v="159.9"/>
    <n v="20.309999999999999"/>
    <n v="166.25633120242804"/>
    <n v="-6.3563312024280378"/>
    <n v="-3.8232115170933161E-2"/>
    <x v="1"/>
  </r>
  <r>
    <s v="f819f0c84a64f02d3a5606ca95edd272"/>
    <x v="92"/>
    <n v="540"/>
    <n v="16.22"/>
    <n v="525.08817699507006"/>
    <n v="14.911823004929943"/>
    <n v="2.8398702652697408E-2"/>
    <x v="1"/>
  </r>
  <r>
    <s v="fa11ecd35f999783e96ac500532d9d45"/>
    <x v="119"/>
    <n v="189.9"/>
    <n v="31.17"/>
    <n v="195.22103117281051"/>
    <n v="-5.3210311728105069"/>
    <n v="-2.7256444353581488E-2"/>
    <x v="1"/>
  </r>
  <r>
    <s v="7d187801885842645486f00fb166f378"/>
    <x v="120"/>
    <n v="14.9"/>
    <n v="8.27"/>
    <n v="15.278144585890463"/>
    <n v="-0.37814458589046218"/>
    <n v="-2.4750687739902851E-2"/>
    <x v="1"/>
  </r>
  <r>
    <s v="205604b962ebdae1c924e0d14e6e8ac1"/>
    <x v="121"/>
    <n v="43.9"/>
    <n v="11.85"/>
    <n v="40.721186040668158"/>
    <n v="3.1788139593318405"/>
    <n v="7.8062902101062731E-2"/>
    <x v="2"/>
  </r>
  <r>
    <s v="2fb0efd1f61f186ffdda9e8ec70f27f2"/>
    <x v="122"/>
    <n v="139"/>
    <n v="87.28"/>
    <n v="149.42107714868021"/>
    <n v="-10.421077148680212"/>
    <n v="-6.9743019843919368E-2"/>
    <x v="0"/>
  </r>
  <r>
    <s v="02ed3b595447e948efc3eac897e4df0e"/>
    <x v="123"/>
    <n v="40.35"/>
    <n v="13.71"/>
    <n v="37.740420921586313"/>
    <n v="2.6095790784136881"/>
    <n v="6.9145468298714499E-2"/>
    <x v="2"/>
  </r>
  <r>
    <s v="2f763ba79d9cd987b2034aac7ceffe06"/>
    <x v="124"/>
    <n v="469"/>
    <n v="20.85"/>
    <n v="478.89171172200577"/>
    <n v="-9.8917117220057662"/>
    <n v="-2.0655424764895191E-2"/>
    <x v="1"/>
  </r>
  <r>
    <s v="71bdf1a4d18c3cd68f108547f0b4cd1c"/>
    <x v="125"/>
    <n v="59"/>
    <n v="16.170000000000002"/>
    <n v="60.918426828757859"/>
    <n v="-1.918426828757859"/>
    <n v="-3.1491732939042741E-2"/>
    <x v="1"/>
  </r>
  <r>
    <s v="525f8fbde09c9bf777025c3141fbbc6e"/>
    <x v="33"/>
    <n v="35.9"/>
    <n v="15.79"/>
    <n v="38.29005141919604"/>
    <n v="-2.3900514191960411"/>
    <n v="-6.2419645067330234E-2"/>
    <x v="0"/>
  </r>
  <r>
    <s v="525f8fbde09c9bf777025c3141fbbc6e"/>
    <x v="33"/>
    <n v="35.9"/>
    <n v="15.79"/>
    <n v="37.851308624980383"/>
    <n v="-1.9513086249803848"/>
    <n v="-5.155194617743275E-2"/>
    <x v="0"/>
  </r>
  <r>
    <s v="735413ccfa564132a231aad945ef85ad"/>
    <x v="126"/>
    <n v="96.99"/>
    <n v="16.440000000000001"/>
    <n v="94.611222322055653"/>
    <n v="2.3787776779443419"/>
    <n v="2.5142658762477527E-2"/>
    <x v="1"/>
  </r>
  <r>
    <s v="e53e557d5a159f5aa2c5e995dfdf244b"/>
    <x v="127"/>
    <n v="77.900000000000006"/>
    <n v="13.89"/>
    <n v="80.031606077130093"/>
    <n v="-2.1316060771300869"/>
    <n v="-2.663455329230506E-2"/>
    <x v="1"/>
  </r>
  <r>
    <s v="b20004b530789d5db586f589da0ef3e3"/>
    <x v="128"/>
    <n v="229.99"/>
    <n v="20.8"/>
    <n v="218.95906871408181"/>
    <n v="11.0309312859182"/>
    <n v="5.0378965122118154E-2"/>
    <x v="2"/>
  </r>
  <r>
    <s v="e10758160da97891c2fdcbc35f0f031d"/>
    <x v="129"/>
    <n v="56"/>
    <n v="14.14"/>
    <n v="51.912289869121842"/>
    <n v="4.0877101308781576"/>
    <n v="7.8742628020914654E-2"/>
    <x v="2"/>
  </r>
  <r>
    <s v="83d199d296c44101c8c3b5c9c0cce9ea"/>
    <x v="130"/>
    <n v="69.989999999999995"/>
    <n v="11.99"/>
    <n v="70.623198738517829"/>
    <n v="-0.6331987385178337"/>
    <n v="-8.9658745260498621E-3"/>
    <x v="1"/>
  </r>
  <r>
    <s v="1ec486885049bbb9b79351d150ed18c4"/>
    <x v="131"/>
    <n v="49.9"/>
    <n v="7.78"/>
    <n v="53.059653187859126"/>
    <n v="-3.1596531878591279"/>
    <n v="-5.954907350548054E-2"/>
    <x v="0"/>
  </r>
  <r>
    <s v="85d619318aa201aca57171aabeed0048"/>
    <x v="132"/>
    <n v="14"/>
    <n v="7.39"/>
    <n v="12.686568710287153"/>
    <n v="1.3134312897128471"/>
    <n v="0.10352927727793139"/>
    <x v="2"/>
  </r>
  <r>
    <s v="02475368dfb38934fe55f574024fe1d7"/>
    <x v="22"/>
    <n v="29"/>
    <n v="14.1"/>
    <n v="28.794844537805517"/>
    <n v="0.20515546219448311"/>
    <n v="7.1247289397631253E-3"/>
    <x v="1"/>
  </r>
  <r>
    <s v="08574b074924071f4e201e151b152b4e"/>
    <x v="133"/>
    <n v="99"/>
    <n v="43.06"/>
    <n v="96.552708499168233"/>
    <n v="2.4472915008317671"/>
    <n v="2.5346689273381177E-2"/>
    <x v="1"/>
  </r>
  <r>
    <s v="8474d936fee23f0c45620cc2022871cc"/>
    <x v="134"/>
    <n v="499"/>
    <n v="30.35"/>
    <n v="545.08620640096979"/>
    <n v="-46.086206400969786"/>
    <n v="-8.454847299340465E-2"/>
    <x v="0"/>
  </r>
  <r>
    <s v="aacfae7cd4bac4849766f640abf2db8a"/>
    <x v="135"/>
    <n v="39.85"/>
    <n v="12.79"/>
    <n v="41.843406775984157"/>
    <n v="-1.9934067759841554"/>
    <n v="-4.7639686382521383E-2"/>
    <x v="1"/>
  </r>
  <r>
    <s v="31a2f42a87890f87d77daebdfabc182e"/>
    <x v="136"/>
    <n v="149"/>
    <n v="14.06"/>
    <n v="153.10801348586304"/>
    <n v="-4.1080134858630402"/>
    <n v="-2.6830819578508518E-2"/>
    <x v="1"/>
  </r>
  <r>
    <s v="00ffe57f0110d73fd84d162252b2c784"/>
    <x v="85"/>
    <n v="179.98"/>
    <n v="12.46"/>
    <n v="192.22103100925295"/>
    <n v="-12.241031009252964"/>
    <n v="-6.3682058851633763E-2"/>
    <x v="0"/>
  </r>
  <r>
    <s v="0f80705139ce16ea35bb489987399b55"/>
    <x v="137"/>
    <n v="219.99"/>
    <n v="14.9"/>
    <n v="206.94553759367747"/>
    <n v="13.044462406322538"/>
    <n v="6.3033310879765825E-2"/>
    <x v="2"/>
  </r>
  <r>
    <s v="526f833e1eb0a32ad9351145a761b9ab"/>
    <x v="22"/>
    <n v="129"/>
    <n v="8.16"/>
    <n v="116.76413326974554"/>
    <n v="12.235866730254457"/>
    <n v="0.1047913120888541"/>
    <x v="2"/>
  </r>
  <r>
    <s v="bfc0d01be79d9038c7720f983bf954e0"/>
    <x v="138"/>
    <n v="137"/>
    <n v="15.71"/>
    <n v="138.0288367096299"/>
    <n v="-1.0288367096298998"/>
    <n v="-7.4537809211147298E-3"/>
    <x v="1"/>
  </r>
  <r>
    <s v="85b8a24337b4e2571f8fee38f4253a06"/>
    <x v="139"/>
    <n v="37"/>
    <n v="10.96"/>
    <n v="35.831641966282994"/>
    <n v="1.1683580337170056"/>
    <n v="3.2606879551219339E-2"/>
    <x v="1"/>
  </r>
  <r>
    <s v="f9d774a1820f792952eea079a40a7c6b"/>
    <x v="140"/>
    <n v="154"/>
    <n v="14.83"/>
    <n v="140.27576872452775"/>
    <n v="13.724231275472249"/>
    <n v="9.7837505367186883E-2"/>
    <x v="2"/>
  </r>
  <r>
    <s v="722f84416177a451c3be217ef8ffa082"/>
    <x v="141"/>
    <n v="253.52"/>
    <n v="82.86"/>
    <n v="231.9194020691626"/>
    <n v="21.600597930837409"/>
    <n v="9.3138382291946903E-2"/>
    <x v="2"/>
  </r>
  <r>
    <s v="19421075ae0b585f2dc13ff149e2119d"/>
    <x v="142"/>
    <n v="49.9"/>
    <n v="7.39"/>
    <n v="54.326237825897273"/>
    <n v="-4.4262378258972745"/>
    <n v="-8.1475139877757022E-2"/>
    <x v="0"/>
  </r>
  <r>
    <s v="0ec7b6a863e219792bc4d50d3a62a839"/>
    <x v="143"/>
    <n v="148.9"/>
    <n v="13.95"/>
    <n v="146.64289165718355"/>
    <n v="2.2571083428164513"/>
    <n v="1.5391870122781249E-2"/>
    <x v="1"/>
  </r>
  <r>
    <s v="ce130b350f529a1d6288f927da7404ea"/>
    <x v="144"/>
    <n v="64.900000000000006"/>
    <n v="18.690000000000001"/>
    <n v="61.608947516185793"/>
    <n v="3.2910524838142123"/>
    <n v="5.3418417559390911E-2"/>
    <x v="2"/>
  </r>
  <r>
    <s v="15c30c08ae39469fbf52befff9569adb"/>
    <x v="91"/>
    <n v="179"/>
    <n v="16"/>
    <n v="185.05398644547626"/>
    <n v="-6.0539864454762551"/>
    <n v="-3.2714704296629586E-2"/>
    <x v="1"/>
  </r>
  <r>
    <s v="779559842fc122d55edbd03153f35e81"/>
    <x v="145"/>
    <n v="27.9"/>
    <n v="15.1"/>
    <n v="29.230377215682381"/>
    <n v="-1.3303772156823825"/>
    <n v="-4.5513515130712112E-2"/>
    <x v="1"/>
  </r>
  <r>
    <s v="e819fddd6622f30e872bfc89471c1408"/>
    <x v="146"/>
    <n v="39"/>
    <n v="16.11"/>
    <n v="38.625121796995593"/>
    <n v="0.37487820300440688"/>
    <n v="9.7055539390834052E-3"/>
    <x v="1"/>
  </r>
  <r>
    <s v="2083a6feb4bbb31f6abc92fc24e468c0"/>
    <x v="10"/>
    <n v="7"/>
    <n v="14.1"/>
    <n v="7.3535362263502222"/>
    <n v="-0.35353622635022219"/>
    <n v="-4.8077036063735104E-2"/>
    <x v="1"/>
  </r>
  <r>
    <s v="e1c0a39b7f806727ea5121c60035ed3c"/>
    <x v="147"/>
    <n v="269"/>
    <n v="10.7"/>
    <n v="268.82901332505276"/>
    <n v="0.17098667494724396"/>
    <n v="6.3604248973118309E-4"/>
    <x v="1"/>
  </r>
  <r>
    <s v="1d417ca09479182e9fdf13a1c77c309f"/>
    <x v="148"/>
    <n v="99.9"/>
    <n v="17.95"/>
    <n v="101.58002266949555"/>
    <n v="-1.6800226694955427"/>
    <n v="-1.6538908196168902E-2"/>
    <x v="1"/>
  </r>
  <r>
    <s v="7340a3839a1de1e99d149b8cf052a2ec"/>
    <x v="12"/>
    <n v="69.900000000000006"/>
    <n v="15.24"/>
    <n v="75.978054459500527"/>
    <n v="-6.078054459500521"/>
    <n v="-7.999750063013758E-2"/>
    <x v="0"/>
  </r>
  <r>
    <s v="a963ea4d494221de09b70f1b4a70edbd"/>
    <x v="149"/>
    <n v="89.9"/>
    <n v="23.13"/>
    <n v="85.054566585691745"/>
    <n v="4.8454334143082605"/>
    <n v="5.6968527485546913E-2"/>
    <x v="2"/>
  </r>
  <r>
    <s v="e40fa115d27ea4a80bf2136d5f0cfcd7"/>
    <x v="120"/>
    <n v="165"/>
    <n v="19.03"/>
    <n v="168.05631092582436"/>
    <n v="-3.0563109258243628"/>
    <n v="-1.8186231204214271E-2"/>
    <x v="1"/>
  </r>
  <r>
    <s v="22d65c4f3ab25834df12163a3403da32"/>
    <x v="37"/>
    <n v="57.99"/>
    <n v="11.73"/>
    <n v="53.01189598632152"/>
    <n v="4.9781040136784824"/>
    <n v="9.3905413512524918E-2"/>
    <x v="2"/>
  </r>
  <r>
    <s v="62c89abe1afe3a23c17765d462718a4c"/>
    <x v="16"/>
    <n v="259"/>
    <n v="10.63"/>
    <n v="258.73716141809791"/>
    <n v="0.26283858190208775"/>
    <n v="1.0158516869455884E-3"/>
    <x v="1"/>
  </r>
  <r>
    <s v="57f2bc497c1a3ebe41ba7a06d78ed159"/>
    <x v="22"/>
    <n v="55"/>
    <n v="7.65"/>
    <n v="53.785810092246066"/>
    <n v="1.2141899077539335"/>
    <n v="2.25745397470359E-2"/>
    <x v="1"/>
  </r>
  <r>
    <s v="eb8dbe7d2dd22ab3547925e49a78feb3"/>
    <x v="17"/>
    <n v="133"/>
    <n v="16.690000000000001"/>
    <n v="123.9390054691788"/>
    <n v="9.0609945308212048"/>
    <n v="7.3108497978664977E-2"/>
    <x v="2"/>
  </r>
  <r>
    <s v="a8115d34a4b7b74388da609692162c37"/>
    <x v="150"/>
    <n v="35.9"/>
    <n v="18.23"/>
    <n v="37.29238652222967"/>
    <n v="-1.3923865222296712"/>
    <n v="-3.7337018412583536E-2"/>
    <x v="1"/>
  </r>
  <r>
    <s v="5b3aa845bba5aa7ba1216e36ae882cfa"/>
    <x v="151"/>
    <n v="14.89"/>
    <n v="18.23"/>
    <n v="16.178196504985792"/>
    <n v="-1.2881965049857911"/>
    <n v="-7.9625470279631919E-2"/>
    <x v="0"/>
  </r>
  <r>
    <s v="016711f78a6a87696645db0a6a834826"/>
    <x v="152"/>
    <n v="99"/>
    <n v="13"/>
    <n v="89.881621996846462"/>
    <n v="9.1183780031535377"/>
    <n v="0.10144874781491438"/>
    <x v="2"/>
  </r>
  <r>
    <s v="f71a7c95a86564873cd996896b2976f6"/>
    <x v="52"/>
    <n v="90"/>
    <n v="9.44"/>
    <n v="87.122535112068917"/>
    <n v="2.8774648879310831"/>
    <n v="3.3027791078734041E-2"/>
    <x v="1"/>
  </r>
  <r>
    <s v="52a8061c8e8e8cea30b41344aac26431"/>
    <x v="153"/>
    <n v="43.49"/>
    <n v="27.39"/>
    <n v="42.526430045096838"/>
    <n v="0.96356995490316422"/>
    <n v="2.2658143509374139E-2"/>
    <x v="1"/>
  </r>
  <r>
    <s v="77fdeb8d4f7502f75b6779205f30a875"/>
    <x v="154"/>
    <n v="109.99"/>
    <n v="36.85"/>
    <n v="114.18455720016068"/>
    <n v="-4.1945572001606877"/>
    <n v="-3.6734890452899044E-2"/>
    <x v="1"/>
  </r>
  <r>
    <s v="efec0b0b076ce3f164b80145743ebc02"/>
    <x v="155"/>
    <n v="9.99"/>
    <n v="15.23"/>
    <n v="9.6015742198337737"/>
    <n v="0.38842578016622653"/>
    <n v="4.0454385007394247E-2"/>
    <x v="1"/>
  </r>
  <r>
    <s v="efec0b0b076ce3f164b80145743ebc02"/>
    <x v="155"/>
    <n v="9.99"/>
    <n v="15.23"/>
    <n v="10.658279694339409"/>
    <n v="-0.66827969433940915"/>
    <n v="-6.2700521426016911E-2"/>
    <x v="0"/>
  </r>
  <r>
    <s v="d5f1f35337b832cc42168c69511e311d"/>
    <x v="156"/>
    <n v="28.5"/>
    <n v="34.15"/>
    <n v="25.934584569747933"/>
    <n v="2.5654154302520666"/>
    <n v="9.8918701525859867E-2"/>
    <x v="2"/>
  </r>
  <r>
    <s v="7583d9a579408cb84bbc7b0e4548ec18"/>
    <x v="157"/>
    <n v="199"/>
    <n v="8.74"/>
    <n v="218.58252178116808"/>
    <n v="-19.582521781168083"/>
    <n v="-8.9588689990377862E-2"/>
    <x v="0"/>
  </r>
  <r>
    <s v="fa28f114992077c601cdb9810c5108a4"/>
    <x v="68"/>
    <n v="135.9"/>
    <n v="21.44"/>
    <n v="139.60132055839784"/>
    <n v="-3.701320558397839"/>
    <n v="-2.6513506774812401E-2"/>
    <x v="1"/>
  </r>
  <r>
    <s v="23f91e3d76be3938bfad0ff292392502"/>
    <x v="158"/>
    <n v="249"/>
    <n v="37.090000000000003"/>
    <n v="244.28056969942674"/>
    <n v="4.719430300573265"/>
    <n v="1.9319712191519178E-2"/>
    <x v="1"/>
  </r>
  <r>
    <s v="f23c48d81cd6a0c87f5c3b14aac68371"/>
    <x v="159"/>
    <n v="49.99"/>
    <n v="15.56"/>
    <n v="49.293240664206742"/>
    <n v="0.69675933579325999"/>
    <n v="1.4134987402019142E-2"/>
    <x v="1"/>
  </r>
  <r>
    <s v="bf06a69bb27c58156391de458700f3e7"/>
    <x v="22"/>
    <n v="38"/>
    <n v="7.53"/>
    <n v="36.789100299289238"/>
    <n v="1.2108997007107618"/>
    <n v="3.2914632074711438E-2"/>
    <x v="1"/>
  </r>
  <r>
    <s v="cbecf0dca7a42c56c9ad9e20c74af1fd"/>
    <x v="160"/>
    <n v="85"/>
    <n v="11.62"/>
    <n v="84.568513769120045"/>
    <n v="0.43148623087995475"/>
    <n v="5.1022089859347952E-3"/>
    <x v="1"/>
  </r>
  <r>
    <s v="a50acd33ba7a8da8e9db65094fa990a4"/>
    <x v="161"/>
    <n v="117.3"/>
    <n v="25.66"/>
    <n v="123.44286413971065"/>
    <n v="-6.1428641397106531"/>
    <n v="-4.9762812800246262E-2"/>
    <x v="1"/>
  </r>
  <r>
    <s v="4dcb49b9ca7e48d2f108d40caa77caa2"/>
    <x v="162"/>
    <n v="99.9"/>
    <n v="18.57"/>
    <n v="108.46073625884453"/>
    <n v="-8.5607362588445284"/>
    <n v="-7.8929357794640956E-2"/>
    <x v="0"/>
  </r>
  <r>
    <s v="9bb2d066e4b33b624cbdfec7d50b3dcb"/>
    <x v="162"/>
    <n v="99.9"/>
    <n v="14.35"/>
    <n v="98.76547350356779"/>
    <n v="1.1345264964322155"/>
    <n v="1.148707596072257E-2"/>
    <x v="1"/>
  </r>
  <r>
    <s v="0ea04fc101523a27bb53845d14d7d809"/>
    <x v="163"/>
    <n v="18"/>
    <n v="7.87"/>
    <n v="18.7819748032917"/>
    <n v="-0.78197480329169977"/>
    <n v="-4.1634322880395522E-2"/>
    <x v="1"/>
  </r>
  <r>
    <s v="d64e758afad411049a45e42c9a259241"/>
    <x v="164"/>
    <n v="11.53"/>
    <n v="7.39"/>
    <n v="10.881804964741217"/>
    <n v="0.64819503525878197"/>
    <n v="5.9566867570135393E-2"/>
    <x v="2"/>
  </r>
  <r>
    <s v="b596e2d70dd2f5fb5ff9ee2a1c803e5b"/>
    <x v="81"/>
    <n v="269.99"/>
    <n v="39.409999999999997"/>
    <n v="261.47804382481826"/>
    <n v="8.5119561751817514"/>
    <n v="3.2553234874605701E-2"/>
    <x v="1"/>
  </r>
  <r>
    <s v="464383c22e65860826cf78650fe0f4e4"/>
    <x v="27"/>
    <n v="89.99"/>
    <n v="14.8"/>
    <n v="97.881491813589022"/>
    <n v="-7.8914918135890275"/>
    <n v="-8.0622921324268584E-2"/>
    <x v="0"/>
  </r>
  <r>
    <s v="e8c6039a25765995ac7c1ec2cbef5765"/>
    <x v="105"/>
    <n v="19.899999999999999"/>
    <n v="42.76"/>
    <n v="21.098040847821132"/>
    <n v="-1.1980408478211331"/>
    <n v="-5.6784459583831874E-2"/>
    <x v="0"/>
  </r>
  <r>
    <s v="55782cb82e0efe052da0a3da237da3b2"/>
    <x v="165"/>
    <n v="166.9"/>
    <n v="13.47"/>
    <n v="164.79221433943167"/>
    <n v="2.1077856605683394"/>
    <n v="1.279056579837453E-2"/>
    <x v="1"/>
  </r>
  <r>
    <s v="ee3e94e918d05a5da04a4cb547e91dcc"/>
    <x v="166"/>
    <n v="133.74"/>
    <n v="12.44"/>
    <n v="127.49504737094021"/>
    <n v="6.2449526290597959"/>
    <n v="4.8981923281227004E-2"/>
    <x v="1"/>
  </r>
  <r>
    <s v="eaa26a34984cbfedc19b1e45f09f3c9a"/>
    <x v="167"/>
    <n v="86.8"/>
    <n v="7.86"/>
    <n v="94.089694045314531"/>
    <n v="-7.2896940453145334"/>
    <n v="-7.7476009665880557E-2"/>
    <x v="0"/>
  </r>
  <r>
    <s v="dfbbf137ccb6af48e66d186a33118579"/>
    <x v="168"/>
    <n v="62"/>
    <n v="8.59"/>
    <n v="60.960086583857446"/>
    <n v="1.0399134161425536"/>
    <n v="1.7058922885748135E-2"/>
    <x v="1"/>
  </r>
  <r>
    <s v="b6397895a17ce86decd60b898b459796"/>
    <x v="169"/>
    <n v="158"/>
    <n v="10.68"/>
    <n v="163.12854171862332"/>
    <n v="-5.1285417186233246"/>
    <n v="-3.1438653619974291E-2"/>
    <x v="1"/>
  </r>
  <r>
    <s v="636598095d69a5718e67d2c9a3c7dde6"/>
    <x v="169"/>
    <n v="308"/>
    <n v="31.16"/>
    <n v="303.82340481208098"/>
    <n v="4.1765951879190197"/>
    <n v="1.3746785539785198E-2"/>
    <x v="1"/>
  </r>
  <r>
    <s v="36826c711e5778c8d88a7311cc29c446"/>
    <x v="170"/>
    <n v="129"/>
    <n v="47.4"/>
    <n v="122.35908188480005"/>
    <n v="6.6409181151999519"/>
    <n v="5.4274010665201912E-2"/>
    <x v="2"/>
  </r>
  <r>
    <s v="568ba441f7f464dc73d23a91cf8ca671"/>
    <x v="141"/>
    <n v="143.54"/>
    <n v="21.49"/>
    <n v="131.05057781624433"/>
    <n v="12.489422183755664"/>
    <n v="9.530230535318969E-2"/>
    <x v="2"/>
  </r>
  <r>
    <s v="06edb72f1e0c64b14c5b79353f7abea3"/>
    <x v="171"/>
    <n v="39.99"/>
    <n v="18.23"/>
    <n v="41.054156245964997"/>
    <n v="-1.0641562459649947"/>
    <n v="-2.5920792028689792E-2"/>
    <x v="1"/>
  </r>
  <r>
    <s v="06edb72f1e0c64b14c5b79353f7abea3"/>
    <x v="171"/>
    <n v="39.99"/>
    <n v="18.23"/>
    <n v="38.832222918950109"/>
    <n v="1.1577770810498933"/>
    <n v="2.9814854623861839E-2"/>
    <x v="1"/>
  </r>
  <r>
    <s v="f3b8bfa5b86249e75e5c0632acc0e82e"/>
    <x v="104"/>
    <n v="49.9"/>
    <n v="12.92"/>
    <n v="54.859567116360381"/>
    <n v="-4.9595671163603825"/>
    <n v="-9.0404780370228727E-2"/>
    <x v="0"/>
  </r>
  <r>
    <s v="595fac2a385ac33a80bd5114aec74eb8"/>
    <x v="172"/>
    <n v="119.9"/>
    <n v="23.34"/>
    <n v="108.73443817589518"/>
    <n v="11.165561824104827"/>
    <n v="0.10268652702323032"/>
    <x v="2"/>
  </r>
  <r>
    <s v="35557c68a22ecebcf066e25ca2ddc144"/>
    <x v="145"/>
    <n v="16.899999999999999"/>
    <n v="15.1"/>
    <n v="16.372857774140776"/>
    <n v="0.52714222585922244"/>
    <n v="3.2196103644886523E-2"/>
    <x v="1"/>
  </r>
  <r>
    <s v="1629b469d01aadb4f92644039ad17d5c"/>
    <x v="20"/>
    <n v="29.99"/>
    <n v="15.1"/>
    <n v="32.221016032808826"/>
    <n v="-2.231016032808828"/>
    <n v="-6.924102053569979E-2"/>
    <x v="0"/>
  </r>
  <r>
    <s v="519f3a4ea67cdce4923fbc76badd6bd2"/>
    <x v="173"/>
    <n v="30.99"/>
    <n v="34.15"/>
    <n v="32.103537091248491"/>
    <n v="-1.1135370912484923"/>
    <n v="-3.4685806990160141E-2"/>
    <x v="1"/>
  </r>
  <r>
    <s v="617186c3d97ea56c9c683a8a3974e8c1"/>
    <x v="10"/>
    <n v="84.99"/>
    <n v="15.34"/>
    <n v="86.758088641779096"/>
    <n v="-1.7680886417791015"/>
    <n v="-2.0379525061685871E-2"/>
    <x v="1"/>
  </r>
  <r>
    <s v="d1c427060a0f73f6b889a5c7c61f2ac4"/>
    <x v="109"/>
    <n v="149"/>
    <n v="45.12"/>
    <n v="158.43539897103483"/>
    <n v="-9.4353989710348287"/>
    <n v="-5.9553603754674854E-2"/>
    <x v="0"/>
  </r>
  <r>
    <s v="f7a17d2c51d9df89a4f1711c4ac17f33"/>
    <x v="145"/>
    <n v="48.9"/>
    <n v="8.82"/>
    <n v="49.072157503484966"/>
    <n v="-0.17215750348496783"/>
    <n v="-3.5082521789008706E-3"/>
    <x v="1"/>
  </r>
  <r>
    <s v="ecab3fa721d1b06c225f23c30f02eb5e"/>
    <x v="174"/>
    <n v="159.49"/>
    <n v="8.86"/>
    <n v="162.14195914648079"/>
    <n v="-2.6519591464807775"/>
    <n v="-1.6355785759841281E-2"/>
    <x v="1"/>
  </r>
  <r>
    <s v="fca62108387e25005784da2f551466a1"/>
    <x v="175"/>
    <n v="249.9"/>
    <n v="41.53"/>
    <n v="270.55658236192471"/>
    <n v="-20.656582361924706"/>
    <n v="-7.6348474620707277E-2"/>
    <x v="0"/>
  </r>
  <r>
    <s v="4834f24983a4f056e5ae64265f723aaf"/>
    <x v="38"/>
    <n v="24.89"/>
    <n v="7.75"/>
    <n v="25.51085388700427"/>
    <n v="-0.62085388700426947"/>
    <n v="-2.433685245324323E-2"/>
    <x v="1"/>
  </r>
  <r>
    <s v="ee0c1cf2fbeae95205b4aa506f1469f0"/>
    <x v="10"/>
    <n v="53.99"/>
    <n v="7.78"/>
    <n v="49.606217990397738"/>
    <n v="4.3837820096022639"/>
    <n v="8.8371623300345759E-2"/>
    <x v="2"/>
  </r>
  <r>
    <s v="786248c98cab9ad5cccdb751909da1af"/>
    <x v="155"/>
    <n v="15.99"/>
    <n v="7.39"/>
    <n v="14.518186733762763"/>
    <n v="1.4718132662372376"/>
    <n v="0.10137721006263564"/>
    <x v="2"/>
  </r>
  <r>
    <s v="0aabfb375647d9738ad0f7b4ea3653b1"/>
    <x v="176"/>
    <n v="24.5"/>
    <n v="11.85"/>
    <n v="25.332687719971318"/>
    <n v="-0.83268771997131807"/>
    <n v="-3.287008978975646E-2"/>
    <x v="1"/>
  </r>
  <r>
    <s v="f8b624d4e475bb8d1bddf1b65c6a64f6"/>
    <x v="83"/>
    <n v="179"/>
    <n v="22.99"/>
    <n v="166.83494360773443"/>
    <n v="12.165056392265569"/>
    <n v="7.2916717140914356E-2"/>
    <x v="2"/>
  </r>
  <r>
    <s v="64d67d69ec57113ff99bbaab62ac1c53"/>
    <x v="138"/>
    <n v="37.9"/>
    <n v="21.43"/>
    <n v="34.220396902794597"/>
    <n v="3.6796030972054012"/>
    <n v="0.10752660489758691"/>
    <x v="2"/>
  </r>
  <r>
    <s v="56cdfe67fbda57c1dcc752f5f361f981"/>
    <x v="177"/>
    <n v="89.9"/>
    <n v="22.56"/>
    <n v="96.945389667201397"/>
    <n v="-7.0453896672013911"/>
    <n v="-7.2673798015430432E-2"/>
    <x v="0"/>
  </r>
  <r>
    <s v="56cdfe67fbda57c1dcc752f5f361f981"/>
    <x v="177"/>
    <n v="89.9"/>
    <n v="22.56"/>
    <n v="97.324127989511169"/>
    <n v="-7.4241279895111632"/>
    <n v="-7.6282502015443468E-2"/>
    <x v="0"/>
  </r>
  <r>
    <s v="56cdfe67fbda57c1dcc752f5f361f981"/>
    <x v="177"/>
    <n v="89.9"/>
    <n v="22.56"/>
    <n v="90.101357255812303"/>
    <n v="-0.20135725581229735"/>
    <n v="-2.2347860447941045E-3"/>
    <x v="1"/>
  </r>
  <r>
    <s v="c2ece64199af7a53793ed9612a89a8cd"/>
    <x v="61"/>
    <n v="88.34"/>
    <n v="29.08"/>
    <n v="84.369875947991673"/>
    <n v="3.9701240520083303"/>
    <n v="4.7056179796396091E-2"/>
    <x v="1"/>
  </r>
  <r>
    <s v="33bd5538a16d23f0a39da1c9bfd20980"/>
    <x v="178"/>
    <n v="177.9"/>
    <n v="18.5"/>
    <n v="175.56125967279544"/>
    <n v="2.3387403272045617"/>
    <n v="1.3321505732890156E-2"/>
    <x v="1"/>
  </r>
  <r>
    <s v="6536314c94d43b787fc1c622941da14b"/>
    <x v="179"/>
    <n v="32.99"/>
    <n v="14.1"/>
    <n v="34.295852274499147"/>
    <n v="-1.305852274499145"/>
    <n v="-3.8076099233437563E-2"/>
    <x v="1"/>
  </r>
  <r>
    <s v="aca2eb7d00ea1a7b8ebd4e68314663af"/>
    <x v="52"/>
    <n v="69.900000000000006"/>
    <n v="0"/>
    <n v="68.456467187949059"/>
    <n v="1.4435328120509467"/>
    <n v="2.1086872743340507E-2"/>
    <x v="1"/>
  </r>
  <r>
    <s v="24a014458ccc6e989b4fcef5fa71da58"/>
    <x v="12"/>
    <n v="109.9"/>
    <n v="12.27"/>
    <n v="105.29078657664598"/>
    <n v="4.6092134233540207"/>
    <n v="4.3776037516813145E-2"/>
    <x v="1"/>
  </r>
  <r>
    <s v="76d75f398634bf194ba99d7297e7d1fa"/>
    <x v="180"/>
    <n v="52.99"/>
    <n v="22.3"/>
    <n v="53.127855012557575"/>
    <n v="-0.13785501255757282"/>
    <n v="-2.5947784363774653E-3"/>
    <x v="1"/>
  </r>
  <r>
    <s v="e9f2586707fb45ea0f9997c54f585842"/>
    <x v="181"/>
    <n v="110.9"/>
    <n v="14.51"/>
    <n v="106.46773162586042"/>
    <n v="4.4322683741395821"/>
    <n v="4.1630156916605224E-2"/>
    <x v="1"/>
  </r>
  <r>
    <s v="fcf64c72035fc6f17660bae96c933ffb"/>
    <x v="79"/>
    <n v="35.9"/>
    <n v="12.48"/>
    <n v="38.93400768806584"/>
    <n v="-3.0340076880658415"/>
    <n v="-7.7926929905955553E-2"/>
    <x v="0"/>
  </r>
  <r>
    <s v="c6336fa91fbd87c359e44f5dca5a90ed"/>
    <x v="142"/>
    <n v="39"/>
    <n v="7.53"/>
    <n v="39.80942785642069"/>
    <n v="-0.80942785642069026"/>
    <n v="-2.0332566932135428E-2"/>
    <x v="1"/>
  </r>
  <r>
    <s v="634256dbcd184b3757ffd7632c9fe52a"/>
    <x v="182"/>
    <n v="27.9"/>
    <n v="7.46"/>
    <n v="27.024234836429844"/>
    <n v="0.87576516357015421"/>
    <n v="3.2406659018133777E-2"/>
    <x v="1"/>
  </r>
  <r>
    <s v="224037b21bfa8621e39c265513ee6594"/>
    <x v="183"/>
    <n v="579"/>
    <n v="65.34"/>
    <n v="534.97348283712608"/>
    <n v="44.026517162873915"/>
    <n v="8.22966344600633E-2"/>
    <x v="2"/>
  </r>
  <r>
    <s v="78efe838c04bbc568be034082200ac20"/>
    <x v="64"/>
    <n v="99.9"/>
    <n v="23.57"/>
    <n v="93.559744840359841"/>
    <n v="6.3402551596401651"/>
    <n v="6.7766913756108313E-2"/>
    <x v="2"/>
  </r>
  <r>
    <s v="8323a7adeb57da21acea7e83563bed90"/>
    <x v="17"/>
    <n v="37"/>
    <n v="19.32"/>
    <n v="37.187322027576315"/>
    <n v="-0.18732202757631455"/>
    <n v="-5.0372551010101135E-3"/>
    <x v="1"/>
  </r>
  <r>
    <s v="aba86c093ccdbac75b09111d57e50004"/>
    <x v="21"/>
    <n v="116.6"/>
    <n v="30.66"/>
    <n v="113.12463354474005"/>
    <n v="3.4753664552599446"/>
    <n v="3.0721570946662648E-2"/>
    <x v="1"/>
  </r>
  <r>
    <s v="5403528d987ad26e8d7cb25940411987"/>
    <x v="22"/>
    <n v="49"/>
    <n v="19.25"/>
    <n v="44.848886599230788"/>
    <n v="4.1511134007692121"/>
    <n v="9.2557780483237428E-2"/>
    <x v="2"/>
  </r>
  <r>
    <s v="66f09a6de4f2ef63aaf5349b60a0e0c0"/>
    <x v="184"/>
    <n v="27.9"/>
    <n v="9.26"/>
    <n v="27.755373770624203"/>
    <n v="0.14462622937579539"/>
    <n v="5.2107469555630788E-3"/>
    <x v="1"/>
  </r>
  <r>
    <s v="1e1a186a03f0d98268516827690d4fd2"/>
    <x v="185"/>
    <n v="65"/>
    <n v="25.73"/>
    <n v="69.759776746908429"/>
    <n v="-4.7597767469084289"/>
    <n v="-6.8230963011494589E-2"/>
    <x v="0"/>
  </r>
  <r>
    <s v="c6336fa91fbd87c359e44f5dca5a90ed"/>
    <x v="142"/>
    <n v="39.9"/>
    <n v="11.85"/>
    <n v="43.148156860460851"/>
    <n v="-3.2481568604608526"/>
    <n v="-7.5279156673255868E-2"/>
    <x v="0"/>
  </r>
  <r>
    <s v="eb883e95b710f252cb15d0fb41d8bbe9"/>
    <x v="186"/>
    <n v="105"/>
    <n v="17.87"/>
    <n v="110.98431182673538"/>
    <n v="-5.9843118267353788"/>
    <n v="-5.392033998532933E-2"/>
    <x v="0"/>
  </r>
  <r>
    <s v="7e8067e7e5ce7aec0e2cb7c1a456d112"/>
    <x v="187"/>
    <n v="25.79"/>
    <n v="23.33"/>
    <n v="24.983165079454086"/>
    <n v="0.80683492054591355"/>
    <n v="3.2295144269348278E-2"/>
    <x v="1"/>
  </r>
  <r>
    <s v="7e8067e7e5ce7aec0e2cb7c1a456d112"/>
    <x v="187"/>
    <n v="25.79"/>
    <n v="23.33"/>
    <n v="26.501631540575715"/>
    <n v="-0.71163154057571631"/>
    <n v="-2.6852367164118266E-2"/>
    <x v="1"/>
  </r>
  <r>
    <s v="e0d64dcfaa3b6db5c54ca298ae101d05"/>
    <x v="92"/>
    <n v="146.01"/>
    <n v="13.68"/>
    <n v="137.67915964962936"/>
    <n v="8.3308403503706359"/>
    <n v="6.0509087733911539E-2"/>
    <x v="2"/>
  </r>
  <r>
    <s v="3552627a68384dc559f0fd4cce173269"/>
    <x v="188"/>
    <n v="189.9"/>
    <n v="26.61"/>
    <n v="192.68675407930155"/>
    <n v="-2.7867540793015451"/>
    <n v="-1.4462613647820531E-2"/>
    <x v="1"/>
  </r>
  <r>
    <s v="72d6074ef5c81ec3102b3f2a052c5f49"/>
    <x v="189"/>
    <n v="139.65"/>
    <n v="26.26"/>
    <n v="132.59322833083343"/>
    <n v="7.0567716691665794"/>
    <n v="5.322120713102501E-2"/>
    <x v="2"/>
  </r>
  <r>
    <s v="d9a5a5120d4d357871acd5408cb10e18"/>
    <x v="190"/>
    <n v="59.9"/>
    <n v="7.68"/>
    <n v="54.352296413447931"/>
    <n v="5.5477035865520676"/>
    <n v="0.10206935037945233"/>
    <x v="2"/>
  </r>
  <r>
    <s v="0e40b1ed4cfd3da1962ec91913e54ba8"/>
    <x v="33"/>
    <n v="13.65"/>
    <n v="15.23"/>
    <n v="13.057156095552966"/>
    <n v="0.59284390444703483"/>
    <n v="4.5403754087687355E-2"/>
    <x v="1"/>
  </r>
  <r>
    <s v="e5bd04e8e3cb77f1a49404d588d3e528"/>
    <x v="191"/>
    <n v="31.9"/>
    <n v="16.11"/>
    <n v="30.14425044020463"/>
    <n v="1.755749559795369"/>
    <n v="5.8244923464862583E-2"/>
    <x v="2"/>
  </r>
  <r>
    <s v="ba05e2861971098fc7ecd8162c23452a"/>
    <x v="192"/>
    <n v="33.99"/>
    <n v="16.600000000000001"/>
    <n v="36.651044566162092"/>
    <n v="-2.6610445661620901"/>
    <n v="-7.2604876550200356E-2"/>
    <x v="0"/>
  </r>
  <r>
    <s v="87ea2f45559e10519513a20b24147316"/>
    <x v="193"/>
    <n v="158.9"/>
    <n v="14.59"/>
    <n v="159.19770118500301"/>
    <n v="-0.29770118500300669"/>
    <n v="-1.8700093204050059E-3"/>
    <x v="1"/>
  </r>
  <r>
    <s v="5b4b8595bd33017cf3c87c8ab09c2e42"/>
    <x v="194"/>
    <n v="47.4"/>
    <n v="11.85"/>
    <n v="44.935523415851478"/>
    <n v="2.464476584148521"/>
    <n v="5.484472855342664E-2"/>
    <x v="2"/>
  </r>
  <r>
    <s v="121b9686b9929855d823981fc655a6fe"/>
    <x v="195"/>
    <n v="50"/>
    <n v="21.19"/>
    <n v="50.722813618802022"/>
    <n v="-0.72281361880202155"/>
    <n v="-1.4250266640060514E-2"/>
    <x v="1"/>
  </r>
  <r>
    <s v="c075b8e131353552218860f1c421e4ef"/>
    <x v="84"/>
    <n v="59.9"/>
    <n v="11.15"/>
    <n v="62.174115846094736"/>
    <n v="-2.2741158460947375"/>
    <n v="-3.6576569126034117E-2"/>
    <x v="1"/>
  </r>
  <r>
    <s v="e7cc48a9daff5436f63d3aad9426f28b"/>
    <x v="196"/>
    <n v="199"/>
    <n v="39.659999999999997"/>
    <n v="217.52192018541126"/>
    <n v="-18.521920185411261"/>
    <n v="-8.5149672132461648E-2"/>
    <x v="0"/>
  </r>
  <r>
    <s v="e7cc48a9daff5436f63d3aad9426f28b"/>
    <x v="196"/>
    <n v="199"/>
    <n v="39.659999999999997"/>
    <n v="193.42875390792335"/>
    <n v="5.5712460920766489"/>
    <n v="2.8802574485532247E-2"/>
    <x v="1"/>
  </r>
  <r>
    <s v="cb3ad2d2499eebaa7ccb4fd1e7db9bc7"/>
    <x v="98"/>
    <n v="69.900000000000006"/>
    <n v="23.07"/>
    <n v="63.623928750176283"/>
    <n v="6.2760712498237226"/>
    <n v="9.8643252202597329E-2"/>
    <x v="2"/>
  </r>
  <r>
    <s v="437c05a395e9e47f9762e677a7068ce7"/>
    <x v="197"/>
    <n v="50.21"/>
    <n v="15.1"/>
    <n v="45.220024920322807"/>
    <n v="4.989975079677194"/>
    <n v="0.11034879101613668"/>
    <x v="2"/>
  </r>
  <r>
    <s v="5d90b82ad1fdff812987fa28158b7984"/>
    <x v="19"/>
    <n v="39.9"/>
    <n v="16.600000000000001"/>
    <n v="43.213506184941622"/>
    <n v="-3.3135061849416232"/>
    <n v="-7.6677559343617044E-2"/>
    <x v="0"/>
  </r>
  <r>
    <s v="4a25d757ff72fad7534f478c90be77e6"/>
    <x v="20"/>
    <n v="24.99"/>
    <n v="14.1"/>
    <n v="26.125072362316679"/>
    <n v="-1.1350723623166807"/>
    <n v="-4.3447625582615862E-2"/>
    <x v="1"/>
  </r>
  <r>
    <s v="69455f41626a745aea9ee9164cb9eafd"/>
    <x v="198"/>
    <n v="130"/>
    <n v="19.010000000000002"/>
    <n v="127.87436101579011"/>
    <n v="2.1256389842098855"/>
    <n v="1.6622870818861088E-2"/>
    <x v="1"/>
  </r>
  <r>
    <s v="2b4609f8948be18874494203496bc318"/>
    <x v="10"/>
    <n v="89.99"/>
    <n v="7.88"/>
    <n v="89.854128838440516"/>
    <n v="0.13587116155947854"/>
    <n v="1.5121304197804593E-3"/>
    <x v="1"/>
  </r>
  <r>
    <s v="33fac76e7f17367dedaef7954bbb33b4"/>
    <x v="199"/>
    <n v="69"/>
    <n v="15.69"/>
    <n v="64.596132582241424"/>
    <n v="4.4038674177585762"/>
    <n v="6.8175403723307021E-2"/>
    <x v="2"/>
  </r>
  <r>
    <s v="6c90c0f6c2d89eb816b9e205b9d6a36a"/>
    <x v="200"/>
    <n v="165.5"/>
    <n v="15.8"/>
    <n v="159.80544169817486"/>
    <n v="5.6945583018251398"/>
    <n v="3.5634320341734506E-2"/>
    <x v="1"/>
  </r>
  <r>
    <s v="b7d94dc0640c7025dc8e3b46b52d8239"/>
    <x v="40"/>
    <n v="175.91"/>
    <n v="52.69"/>
    <n v="178.30461895748621"/>
    <n v="-2.394618957486216"/>
    <n v="-1.3429932278182727E-2"/>
    <x v="1"/>
  </r>
  <r>
    <s v="d143bf43abb18593fa8ed20cc990ae84"/>
    <x v="200"/>
    <n v="165.5"/>
    <n v="15.8"/>
    <n v="171.23532280218672"/>
    <n v="-5.7353228021867153"/>
    <n v="-3.3493806700222915E-2"/>
    <x v="1"/>
  </r>
  <r>
    <s v="55939df5d8d2b853fbc532bf8a00dc32"/>
    <x v="200"/>
    <n v="165.5"/>
    <n v="15.8"/>
    <n v="172.38969576321765"/>
    <n v="-6.8896957632176452"/>
    <n v="-3.9965821232615009E-2"/>
    <x v="1"/>
  </r>
  <r>
    <s v="1427b126f61597524866770b05d4eed2"/>
    <x v="90"/>
    <n v="98.81"/>
    <n v="13.81"/>
    <n v="96.745914889666409"/>
    <n v="2.0640851103335933"/>
    <n v="2.1335113866953175E-2"/>
    <x v="1"/>
  </r>
  <r>
    <s v="e70f7c188cd2c0f01a1f6b35411cc481"/>
    <x v="22"/>
    <n v="78"/>
    <n v="7.8"/>
    <n v="83.67812402451267"/>
    <n v="-5.6781240245126696"/>
    <n v="-6.7856731860400213E-2"/>
    <x v="0"/>
  </r>
  <r>
    <s v="cfbc837967ca671ee87f5243f2a1024d"/>
    <x v="181"/>
    <n v="21.8"/>
    <n v="12.48"/>
    <n v="22.876992016421777"/>
    <n v="-1.0769920164217766"/>
    <n v="-4.7077518567505729E-2"/>
    <x v="1"/>
  </r>
  <r>
    <s v="20566af10fda4783935b8cef249fa4c3"/>
    <x v="201"/>
    <n v="118.9"/>
    <n v="18.93"/>
    <n v="114.11922986456936"/>
    <n v="4.7807701354306431"/>
    <n v="4.1892765497140202E-2"/>
    <x v="1"/>
  </r>
  <r>
    <s v="cdc9d87e17ccf98f35634e6c3b77073e"/>
    <x v="202"/>
    <n v="119.8"/>
    <n v="20.18"/>
    <n v="124.89860400773492"/>
    <n v="-5.0986040077349202"/>
    <n v="-4.082194551525304E-2"/>
    <x v="1"/>
  </r>
  <r>
    <s v="216bb0e0cd43ffd832e0973d35e0377e"/>
    <x v="52"/>
    <n v="45"/>
    <n v="7.39"/>
    <n v="41.304582912036594"/>
    <n v="3.6954170879634063"/>
    <n v="8.9467483446891857E-2"/>
    <x v="2"/>
  </r>
  <r>
    <s v="7289a8d65ae2c86dfdee27f8af257a3d"/>
    <x v="203"/>
    <n v="449"/>
    <n v="20.39"/>
    <n v="425.84293736305824"/>
    <n v="23.15706263694176"/>
    <n v="5.4379351176602676E-2"/>
    <x v="2"/>
  </r>
  <r>
    <s v="7933eeb8cf79ae899bfac71c0edb076d"/>
    <x v="171"/>
    <n v="139.85"/>
    <n v="16.61"/>
    <n v="144.57688284882036"/>
    <n v="-4.7268828488203667"/>
    <n v="-3.2694596505882093E-2"/>
    <x v="1"/>
  </r>
  <r>
    <s v="7933eeb8cf79ae899bfac71c0edb076d"/>
    <x v="171"/>
    <n v="139.85"/>
    <n v="16.61"/>
    <n v="143.91590934175352"/>
    <n v="-4.0659093417535246"/>
    <n v="-2.8251979648047883E-2"/>
    <x v="1"/>
  </r>
  <r>
    <s v="b944aabf1fc45c01599ee96c7f4d533e"/>
    <x v="204"/>
    <n v="18.899999999999999"/>
    <n v="12.48"/>
    <n v="19.579039599438232"/>
    <n v="-0.67903959943823367"/>
    <n v="-3.4681966701661751E-2"/>
    <x v="1"/>
  </r>
  <r>
    <s v="c4cf7c2e1f190d51517eba7e8211c8e6"/>
    <x v="205"/>
    <n v="29.9"/>
    <n v="16.79"/>
    <n v="30.093452984002056"/>
    <n v="-0.19345298400205735"/>
    <n v="-6.4284076707614331E-3"/>
    <x v="1"/>
  </r>
  <r>
    <s v="6131240aedf34224270cd6f07e8229e4"/>
    <x v="206"/>
    <n v="39.9"/>
    <n v="15.1"/>
    <n v="42.339126953042509"/>
    <n v="-2.4391269530425106"/>
    <n v="-5.7609287875673446E-2"/>
    <x v="0"/>
  </r>
  <r>
    <s v="e62d582ddb7630168d7227ca1f9edbd2"/>
    <x v="207"/>
    <n v="59"/>
    <n v="13.07"/>
    <n v="53.128135512631964"/>
    <n v="5.8718644873680361"/>
    <n v="0.11052269067435874"/>
    <x v="2"/>
  </r>
  <r>
    <s v="f196248e8b5d060cca414a664ea9a76f"/>
    <x v="208"/>
    <n v="199"/>
    <n v="67.69"/>
    <n v="206.91015200553792"/>
    <n v="-7.910152005537924"/>
    <n v="-3.8229888330110595E-2"/>
    <x v="1"/>
  </r>
  <r>
    <s v="adf591c625cb265c12bc6749d3a2f757"/>
    <x v="185"/>
    <n v="32"/>
    <n v="7.39"/>
    <n v="30.863245282682715"/>
    <n v="1.1367547173172845"/>
    <n v="3.6831989212589858E-2"/>
    <x v="1"/>
  </r>
  <r>
    <s v="8e7a3ee016b12c87b5e3e7e717620758"/>
    <x v="52"/>
    <n v="110"/>
    <n v="18.350000000000001"/>
    <n v="114.82483590622263"/>
    <n v="-4.8248359062226314"/>
    <n v="-4.2019096897844221E-2"/>
    <x v="1"/>
  </r>
  <r>
    <s v="99a4788cb24856965c36a24e339b6058"/>
    <x v="12"/>
    <n v="79.900000000000006"/>
    <n v="14.65"/>
    <n v="80.547451204649633"/>
    <n v="-0.64745120464962724"/>
    <n v="-8.0381339814791421E-3"/>
    <x v="1"/>
  </r>
  <r>
    <s v="ace05b62c79dffc86cd12b281dc05b93"/>
    <x v="209"/>
    <n v="24.99"/>
    <n v="14.1"/>
    <n v="23.363287069727292"/>
    <n v="1.6267129302727064"/>
    <n v="6.9626886209025809E-2"/>
    <x v="2"/>
  </r>
  <r>
    <s v="c072e7b87c8413341505d50d8234fbc2"/>
    <x v="105"/>
    <n v="79"/>
    <n v="13.91"/>
    <n v="75.606411567281327"/>
    <n v="3.3935884327186727"/>
    <n v="4.4884929232473295E-2"/>
    <x v="1"/>
  </r>
  <r>
    <s v="368c6c730842d78016ad823897a372db"/>
    <x v="13"/>
    <n v="59.9"/>
    <n v="17.670000000000002"/>
    <n v="58.014199502052527"/>
    <n v="1.8858004979474714"/>
    <n v="3.2505843640585827E-2"/>
    <x v="1"/>
  </r>
  <r>
    <s v="5d66715cc928aadd0074f61332698593"/>
    <x v="204"/>
    <n v="19.899999999999999"/>
    <n v="15.1"/>
    <n v="20.669552191847476"/>
    <n v="-0.76955219184747747"/>
    <n v="-3.7231198078447277E-2"/>
    <x v="1"/>
  </r>
  <r>
    <s v="81e11b02560e506662f5d75a88b94fa5"/>
    <x v="210"/>
    <n v="158"/>
    <n v="15.2"/>
    <n v="156.03006442931135"/>
    <n v="1.9699355706886479"/>
    <n v="1.2625358951775075E-2"/>
    <x v="1"/>
  </r>
  <r>
    <s v="4b2653088591de362e6ba85b4a474c75"/>
    <x v="211"/>
    <n v="1050.6099999999999"/>
    <n v="25.13"/>
    <n v="1045.3666307981318"/>
    <n v="5.2433692018680631"/>
    <n v="5.0158184194809994E-3"/>
    <x v="1"/>
  </r>
  <r>
    <s v="ef8856db4e302ad33dc4d91e40f7593c"/>
    <x v="73"/>
    <n v="106.9"/>
    <n v="18"/>
    <n v="96.307778593074801"/>
    <n v="10.592221406925205"/>
    <n v="0.10998303108703267"/>
    <x v="2"/>
  </r>
  <r>
    <s v="958cd4fc82ce0223c757f47bc9d67e23"/>
    <x v="212"/>
    <n v="362.45"/>
    <n v="25.12"/>
    <n v="371.58742606587771"/>
    <n v="-9.1374260658777189"/>
    <n v="-2.4590245592050173E-2"/>
    <x v="1"/>
  </r>
  <r>
    <s v="2ffb8b836bb62d53a77a69a67814fffa"/>
    <x v="171"/>
    <n v="44.55"/>
    <n v="11.74"/>
    <n v="44.097242332823178"/>
    <n v="0.45275766717681876"/>
    <n v="1.0267255801613128E-2"/>
    <x v="1"/>
  </r>
  <r>
    <s v="1a0d662b65b5ef08796501b064c853af"/>
    <x v="213"/>
    <n v="14.99"/>
    <n v="15.1"/>
    <n v="15.3276066112947"/>
    <n v="-0.33760661129469938"/>
    <n v="-2.2026048805683842E-2"/>
    <x v="1"/>
  </r>
  <r>
    <s v="1a0d662b65b5ef08796501b064c853af"/>
    <x v="213"/>
    <n v="14.99"/>
    <n v="15.1"/>
    <n v="15.702466754627963"/>
    <n v="-0.71246675462796283"/>
    <n v="-4.5372919157302377E-2"/>
    <x v="1"/>
  </r>
  <r>
    <s v="1a0d662b65b5ef08796501b064c853af"/>
    <x v="213"/>
    <n v="14.99"/>
    <n v="15.1"/>
    <n v="14.671253988413955"/>
    <n v="0.31874601158604499"/>
    <n v="2.1725887360259873E-2"/>
    <x v="1"/>
  </r>
  <r>
    <s v="1a0d662b65b5ef08796501b064c853af"/>
    <x v="213"/>
    <n v="14.99"/>
    <n v="15.1"/>
    <n v="14.57138986578496"/>
    <n v="0.41861013421504012"/>
    <n v="2.8728222775644581E-2"/>
    <x v="1"/>
  </r>
  <r>
    <s v="a3f986f6c4400aa6545d224be435f812"/>
    <x v="214"/>
    <n v="125.9"/>
    <n v="18.13"/>
    <n v="131.06444792709638"/>
    <n v="-5.1644479270963757"/>
    <n v="-3.9403881134638899E-2"/>
    <x v="1"/>
  </r>
  <r>
    <s v="cebff45f1d1558430be0e07ac0df6a68"/>
    <x v="165"/>
    <n v="99.9"/>
    <n v="26.84"/>
    <n v="101.7222673591656"/>
    <n v="-1.8222673591655933"/>
    <n v="-1.7914144134552654E-2"/>
    <x v="1"/>
  </r>
  <r>
    <s v="d1c427060a0f73f6b889a5c7c61f2ac4"/>
    <x v="109"/>
    <n v="149"/>
    <n v="40.369999999999997"/>
    <n v="162.24652660017009"/>
    <n v="-13.246526600170085"/>
    <n v="-8.1644438730044275E-2"/>
    <x v="0"/>
  </r>
  <r>
    <s v="71a5f1c2a5fd9889ef26b5ac22aec9c6"/>
    <x v="80"/>
    <n v="19.899999999999999"/>
    <n v="14.1"/>
    <n v="21.41764263213463"/>
    <n v="-1.5176426321346312"/>
    <n v="-7.0859461902571322E-2"/>
    <x v="0"/>
  </r>
  <r>
    <s v="79e42c4fa2bde6e0c828d23c4fb7df35"/>
    <x v="215"/>
    <n v="59.9"/>
    <n v="9.17"/>
    <n v="57.183013808676158"/>
    <n v="2.7169861913238407"/>
    <n v="4.7513868373821225E-2"/>
    <x v="1"/>
  </r>
  <r>
    <s v="101a896b1137f70a7bbb2b9fac61458d"/>
    <x v="92"/>
    <n v="320"/>
    <n v="14.68"/>
    <n v="305.56478230311154"/>
    <n v="14.435217696888458"/>
    <n v="4.7241104122297491E-2"/>
    <x v="1"/>
  </r>
  <r>
    <s v="8c81af91a9b96d073ccaf0d3402ec5b2"/>
    <x v="216"/>
    <n v="59.9"/>
    <n v="14.59"/>
    <n v="61.161456166980173"/>
    <n v="-1.2614561669801745"/>
    <n v="-2.0625018533505894E-2"/>
    <x v="1"/>
  </r>
  <r>
    <s v="fec85e6c0eab9b4bcddf9ccd917c80bc"/>
    <x v="46"/>
    <n v="29.99"/>
    <n v="15.11"/>
    <n v="31.894016110241814"/>
    <n v="-1.9040161102418161"/>
    <n v="-5.9698223756474426E-2"/>
    <x v="0"/>
  </r>
  <r>
    <s v="c35498fbb4358837ae16850f50c3fd22"/>
    <x v="217"/>
    <n v="69"/>
    <n v="21.17"/>
    <n v="65.853830171066207"/>
    <n v="3.1461698289337932"/>
    <n v="4.7775046960231424E-2"/>
    <x v="1"/>
  </r>
  <r>
    <s v="1809be4f054d8243278d6c83207696ee"/>
    <x v="218"/>
    <n v="56"/>
    <n v="18.690000000000001"/>
    <n v="52.129459284181934"/>
    <n v="3.8705407158180662"/>
    <n v="7.4248625805189122E-2"/>
    <x v="2"/>
  </r>
  <r>
    <s v="a60613d36f37a7b27d3344f40f6a7945"/>
    <x v="219"/>
    <n v="160"/>
    <n v="19"/>
    <n v="166.70543254097146"/>
    <n v="-6.7054325409714579"/>
    <n v="-4.0223239511546528E-2"/>
    <x v="1"/>
  </r>
  <r>
    <s v="702a14f9c5a93130c3346c4de901d864"/>
    <x v="220"/>
    <n v="57.95"/>
    <n v="22.34"/>
    <n v="55.509837818131942"/>
    <n v="2.440162181868061"/>
    <n v="4.3959094059377653E-2"/>
    <x v="1"/>
  </r>
  <r>
    <s v="23227b07fc69250d2fa4be6602011aea"/>
    <x v="144"/>
    <n v="64.900000000000006"/>
    <n v="20.18"/>
    <n v="60.719224659761714"/>
    <n v="4.1807753402382914"/>
    <n v="6.8854228025228184E-2"/>
    <x v="2"/>
  </r>
  <r>
    <s v="23227b07fc69250d2fa4be6602011aea"/>
    <x v="144"/>
    <n v="64.900000000000006"/>
    <n v="20.18"/>
    <n v="61.835566475042356"/>
    <n v="3.06443352495765"/>
    <n v="4.9557782028155195E-2"/>
    <x v="1"/>
  </r>
  <r>
    <s v="44fc450365728c413fefc547592626be"/>
    <x v="221"/>
    <n v="849"/>
    <n v="23.52"/>
    <n v="868.71152611633363"/>
    <n v="-19.71152611633363"/>
    <n v="-2.2690531348716049E-2"/>
    <x v="1"/>
  </r>
  <r>
    <s v="5fb8e63ae576fbfbd243c50c5ce74050"/>
    <x v="20"/>
    <n v="20.99"/>
    <n v="11.85"/>
    <n v="21.379926829723242"/>
    <n v="-0.38992682972324388"/>
    <n v="-1.8237987100178089E-2"/>
    <x v="1"/>
  </r>
  <r>
    <s v="f471a2281d25a1dbf3193dd5e969aa0f"/>
    <x v="119"/>
    <n v="19.45"/>
    <n v="14.52"/>
    <n v="17.675946443058574"/>
    <n v="1.7740535569414249"/>
    <n v="0.1003654068910185"/>
    <x v="2"/>
  </r>
  <r>
    <s v="71a7800a633691de8ecdd17463335e2e"/>
    <x v="84"/>
    <n v="59.9"/>
    <n v="34.22"/>
    <n v="59.608236464783452"/>
    <n v="0.29176353521654619"/>
    <n v="4.8946849046426679E-3"/>
    <x v="1"/>
  </r>
  <r>
    <s v="71a7800a633691de8ecdd17463335e2e"/>
    <x v="84"/>
    <n v="59.9"/>
    <n v="34.22"/>
    <n v="57.592850439187323"/>
    <n v="2.3071495608126753"/>
    <n v="4.0059652252301875E-2"/>
    <x v="1"/>
  </r>
  <r>
    <s v="616042729c11849827291496b18e9ec5"/>
    <x v="222"/>
    <n v="64.900000000000006"/>
    <n v="15.33"/>
    <n v="67.803351499762826"/>
    <n v="-2.9033514997628203"/>
    <n v="-4.2820176813427521E-2"/>
    <x v="1"/>
  </r>
  <r>
    <s v="eb2d12bc991561d4ca5deff0e60854e4"/>
    <x v="8"/>
    <n v="128.9"/>
    <n v="9.26"/>
    <n v="130.93120273336035"/>
    <n v="-2.0312027333603453"/>
    <n v="-1.5513511607289384E-2"/>
    <x v="1"/>
  </r>
  <r>
    <s v="fb8e60e1a3c247d3a2e17f6986e71a40"/>
    <x v="223"/>
    <n v="189.9"/>
    <n v="13.77"/>
    <n v="192.32598371275847"/>
    <n v="-2.425983712758466"/>
    <n v="-1.2613915529904198E-2"/>
    <x v="1"/>
  </r>
  <r>
    <s v="7814c273ab16783d73a9863ebfa8b141"/>
    <x v="186"/>
    <n v="250"/>
    <n v="97.56"/>
    <n v="269.91463519749294"/>
    <n v="-19.914635197492942"/>
    <n v="-7.378123525210728E-2"/>
    <x v="0"/>
  </r>
  <r>
    <s v="a0450529bd974ebeaf93b1731184396a"/>
    <x v="224"/>
    <n v="94.9"/>
    <n v="35.979999999999997"/>
    <n v="92.281365153205684"/>
    <n v="2.6186348467943219"/>
    <n v="2.837663749823011E-2"/>
    <x v="1"/>
  </r>
  <r>
    <s v="a35a9f46dcee0a67c8c7ad8493eb4135"/>
    <x v="150"/>
    <n v="27.9"/>
    <n v="20.8"/>
    <n v="29.917605763631148"/>
    <n v="-2.0176057636311491"/>
    <n v="-6.7438744248840221E-2"/>
    <x v="0"/>
  </r>
  <r>
    <s v="a35a9f46dcee0a67c8c7ad8493eb4135"/>
    <x v="150"/>
    <n v="27.9"/>
    <n v="20.8"/>
    <n v="30.445774116206859"/>
    <n v="-2.5457741162068608"/>
    <n v="-8.361666569849828E-2"/>
    <x v="0"/>
  </r>
  <r>
    <s v="6cdd53843498f92890544667809f1595"/>
    <x v="225"/>
    <n v="349.9"/>
    <n v="29.3"/>
    <n v="374.60290674821272"/>
    <n v="-24.70290674821274"/>
    <n v="-6.594424737023373E-2"/>
    <x v="0"/>
  </r>
  <r>
    <s v="4fe644d766c7566dbc46fb851363cb3b"/>
    <x v="226"/>
    <n v="110.99"/>
    <n v="33.229999999999997"/>
    <n v="116.91234723719106"/>
    <n v="-5.9223472371910617"/>
    <n v="-5.0656302581761015E-2"/>
    <x v="0"/>
  </r>
  <r>
    <s v="c5b72065154ec27c2d1ed8a654c3348f"/>
    <x v="227"/>
    <n v="190.83"/>
    <n v="12.84"/>
    <n v="199.88401876640336"/>
    <n v="-9.0540187664033454"/>
    <n v="-4.5296361471421201E-2"/>
    <x v="1"/>
  </r>
  <r>
    <s v="4f3b83b83f7fb280fca4f90ba502f50e"/>
    <x v="133"/>
    <n v="99.5"/>
    <n v="35.07"/>
    <n v="98.013068426354579"/>
    <n v="1.4869315736454212"/>
    <n v="1.5170748120825105E-2"/>
    <x v="1"/>
  </r>
  <r>
    <s v="4cb6e86e1328e77e20b5f90771683cbe"/>
    <x v="139"/>
    <n v="104"/>
    <n v="14.82"/>
    <n v="113.68438004204715"/>
    <n v="-9.6843800420471524"/>
    <n v="-8.5186549273218545E-2"/>
    <x v="0"/>
  </r>
  <r>
    <s v="2e1963427978dab49b4bcb0a07b109cc"/>
    <x v="228"/>
    <n v="79"/>
    <n v="15.3"/>
    <n v="71.303868459342212"/>
    <n v="7.6961315406577882"/>
    <n v="0.10793427771799166"/>
    <x v="2"/>
  </r>
  <r>
    <s v="8ec7eb9f181b55edfe7d45092c37a3ef"/>
    <x v="88"/>
    <n v="61.99"/>
    <n v="24.56"/>
    <n v="57.190328492250487"/>
    <n v="4.7996715077495153"/>
    <n v="8.3924531197611313E-2"/>
    <x v="2"/>
  </r>
  <r>
    <s v="c4989935ece6a2e0c0c148ede45f640e"/>
    <x v="229"/>
    <n v="419.9"/>
    <n v="17.690000000000001"/>
    <n v="449.83317172315736"/>
    <n v="-29.933171723157386"/>
    <n v="-6.6542828774706894E-2"/>
    <x v="0"/>
  </r>
  <r>
    <s v="11a0fdc4251f15bb96dbfff7ef5475eb"/>
    <x v="30"/>
    <n v="299"/>
    <n v="23.17"/>
    <n v="281.2492367033376"/>
    <n v="17.750763296662399"/>
    <n v="6.3113996342631679E-2"/>
    <x v="2"/>
  </r>
  <r>
    <s v="b5adf7b72a7eb667aafd446581c35f3f"/>
    <x v="92"/>
    <n v="175"/>
    <n v="19.329999999999998"/>
    <n v="158.27163715242102"/>
    <n v="16.728362847578978"/>
    <n v="0.1056940027193185"/>
    <x v="2"/>
  </r>
  <r>
    <s v="183c95ad186f48c320bbac4643829d3f"/>
    <x v="131"/>
    <n v="49.9"/>
    <n v="14.1"/>
    <n v="50.783221078467527"/>
    <n v="-0.88322107846752829"/>
    <n v="-1.7391986166116209E-2"/>
    <x v="1"/>
  </r>
  <r>
    <s v="880be32f4db1d9f6e2bec38fb6ac23ab"/>
    <x v="67"/>
    <n v="44.9"/>
    <n v="11.85"/>
    <n v="49.325682908776301"/>
    <n v="-4.4256829087763023"/>
    <n v="-8.9723702699894298E-2"/>
    <x v="0"/>
  </r>
  <r>
    <s v="880be32f4db1d9f6e2bec38fb6ac23ab"/>
    <x v="67"/>
    <n v="44.9"/>
    <n v="11.85"/>
    <n v="47.722776819721567"/>
    <n v="-2.8227768197215681"/>
    <n v="-5.9149467148253788E-2"/>
    <x v="0"/>
  </r>
  <r>
    <s v="abc3432ff825d8e524db1d4eac6d2099"/>
    <x v="230"/>
    <n v="38.950000000000003"/>
    <n v="15.37"/>
    <n v="37.694117494468884"/>
    <n v="1.2558825055311189"/>
    <n v="3.3317732023183805E-2"/>
    <x v="1"/>
  </r>
  <r>
    <s v="76d1a1a9d21ab677a61c3ae34b1b352f"/>
    <x v="107"/>
    <n v="159.77000000000001"/>
    <n v="16"/>
    <n v="160.6697200832788"/>
    <n v="-0.89972008327879394"/>
    <n v="-5.5998111082315224E-3"/>
    <x v="1"/>
  </r>
  <r>
    <s v="9dae52e79d63184a0b32da87c5aabecf"/>
    <x v="201"/>
    <n v="132.9"/>
    <n v="19.03"/>
    <n v="125.51280466572372"/>
    <n v="7.3871953342762851"/>
    <n v="5.8856109175079677E-2"/>
    <x v="2"/>
  </r>
  <r>
    <s v="65e3848513c9ab70bf542e5d694cf072"/>
    <x v="8"/>
    <n v="36.85"/>
    <n v="21.85"/>
    <n v="40.064397604934719"/>
    <n v="-3.2143976049347174"/>
    <n v="-8.0230773382171133E-2"/>
    <x v="0"/>
  </r>
  <r>
    <s v="a9516a079e37a9c9c36b9b78b10169e8"/>
    <x v="21"/>
    <n v="124.99"/>
    <n v="21.88"/>
    <n v="123.83142431738601"/>
    <n v="1.1585756826139857"/>
    <n v="9.3560716837472486E-3"/>
    <x v="1"/>
  </r>
  <r>
    <s v="fb78b116998a9911245664c7823e1a95"/>
    <x v="20"/>
    <n v="94.99"/>
    <n v="13.33"/>
    <n v="88.275859423828678"/>
    <n v="6.7141405761713173"/>
    <n v="7.6058625993494902E-2"/>
    <x v="2"/>
  </r>
  <r>
    <s v="9ecadb84c81da840dbf3564378b586e9"/>
    <x v="186"/>
    <n v="32.99"/>
    <n v="16.11"/>
    <n v="30.574303025063948"/>
    <n v="2.4156969749360542"/>
    <n v="7.9010696432089855E-2"/>
    <x v="2"/>
  </r>
  <r>
    <s v="f2b67cf6ef88cbc9c2f3e482f558b318"/>
    <x v="231"/>
    <n v="89.9"/>
    <n v="17.07"/>
    <n v="98.523537457821845"/>
    <n v="-8.6235374578218398"/>
    <n v="-8.7527688107155069E-2"/>
    <x v="0"/>
  </r>
  <r>
    <s v="7c6ff274f0411bde88f5df8db5f64693"/>
    <x v="232"/>
    <n v="173"/>
    <n v="14.96"/>
    <n v="157.47306291287001"/>
    <n v="15.526937087129994"/>
    <n v="9.8600591110119346E-2"/>
    <x v="2"/>
  </r>
  <r>
    <s v="fbb1cfc2810efabf3235eccf4530f4ae"/>
    <x v="233"/>
    <n v="44.9"/>
    <n v="16.11"/>
    <n v="43.800364259756385"/>
    <n v="1.0996357402436132"/>
    <n v="2.510563002906244E-2"/>
    <x v="1"/>
  </r>
  <r>
    <s v="2bd9b51a9ab079e095aca987845d3266"/>
    <x v="234"/>
    <n v="85"/>
    <n v="13.26"/>
    <n v="91.145038485268202"/>
    <n v="-6.1450384852682021"/>
    <n v="-6.7420438757743534E-2"/>
    <x v="0"/>
  </r>
  <r>
    <s v="53759a2ecddad2bb87a079a1f1519f73"/>
    <x v="13"/>
    <n v="49.9"/>
    <n v="13.37"/>
    <n v="44.99141836333083"/>
    <n v="4.9085816366691688"/>
    <n v="0.10910039770317154"/>
    <x v="2"/>
  </r>
  <r>
    <s v="d6bbda35f0b8505c2f824f1d90295855"/>
    <x v="67"/>
    <n v="54.99"/>
    <n v="21.18"/>
    <n v="57.68341526454212"/>
    <n v="-2.6934152645421179"/>
    <n v="-4.6693061639811656E-2"/>
    <x v="1"/>
  </r>
  <r>
    <s v="3fbc0ef745950c7932d5f2a446189725"/>
    <x v="88"/>
    <n v="66.989999999999995"/>
    <n v="22.97"/>
    <n v="62.918928403072229"/>
    <n v="4.0710715969277658"/>
    <n v="6.4703447758162738E-2"/>
    <x v="2"/>
  </r>
  <r>
    <s v="013ee64977aaa6b2b25475095162e0e9"/>
    <x v="123"/>
    <n v="69.989999999999995"/>
    <n v="14.8"/>
    <n v="76.42600762669953"/>
    <n v="-6.436007626699535"/>
    <n v="-8.4212270489595828E-2"/>
    <x v="0"/>
  </r>
  <r>
    <s v="677d8ace413e0060fa8686cde56eaf10"/>
    <x v="87"/>
    <n v="268.89999999999998"/>
    <n v="19.98"/>
    <n v="254.29241635246785"/>
    <n v="14.607583647532124"/>
    <n v="5.744403964955426E-2"/>
    <x v="2"/>
  </r>
  <r>
    <s v="617186c3d97ea56c9c683a8a3974e8c1"/>
    <x v="10"/>
    <n v="84.99"/>
    <n v="16.350000000000001"/>
    <n v="85.065112192677574"/>
    <n v="-7.5112192677579515E-2"/>
    <n v="-8.8299645696635184E-4"/>
    <x v="1"/>
  </r>
  <r>
    <s v="2fd91ba79b5f4f8342b67bd79cb54b3f"/>
    <x v="235"/>
    <n v="34.99"/>
    <n v="9.34"/>
    <n v="32.21904325569448"/>
    <n v="2.7709567443055221"/>
    <n v="8.600369422253952E-2"/>
    <x v="2"/>
  </r>
  <r>
    <s v="2fd91ba79b5f4f8342b67bd79cb54b3f"/>
    <x v="235"/>
    <n v="34.99"/>
    <n v="9.34"/>
    <n v="35.631505699997895"/>
    <n v="-0.64150569999789298"/>
    <n v="-1.8003889742945409E-2"/>
    <x v="1"/>
  </r>
  <r>
    <s v="2fd91ba79b5f4f8342b67bd79cb54b3f"/>
    <x v="235"/>
    <n v="34.99"/>
    <n v="9.34"/>
    <n v="33.911267756161379"/>
    <n v="1.0787322438386227"/>
    <n v="3.1810436920118576E-2"/>
    <x v="1"/>
  </r>
  <r>
    <s v="2fd91ba79b5f4f8342b67bd79cb54b3f"/>
    <x v="235"/>
    <n v="34.99"/>
    <n v="9.34"/>
    <n v="36.78931965632875"/>
    <n v="-1.7993196563287484"/>
    <n v="-4.890875050523575E-2"/>
    <x v="1"/>
  </r>
  <r>
    <s v="35afc973633aaeb6b877ff57b2793310"/>
    <x v="12"/>
    <n v="77.900000000000006"/>
    <n v="23.35"/>
    <n v="81.499869667615997"/>
    <n v="-3.5998696676159909"/>
    <n v="-4.4170250606503737E-2"/>
    <x v="1"/>
  </r>
  <r>
    <s v="7d88f23682af2fc7db5484b6e41f8993"/>
    <x v="120"/>
    <n v="38.4"/>
    <n v="9.27"/>
    <n v="37.201892763304976"/>
    <n v="1.1981072366950229"/>
    <n v="3.2205545140348513E-2"/>
    <x v="1"/>
  </r>
  <r>
    <s v="b18fa799c2e098abdceb194c359938f6"/>
    <x v="85"/>
    <n v="69"/>
    <n v="17.22"/>
    <n v="70.708841834282836"/>
    <n v="-1.7088418342828362"/>
    <n v="-2.4167300580142052E-2"/>
    <x v="1"/>
  </r>
  <r>
    <s v="2a2d22ae30e026f1893083c8405ca522"/>
    <x v="236"/>
    <n v="134.9"/>
    <n v="21.43"/>
    <n v="141.52933012792388"/>
    <n v="-6.629330127923879"/>
    <n v="-4.6840680457766862E-2"/>
    <x v="1"/>
  </r>
  <r>
    <s v="ec2d43cc59763ec91694573b31f1c29a"/>
    <x v="19"/>
    <n v="39.5"/>
    <n v="15.11"/>
    <n v="37.488118675394787"/>
    <n v="2.0118813246052127"/>
    <n v="5.3667172312002548E-2"/>
    <x v="2"/>
  </r>
  <r>
    <s v="69c5919a1b057b3d3d8b58f3b9b4b89d"/>
    <x v="237"/>
    <n v="71"/>
    <n v="23.65"/>
    <n v="70.109563122167145"/>
    <n v="0.89043687783285463"/>
    <n v="1.2700647931313631E-2"/>
    <x v="1"/>
  </r>
  <r>
    <s v="d6dc2dcbb3ef25e47ef82f3c013ab820"/>
    <x v="186"/>
    <n v="225"/>
    <n v="60.81"/>
    <n v="202.74787980929813"/>
    <n v="22.252120190701874"/>
    <n v="0.10975266528869211"/>
    <x v="2"/>
  </r>
  <r>
    <s v="817e1c2d22418c36386406ccacfa53e8"/>
    <x v="94"/>
    <n v="189"/>
    <n v="32.07"/>
    <n v="203.04310964490298"/>
    <n v="-14.043109644902984"/>
    <n v="-6.9163192336162638E-2"/>
    <x v="0"/>
  </r>
  <r>
    <s v="b69eb25e3a4def8e9cddee18712e0c5e"/>
    <x v="238"/>
    <n v="199"/>
    <n v="32.79"/>
    <n v="203.64655719335329"/>
    <n v="-4.6465571933532885"/>
    <n v="-2.281677263486262E-2"/>
    <x v="1"/>
  </r>
  <r>
    <s v="b532349fe46b38fbc7bb3914c1bdae07"/>
    <x v="186"/>
    <n v="35"/>
    <n v="19.440000000000001"/>
    <n v="32.869746156367249"/>
    <n v="2.1302538436327509"/>
    <n v="6.4808953300057537E-2"/>
    <x v="2"/>
  </r>
  <r>
    <s v="b532349fe46b38fbc7bb3914c1bdae07"/>
    <x v="186"/>
    <n v="35"/>
    <n v="19.440000000000001"/>
    <n v="34.627397052213958"/>
    <n v="0.37260294778604219"/>
    <n v="1.0760351037191784E-2"/>
    <x v="1"/>
  </r>
  <r>
    <s v="b532349fe46b38fbc7bb3914c1bdae07"/>
    <x v="186"/>
    <n v="35"/>
    <n v="19.440000000000001"/>
    <n v="32.247076194439579"/>
    <n v="2.752923805560421"/>
    <n v="8.5369718140062348E-2"/>
    <x v="2"/>
  </r>
  <r>
    <s v="4e64dbe0b03dc0aba80f28b0b922c6b6"/>
    <x v="239"/>
    <n v="49.9"/>
    <n v="14.52"/>
    <n v="51.675478023852328"/>
    <n v="-1.7754780238523296"/>
    <n v="-3.435823124911986E-2"/>
    <x v="1"/>
  </r>
  <r>
    <s v="583f158587cdecda3e8bdea694021e39"/>
    <x v="52"/>
    <n v="45"/>
    <n v="35.67"/>
    <n v="44.464772262859249"/>
    <n v="0.535227737140751"/>
    <n v="1.2037118597542411E-2"/>
    <x v="1"/>
  </r>
  <r>
    <s v="9b08a09bf2fd9731cfca8cb3db24457c"/>
    <x v="240"/>
    <n v="39.97"/>
    <n v="18.38"/>
    <n v="36.413203697464574"/>
    <n v="3.5567963025354246"/>
    <n v="9.7678752248407122E-2"/>
    <x v="2"/>
  </r>
  <r>
    <s v="9b08a09bf2fd9731cfca8cb3db24457c"/>
    <x v="240"/>
    <n v="39.97"/>
    <n v="18.38"/>
    <n v="42.137550285910784"/>
    <n v="-2.1675502859107851"/>
    <n v="-5.1439874202547857E-2"/>
    <x v="0"/>
  </r>
  <r>
    <s v="9b08a09bf2fd9731cfca8cb3db24457c"/>
    <x v="240"/>
    <n v="39.97"/>
    <n v="18.38"/>
    <n v="43.353235354817485"/>
    <n v="-3.3832353548174865"/>
    <n v="-7.8038820566168787E-2"/>
    <x v="0"/>
  </r>
  <r>
    <s v="9fb9a39f2e393018aaeb432394aff48f"/>
    <x v="241"/>
    <n v="149"/>
    <n v="14.77"/>
    <n v="144.36840473927541"/>
    <n v="4.6315952607245947"/>
    <n v="3.2081779036688143E-2"/>
    <x v="1"/>
  </r>
  <r>
    <s v="01ff1ff8aa5dec93e9938b989393a4ca"/>
    <x v="242"/>
    <n v="51.6"/>
    <n v="9.34"/>
    <n v="55.972768105424493"/>
    <n v="-4.3727681054244911"/>
    <n v="-7.8123134757037554E-2"/>
    <x v="0"/>
  </r>
  <r>
    <s v="b74cc46deca5ba8f6a2226df8041a0b7"/>
    <x v="243"/>
    <n v="146.9"/>
    <n v="19.72"/>
    <n v="140.56910334503377"/>
    <n v="6.3308966549662387"/>
    <n v="4.5037611426080891E-2"/>
    <x v="1"/>
  </r>
  <r>
    <s v="e53e557d5a159f5aa2c5e995dfdf244b"/>
    <x v="127"/>
    <n v="79.900000000000006"/>
    <n v="9.7100000000000009"/>
    <n v="73.821654184129727"/>
    <n v="6.0783458158702786"/>
    <n v="8.2338249976211031E-2"/>
    <x v="2"/>
  </r>
  <r>
    <s v="e583bb5fa3cb1e876a6ea48f21dfef34"/>
    <x v="244"/>
    <n v="22.5"/>
    <n v="18.260000000000002"/>
    <n v="21.246624023115878"/>
    <n v="1.2533759768841222"/>
    <n v="5.8991770905367155E-2"/>
    <x v="2"/>
  </r>
  <r>
    <s v="5d422bd54b54307ff7a5e770f40946e4"/>
    <x v="245"/>
    <n v="11.9"/>
    <n v="16.79"/>
    <n v="12.646471404517932"/>
    <n v="-0.7464714045179317"/>
    <n v="-5.9026061945726294E-2"/>
    <x v="0"/>
  </r>
  <r>
    <s v="5d422bd54b54307ff7a5e770f40946e4"/>
    <x v="245"/>
    <n v="11.9"/>
    <n v="16.79"/>
    <n v="12.881965210193817"/>
    <n v="-0.98196521019381677"/>
    <n v="-7.6227904218896927E-2"/>
    <x v="0"/>
  </r>
  <r>
    <s v="eb551aa4ed7eb5e2839d5b7d2896bece"/>
    <x v="179"/>
    <n v="19.989999999999998"/>
    <n v="10.96"/>
    <n v="17.993144562717735"/>
    <n v="1.9968554372822638"/>
    <n v="0.11097868025913604"/>
    <x v="2"/>
  </r>
  <r>
    <s v="8afee64dc809d5e833ae113a81774ddc"/>
    <x v="246"/>
    <n v="7.9"/>
    <n v="16.11"/>
    <n v="8.519039118066777"/>
    <n v="-0.61903911806677669"/>
    <n v="-7.2665368651019302E-2"/>
    <x v="0"/>
  </r>
  <r>
    <s v="940d38f0ef286bd93612fcdc91dd38ed"/>
    <x v="85"/>
    <n v="85.71"/>
    <n v="18.399999999999999"/>
    <n v="91.379081097796529"/>
    <n v="-5.6690810977965356"/>
    <n v="-6.2039156333048712E-2"/>
    <x v="0"/>
  </r>
  <r>
    <s v="54d9ac713e253fa1fae9c8003b011c2a"/>
    <x v="52"/>
    <n v="29.5"/>
    <n v="20.84"/>
    <n v="28.082519367882092"/>
    <n v="1.4174806321179076"/>
    <n v="5.0475550770529398E-2"/>
    <x v="2"/>
  </r>
  <r>
    <s v="a157e6178c6f7a8355999fa9cb3d136e"/>
    <x v="247"/>
    <n v="18.25"/>
    <n v="17.600000000000001"/>
    <n v="19.713534854695769"/>
    <n v="-1.4635348546957694"/>
    <n v="-7.4240102826974991E-2"/>
    <x v="0"/>
  </r>
  <r>
    <s v="cd4b1bc1c7c94fdcd94b2a7a87eeb050"/>
    <x v="248"/>
    <n v="142"/>
    <n v="8.02"/>
    <n v="146.07956569478716"/>
    <n v="-4.0795656947871635"/>
    <n v="-2.7927011388511697E-2"/>
    <x v="1"/>
  </r>
  <r>
    <s v="1491a8ff192d4b5c369b0eaa2fe33ee5"/>
    <x v="249"/>
    <n v="179.99"/>
    <n v="26.1"/>
    <n v="179.09663636234919"/>
    <n v="0.89336363765082183"/>
    <n v="4.9881653603106434E-3"/>
    <x v="1"/>
  </r>
  <r>
    <s v="1491a8ff192d4b5c369b0eaa2fe33ee5"/>
    <x v="249"/>
    <n v="179.99"/>
    <n v="26.1"/>
    <n v="190.52837681921307"/>
    <n v="-10.538376819213056"/>
    <n v="-5.5311324198245915E-2"/>
    <x v="0"/>
  </r>
  <r>
    <s v="bb1fe952bdc16ef8974d4ca11aec19b7"/>
    <x v="250"/>
    <n v="154.9"/>
    <n v="15.25"/>
    <n v="160.15216963713934"/>
    <n v="-5.2521696371393318"/>
    <n v="-3.2794870335127527E-2"/>
    <x v="1"/>
  </r>
  <r>
    <s v="b22658be72921a967a7d592dfc61e54e"/>
    <x v="251"/>
    <n v="299"/>
    <n v="10.29"/>
    <n v="319.63080963603454"/>
    <n v="-20.630809636034542"/>
    <n v="-6.4545747825520833E-2"/>
    <x v="0"/>
  </r>
  <r>
    <s v="2c3210fa1dfe1fdf8b8e3254287c9e4c"/>
    <x v="252"/>
    <n v="126.99"/>
    <n v="18.14"/>
    <n v="135.44493109642755"/>
    <n v="-8.4549310964275577"/>
    <n v="-6.2423385120320404E-2"/>
    <x v="0"/>
  </r>
  <r>
    <s v="96f608a5fe010cb34dc25baee3274444"/>
    <x v="253"/>
    <n v="49.89"/>
    <n v="8.7200000000000006"/>
    <n v="49.786477706783103"/>
    <n v="0.10352229321689776"/>
    <n v="2.0793255113685915E-3"/>
    <x v="1"/>
  </r>
  <r>
    <s v="93a99b40878c0d888fa4f44459fcac05"/>
    <x v="254"/>
    <n v="8"/>
    <n v="11.85"/>
    <n v="8.0199840361669921"/>
    <n v="-1.998403616699207E-2"/>
    <n v="-2.4917800430614176E-3"/>
    <x v="1"/>
  </r>
  <r>
    <s v="35afc973633aaeb6b877ff57b2793310"/>
    <x v="12"/>
    <n v="84"/>
    <n v="10.9"/>
    <n v="79.096614992251659"/>
    <n v="4.9033850077483407"/>
    <n v="6.1992349587004177E-2"/>
    <x v="2"/>
  </r>
  <r>
    <s v="810e2944bca9850b934e1570ba372e7d"/>
    <x v="186"/>
    <n v="78"/>
    <n v="15.85"/>
    <n v="83.800635263512575"/>
    <n v="-5.8006352635125751"/>
    <n v="-6.9219466478653471E-2"/>
    <x v="0"/>
  </r>
  <r>
    <s v="447934cd014b033280977350b730d892"/>
    <x v="255"/>
    <n v="229.99"/>
    <n v="35.369999999999997"/>
    <n v="225.31093581799928"/>
    <n v="4.6790641820007295"/>
    <n v="2.0767141927724112E-2"/>
    <x v="1"/>
  </r>
  <r>
    <s v="475af23239b1120761482ea242b1a271"/>
    <x v="145"/>
    <n v="89.9"/>
    <n v="26.71"/>
    <n v="83.686675508449966"/>
    <n v="6.2133244915500399"/>
    <n v="7.4245086852836817E-2"/>
    <x v="2"/>
  </r>
  <r>
    <s v="81825b8f118d301ef4933de64545b307"/>
    <x v="256"/>
    <n v="165"/>
    <n v="28.53"/>
    <n v="179.73603505516212"/>
    <n v="-14.73603505516212"/>
    <n v="-8.1987093187181628E-2"/>
    <x v="0"/>
  </r>
  <r>
    <s v="873ecb2fd02d35f52e5820550e538e72"/>
    <x v="257"/>
    <n v="199"/>
    <n v="20.12"/>
    <n v="201.25166627696754"/>
    <n v="-2.2516662769675406"/>
    <n v="-1.1188311225551502E-2"/>
    <x v="1"/>
  </r>
  <r>
    <s v="b5e13c9a353102f79c6206ff5cb61a50"/>
    <x v="258"/>
    <n v="79.900000000000006"/>
    <n v="28.96"/>
    <n v="72.673510428310266"/>
    <n v="7.2264895716897399"/>
    <n v="9.9437739130799313E-2"/>
    <x v="2"/>
  </r>
  <r>
    <s v="5a848e4ab52fd5445cdc07aab1c40e48"/>
    <x v="107"/>
    <n v="122.99"/>
    <n v="9.06"/>
    <n v="112.8067535485813"/>
    <n v="10.183246451418697"/>
    <n v="9.0271602817052835E-2"/>
    <x v="2"/>
  </r>
  <r>
    <s v="315affd5901833621c947264eb9f2588"/>
    <x v="259"/>
    <n v="139.9"/>
    <n v="15.15"/>
    <n v="139.06419590993488"/>
    <n v="0.83580409006512468"/>
    <n v="6.0102033064386631E-3"/>
    <x v="1"/>
  </r>
  <r>
    <s v="0bdb7583b74c0323d413497fab3f2a3c"/>
    <x v="260"/>
    <n v="27.99"/>
    <n v="8.7200000000000006"/>
    <n v="28.428884996903491"/>
    <n v="-0.43888499690349292"/>
    <n v="-1.543799543848789E-2"/>
    <x v="1"/>
  </r>
  <r>
    <s v="6ff1fc9209c7854704a4f75c9fac41b4"/>
    <x v="112"/>
    <n v="22"/>
    <n v="34.15"/>
    <n v="20.069402094499328"/>
    <n v="1.9305979055006723"/>
    <n v="9.6196084786692046E-2"/>
    <x v="2"/>
  </r>
  <r>
    <s v="6ff1fc9209c7854704a4f75c9fac41b4"/>
    <x v="112"/>
    <n v="22"/>
    <n v="34.15"/>
    <n v="20.598232631625486"/>
    <n v="1.4017673683745144"/>
    <n v="6.8052798191157018E-2"/>
    <x v="2"/>
  </r>
  <r>
    <s v="6ff1fc9209c7854704a4f75c9fac41b4"/>
    <x v="112"/>
    <n v="22"/>
    <n v="34.15"/>
    <n v="20.960799161896414"/>
    <n v="1.0392008381035858"/>
    <n v="4.9578302338428817E-2"/>
    <x v="1"/>
  </r>
  <r>
    <s v="6ff1fc9209c7854704a4f75c9fac41b4"/>
    <x v="112"/>
    <n v="22"/>
    <n v="34.15"/>
    <n v="21.31283590772539"/>
    <n v="0.68716409227461028"/>
    <n v="3.2241795284762169E-2"/>
    <x v="1"/>
  </r>
  <r>
    <s v="0f0c4960b05d6145bbb4b348423503ef"/>
    <x v="261"/>
    <n v="42"/>
    <n v="14.12"/>
    <n v="41.689099206472861"/>
    <n v="0.31090079352713929"/>
    <n v="7.4576040126783849E-3"/>
    <x v="1"/>
  </r>
  <r>
    <s v="a9028257171c93a8d948ff95a0082b0d"/>
    <x v="262"/>
    <n v="27.9"/>
    <n v="16.79"/>
    <n v="27.579983690582516"/>
    <n v="0.3200163094174826"/>
    <n v="1.1603208798370524E-2"/>
    <x v="1"/>
  </r>
  <r>
    <s v="ff5d87897ed26d564711df324b98ebee"/>
    <x v="259"/>
    <n v="279.89999999999998"/>
    <n v="20.65"/>
    <n v="267.7198907627062"/>
    <n v="12.180109237293777"/>
    <n v="4.5495720181992862E-2"/>
    <x v="1"/>
  </r>
  <r>
    <s v="9f14f401fce2d9ddd450e7ce60cb7f5f"/>
    <x v="263"/>
    <n v="14.9"/>
    <n v="15.23"/>
    <n v="13.791215367196029"/>
    <n v="1.108784632803971"/>
    <n v="8.039789121423925E-2"/>
    <x v="2"/>
  </r>
  <r>
    <s v="d04bbac48960ecb7ea311b00ca6e1cb7"/>
    <x v="71"/>
    <n v="104"/>
    <n v="15.48"/>
    <n v="105.19384877069105"/>
    <n v="-1.1938487706910479"/>
    <n v="-1.1349035943094766E-2"/>
    <x v="1"/>
  </r>
  <r>
    <s v="53759a2ecddad2bb87a079a1f1519f73"/>
    <x v="13"/>
    <n v="49"/>
    <n v="17.670000000000002"/>
    <n v="51.828843984038791"/>
    <n v="-2.8288439840387909"/>
    <n v="-5.4580495465227079E-2"/>
    <x v="0"/>
  </r>
  <r>
    <s v="53759a2ecddad2bb87a079a1f1519f73"/>
    <x v="13"/>
    <n v="49"/>
    <n v="17.670000000000002"/>
    <n v="44.349343049820853"/>
    <n v="4.6506569501791475"/>
    <n v="0.1048641677725581"/>
    <x v="2"/>
  </r>
  <r>
    <s v="20c26b058070cf8c6bbb8c8943eea98c"/>
    <x v="264"/>
    <n v="59.9"/>
    <n v="14.51"/>
    <n v="65.620339011298995"/>
    <n v="-5.7203390112989965"/>
    <n v="-8.7173262093541246E-2"/>
    <x v="0"/>
  </r>
  <r>
    <s v="fea7f0c147905a41ca324c0e3234a4c7"/>
    <x v="167"/>
    <n v="110"/>
    <n v="18.649999999999999"/>
    <n v="118.76151530354004"/>
    <n v="-8.7615153035400368"/>
    <n v="-7.3774027563951725E-2"/>
    <x v="0"/>
  </r>
  <r>
    <s v="24e8c79f39c68fbdbd57a5813ae72b94"/>
    <x v="87"/>
    <n v="79"/>
    <n v="18.43"/>
    <n v="76.944805413361053"/>
    <n v="2.0551945866389474"/>
    <n v="2.6709984846905257E-2"/>
    <x v="1"/>
  </r>
  <r>
    <s v="8d7ab3701456fdbfe2526636ce15327a"/>
    <x v="265"/>
    <n v="39.9"/>
    <n v="14.1"/>
    <n v="37.448830389138628"/>
    <n v="2.4511696108613705"/>
    <n v="6.545383621840134E-2"/>
    <x v="2"/>
  </r>
  <r>
    <s v="3fe46d73f7527ad59e36c21c3e783041"/>
    <x v="266"/>
    <n v="249"/>
    <n v="13.24"/>
    <n v="228.95366640357253"/>
    <n v="20.046333596427473"/>
    <n v="8.7556289931134623E-2"/>
    <x v="2"/>
  </r>
  <r>
    <s v="79c0ace2ccf0da036e787875a49151a4"/>
    <x v="267"/>
    <n v="379"/>
    <n v="79.94"/>
    <n v="397.76659000144599"/>
    <n v="-18.766590001445991"/>
    <n v="-4.7179905183534314E-2"/>
    <x v="1"/>
  </r>
  <r>
    <s v="9f69acd4da62618a3f6365b732d00ccd"/>
    <x v="268"/>
    <n v="33.9"/>
    <n v="13.82"/>
    <n v="34.268218754944535"/>
    <n v="-0.36821875494453593"/>
    <n v="-1.074519681275835E-2"/>
    <x v="1"/>
  </r>
  <r>
    <s v="d67212d63e76d57ee86cec463681f842"/>
    <x v="269"/>
    <n v="208.1"/>
    <n v="43.49"/>
    <n v="227.91046213656523"/>
    <n v="-19.810462136565235"/>
    <n v="-8.6922127009223013E-2"/>
    <x v="0"/>
  </r>
  <r>
    <s v="ea11e700a343582ad56e4c70e966cb36"/>
    <x v="214"/>
    <n v="593.36"/>
    <n v="98.13"/>
    <n v="603.23330961980878"/>
    <n v="-9.8733096198087651"/>
    <n v="-1.6367315037744641E-2"/>
    <x v="1"/>
  </r>
  <r>
    <s v="c31539851232e3accbf0ef4c571f97f2"/>
    <x v="270"/>
    <n v="52.5"/>
    <n v="19.34"/>
    <n v="57.685883540881065"/>
    <n v="-5.1858835408810648"/>
    <n v="-8.9898658433582149E-2"/>
    <x v="0"/>
  </r>
  <r>
    <s v="c31539851232e3accbf0ef4c571f97f2"/>
    <x v="270"/>
    <n v="52.5"/>
    <n v="19.34"/>
    <n v="57.130244301859591"/>
    <n v="-4.6302443018595909"/>
    <n v="-8.1047164395004631E-2"/>
    <x v="0"/>
  </r>
  <r>
    <s v="cdb8d3c880b6639a70764c6734e6bb69"/>
    <x v="271"/>
    <n v="66"/>
    <n v="78.63"/>
    <n v="67.191081086288207"/>
    <n v="-1.1910810862882073"/>
    <n v="-1.7726773658524646E-2"/>
    <x v="1"/>
  </r>
  <r>
    <s v="a6cef514bc1c722ff447863e87e4d77d"/>
    <x v="272"/>
    <n v="127.48"/>
    <n v="16.809999999999999"/>
    <n v="131.57337133455871"/>
    <n v="-4.0933713345587108"/>
    <n v="-3.1110940557647297E-2"/>
    <x v="1"/>
  </r>
  <r>
    <s v="19c91ef95d509ea33eda93495c4d3481"/>
    <x v="88"/>
    <n v="122.99"/>
    <n v="63.11"/>
    <n v="114.89635950657886"/>
    <n v="8.0936404934211339"/>
    <n v="7.0442967280940696E-2"/>
    <x v="2"/>
  </r>
  <r>
    <s v="e8ca1ff2d0a28edb5be8bfbf2964dc3a"/>
    <x v="273"/>
    <n v="49"/>
    <n v="15.44"/>
    <n v="52.189073436074501"/>
    <n v="-3.1890734360745014"/>
    <n v="-6.1106151654153097E-2"/>
    <x v="0"/>
  </r>
  <r>
    <s v="e8ca1ff2d0a28edb5be8bfbf2964dc3a"/>
    <x v="273"/>
    <n v="49"/>
    <n v="15.44"/>
    <n v="52.939803615866822"/>
    <n v="-3.9398036158668219"/>
    <n v="-7.4420442592764091E-2"/>
    <x v="0"/>
  </r>
  <r>
    <s v="3cb39171fd36c50097f2dedbbe0dfe6e"/>
    <x v="27"/>
    <n v="29.99"/>
    <n v="7.87"/>
    <n v="30.210011198504681"/>
    <n v="-0.22001119850468243"/>
    <n v="-7.2827248245301021E-3"/>
    <x v="1"/>
  </r>
  <r>
    <s v="b8a0d73b2a06e7910d9864dccdb0cda2"/>
    <x v="104"/>
    <n v="59.9"/>
    <n v="24.7"/>
    <n v="57.784828848604619"/>
    <n v="2.1151711513953799"/>
    <n v="3.6604264363871292E-2"/>
    <x v="1"/>
  </r>
  <r>
    <s v="9351b1e4334769dc0abe871ee3c7abc3"/>
    <x v="274"/>
    <n v="62"/>
    <n v="24.7"/>
    <n v="57.625949308904168"/>
    <n v="4.3740506910958317"/>
    <n v="7.5904184547983977E-2"/>
    <x v="2"/>
  </r>
  <r>
    <s v="dbd55362ec13c706503b1c71a5068a1a"/>
    <x v="275"/>
    <n v="102"/>
    <n v="10.130000000000001"/>
    <n v="109.96929094453525"/>
    <n v="-7.9692909445352456"/>
    <n v="-7.2468330713841594E-2"/>
    <x v="0"/>
  </r>
  <r>
    <s v="6a8631b72a2f8729b91514db87e771c0"/>
    <x v="204"/>
    <n v="27.9"/>
    <n v="15.1"/>
    <n v="29.687647902805001"/>
    <n v="-1.7876479028050021"/>
    <n v="-6.0215208313491836E-2"/>
    <x v="0"/>
  </r>
  <r>
    <s v="dc2410804cf782c5d87dbcd201b74e9b"/>
    <x v="268"/>
    <n v="196"/>
    <n v="11.98"/>
    <n v="190.12419906900578"/>
    <n v="5.8758009309942167"/>
    <n v="3.0905066055592369E-2"/>
    <x v="1"/>
  </r>
  <r>
    <s v="766a6a4c51c63991e78e192d802787a9"/>
    <x v="276"/>
    <n v="389"/>
    <n v="22.63"/>
    <n v="397.28696169437598"/>
    <n v="-8.2869616943759752"/>
    <n v="-2.0858881597908944E-2"/>
    <x v="1"/>
  </r>
  <r>
    <s v="ca815d1a82897d9d4503e2e367931d03"/>
    <x v="277"/>
    <n v="119.99"/>
    <n v="16.47"/>
    <n v="109.3972917245412"/>
    <n v="10.59270827545879"/>
    <n v="9.682788402231092E-2"/>
    <x v="2"/>
  </r>
  <r>
    <s v="2c2491f31fe7320124ccf2f3404354a6"/>
    <x v="20"/>
    <n v="27.99"/>
    <n v="14.1"/>
    <n v="29.46555542633007"/>
    <n v="-1.4755554263300716"/>
    <n v="-5.0077298899702152E-2"/>
    <x v="0"/>
  </r>
  <r>
    <s v="c1617123e66d2491ca93ceadfd36203e"/>
    <x v="278"/>
    <n v="54.99"/>
    <n v="14.7"/>
    <n v="50.646321683886512"/>
    <n v="4.3436783161134898"/>
    <n v="8.5764931621785709E-2"/>
    <x v="2"/>
  </r>
  <r>
    <s v="f5cb4f19ca215fb34aef190918d45f46"/>
    <x v="279"/>
    <n v="88.9"/>
    <n v="16.059999999999999"/>
    <n v="93.556090565900789"/>
    <n v="-4.656090565900783"/>
    <n v="-4.9767904342059258E-2"/>
    <x v="1"/>
  </r>
  <r>
    <s v="ca7966fa77959536468be3c6ce1f19e1"/>
    <x v="211"/>
    <n v="899"/>
    <n v="21.2"/>
    <n v="957.32736477727087"/>
    <n v="-58.327364777270873"/>
    <n v="-6.0927292923295004E-2"/>
    <x v="0"/>
  </r>
  <r>
    <s v="913eefa4eb54c8a9bcb9871dfd94a0ca"/>
    <x v="280"/>
    <n v="120"/>
    <n v="17.28"/>
    <n v="121.16788726414852"/>
    <n v="-1.1678872641485185"/>
    <n v="-9.6385873395852806E-3"/>
    <x v="1"/>
  </r>
  <r>
    <s v="3cc842aabeddd8ef0d633a10ef8a51aa"/>
    <x v="81"/>
    <n v="279.99"/>
    <n v="16.72"/>
    <n v="300.03946685000051"/>
    <n v="-20.049466850000499"/>
    <n v="-6.6822765219829827E-2"/>
    <x v="0"/>
  </r>
  <r>
    <s v="dea3de7c4e7aa375d564fa2ddb7099b7"/>
    <x v="276"/>
    <n v="59"/>
    <n v="15.16"/>
    <n v="53.543237130867318"/>
    <n v="5.4567628691326817"/>
    <n v="0.10191320438462796"/>
    <x v="2"/>
  </r>
  <r>
    <s v="4cb33e9787e8a38b82bd68e70f5f4700"/>
    <x v="166"/>
    <n v="243.37"/>
    <n v="53.83"/>
    <n v="242.93411325427638"/>
    <n v="0.43588674572362152"/>
    <n v="1.7942591095363532E-3"/>
    <x v="1"/>
  </r>
  <r>
    <s v="b67a7d0ef75f52b4b76368927a3037f9"/>
    <x v="281"/>
    <n v="249.48"/>
    <n v="16.5"/>
    <n v="262.59632717535419"/>
    <n v="-13.116327175354201"/>
    <n v="-4.9948631484839842E-2"/>
    <x v="1"/>
  </r>
  <r>
    <s v="9ecadb84c81da840dbf3564378b586e9"/>
    <x v="186"/>
    <n v="35"/>
    <n v="19.32"/>
    <n v="33.16968901997646"/>
    <n v="1.8303109800235404"/>
    <n v="5.5180227312991534E-2"/>
    <x v="2"/>
  </r>
  <r>
    <s v="9ecadb84c81da840dbf3564378b586e9"/>
    <x v="186"/>
    <n v="35"/>
    <n v="19.32"/>
    <n v="37.14643002246865"/>
    <n v="-2.1464300224686497"/>
    <n v="-5.7782942295406182E-2"/>
    <x v="0"/>
  </r>
  <r>
    <s v="53b36df67ebb7c41585e8d54d6772e08"/>
    <x v="92"/>
    <n v="99.9"/>
    <n v="0"/>
    <n v="104.08907947514938"/>
    <n v="-4.1890794751493701"/>
    <n v="-4.0245139031606932E-2"/>
    <x v="1"/>
  </r>
  <r>
    <s v="d33a74e1b6cfc152b6b3f43324d54987"/>
    <x v="51"/>
    <n v="14.99"/>
    <n v="8.2899999999999991"/>
    <n v="14.492278247722831"/>
    <n v="0.49772175227716886"/>
    <n v="3.4343927419098218E-2"/>
    <x v="1"/>
  </r>
  <r>
    <s v="8d1224321dc883703df71dcb5be296b3"/>
    <x v="141"/>
    <n v="109.73"/>
    <n v="16.53"/>
    <n v="120.26293725018473"/>
    <n v="-10.53293725018473"/>
    <n v="-8.758257108150376E-2"/>
    <x v="0"/>
  </r>
  <r>
    <s v="b60856ce32d90658dbf99b9485327c25"/>
    <x v="33"/>
    <n v="9"/>
    <n v="14.1"/>
    <n v="9.5166414604386578"/>
    <n v="-0.51664146043865777"/>
    <n v="-5.4288213188063497E-2"/>
    <x v="0"/>
  </r>
  <r>
    <s v="6eda94acf0ad08a1bb12f10aef74767d"/>
    <x v="282"/>
    <n v="239"/>
    <n v="19.25"/>
    <n v="229.31040488771217"/>
    <n v="9.689595112287833"/>
    <n v="4.2255366114034798E-2"/>
    <x v="1"/>
  </r>
  <r>
    <s v="98f34b46fd3c8edec3b0e453e0095e77"/>
    <x v="283"/>
    <n v="13.99"/>
    <n v="16.11"/>
    <n v="15.025358710186168"/>
    <n v="-1.0353587101861681"/>
    <n v="-6.8907420458738572E-2"/>
    <x v="0"/>
  </r>
  <r>
    <s v="242ec3ff603c92ddc1e59d83b9e40a2d"/>
    <x v="115"/>
    <n v="29.99"/>
    <n v="16.79"/>
    <n v="28.873807147050478"/>
    <n v="1.1161928529495206"/>
    <n v="3.8657626521674066E-2"/>
    <x v="1"/>
  </r>
  <r>
    <s v="9cd17b1cc8db0de6b175f213e9054c01"/>
    <x v="284"/>
    <n v="189.99"/>
    <n v="27.41"/>
    <n v="197.95915322256815"/>
    <n v="-7.9691532225681385"/>
    <n v="-4.0256553399217222E-2"/>
    <x v="1"/>
  </r>
  <r>
    <s v="aa8d88eb4b9cb38894e33fa624c4287f"/>
    <x v="22"/>
    <n v="55"/>
    <n v="15.83"/>
    <n v="51.512570527731214"/>
    <n v="3.4874294722687864"/>
    <n v="6.7700552244648091E-2"/>
    <x v="2"/>
  </r>
  <r>
    <s v="caa1675deee5711b3aff1e4f5946266f"/>
    <x v="230"/>
    <n v="58.99"/>
    <n v="15.29"/>
    <n v="61.320180022424587"/>
    <n v="-2.3301800224245852"/>
    <n v="-3.8000214963042282E-2"/>
    <x v="1"/>
  </r>
  <r>
    <s v="eb3569b5cae58e2c6f616f86d3fcd507"/>
    <x v="285"/>
    <n v="99.9"/>
    <n v="17.18"/>
    <n v="98.553389115315198"/>
    <n v="1.3466108846848073"/>
    <n v="1.3663770437251701E-2"/>
    <x v="1"/>
  </r>
  <r>
    <s v="176faef125e3675b4eeaa6083ada61e1"/>
    <x v="69"/>
    <n v="25.99"/>
    <n v="5.31"/>
    <n v="24.391753407339049"/>
    <n v="1.5982465926609493"/>
    <n v="6.5524055034930986E-2"/>
    <x v="2"/>
  </r>
  <r>
    <s v="10dae91e0aba95747e90280edeffe883"/>
    <x v="69"/>
    <n v="25.99"/>
    <n v="9.57"/>
    <n v="27.146421218372453"/>
    <n v="-1.1564212183724543"/>
    <n v="-4.2599398612064521E-2"/>
    <x v="1"/>
  </r>
  <r>
    <s v="629e019a6f298a83aeecc7877964f935"/>
    <x v="165"/>
    <n v="107.9"/>
    <n v="18.559999999999999"/>
    <n v="110.20773106484094"/>
    <n v="-2.3077310648409366"/>
    <n v="-2.0939829198399686E-2"/>
    <x v="1"/>
  </r>
  <r>
    <s v="b0961721fd839e9982420e807758a2a6"/>
    <x v="13"/>
    <n v="53.9"/>
    <n v="33.93"/>
    <n v="59.227223371158772"/>
    <n v="-5.3272233711587731"/>
    <n v="-8.9945519440860919E-2"/>
    <x v="0"/>
  </r>
  <r>
    <s v="b0961721fd839e9982420e807758a2a6"/>
    <x v="13"/>
    <n v="53.9"/>
    <n v="33.93"/>
    <n v="53.23163334332839"/>
    <n v="0.66836665667160844"/>
    <n v="1.2555817184132598E-2"/>
    <x v="1"/>
  </r>
  <r>
    <s v="0bcc3eeca39e1064258aa1e932269894"/>
    <x v="13"/>
    <n v="49.9"/>
    <n v="12.48"/>
    <n v="46.825144853932251"/>
    <n v="3.0748551460677476"/>
    <n v="6.5666751393071862E-2"/>
    <x v="2"/>
  </r>
  <r>
    <s v="87cc2aef12eddf0b170234138b0946e0"/>
    <x v="286"/>
    <n v="185.81"/>
    <n v="17.059999999999999"/>
    <n v="177.85159437254538"/>
    <n v="7.9584056274546242"/>
    <n v="4.4747451691572515E-2"/>
    <x v="1"/>
  </r>
  <r>
    <s v="d5bbfcd27daa6365834ed9d16195d64e"/>
    <x v="188"/>
    <n v="501.9"/>
    <n v="17.260000000000002"/>
    <n v="532.70043638987795"/>
    <n v="-30.800436389877973"/>
    <n v="-5.7819431496270543E-2"/>
    <x v="0"/>
  </r>
  <r>
    <s v="93c902b021a9e594f658ab1b0351602a"/>
    <x v="119"/>
    <n v="97.9"/>
    <n v="16.940000000000001"/>
    <n v="102.90613852176955"/>
    <n v="-5.0061385217695431"/>
    <n v="-4.8647618049631768E-2"/>
    <x v="1"/>
  </r>
  <r>
    <s v="09fbb9fc5bffc1ce6dc2f66289dfcb05"/>
    <x v="17"/>
    <n v="76"/>
    <n v="18.829999999999998"/>
    <n v="79.247795169493813"/>
    <n v="-3.2477951694938128"/>
    <n v="-4.0982782707676406E-2"/>
    <x v="1"/>
  </r>
  <r>
    <s v="cd59f488cef311feb633141ad1e8563d"/>
    <x v="287"/>
    <n v="15.32"/>
    <n v="18"/>
    <n v="14.82111920967437"/>
    <n v="0.49888079032563049"/>
    <n v="3.3660129391577254E-2"/>
    <x v="1"/>
  </r>
  <r>
    <s v="07c055536ebf10dfbb6c6db6dbfc36e5"/>
    <x v="141"/>
    <n v="45.9"/>
    <n v="12.65"/>
    <n v="42.733883024317052"/>
    <n v="3.1661169756829466"/>
    <n v="7.4089147805298128E-2"/>
    <x v="2"/>
  </r>
  <r>
    <s v="741a31499a578979be85db7f80139e62"/>
    <x v="141"/>
    <n v="45.9"/>
    <n v="12.71"/>
    <n v="41.875877975262476"/>
    <n v="4.0241220247375225"/>
    <n v="9.6096421598962298E-2"/>
    <x v="2"/>
  </r>
  <r>
    <s v="8338cef8355d238f43711dcb9c0657b2"/>
    <x v="141"/>
    <n v="45.9"/>
    <n v="12.71"/>
    <n v="50.077161551136655"/>
    <n v="-4.1771615511366562"/>
    <n v="-8.3414503173689619E-2"/>
    <x v="0"/>
  </r>
  <r>
    <s v="422879e10f46682990de24d770e7f83d"/>
    <x v="13"/>
    <n v="53.9"/>
    <n v="0"/>
    <n v="58.678249825846571"/>
    <n v="-4.7782498258465722"/>
    <n v="-8.1431362387735198E-2"/>
    <x v="0"/>
  </r>
  <r>
    <s v="422879e10f46682990de24d770e7f83d"/>
    <x v="13"/>
    <n v="53.9"/>
    <n v="0"/>
    <n v="56.088590370521473"/>
    <n v="-2.1885903705214744"/>
    <n v="-3.9020242014706323E-2"/>
    <x v="1"/>
  </r>
  <r>
    <s v="0ce1e35bdc6af7e582e7ef9363e29b5b"/>
    <x v="288"/>
    <n v="21.99"/>
    <n v="15.1"/>
    <n v="21.644483200094495"/>
    <n v="0.34551679990550355"/>
    <n v="1.5963273260504326E-2"/>
    <x v="1"/>
  </r>
  <r>
    <s v="aede48631330269f65a8d680de491657"/>
    <x v="73"/>
    <n v="83.9"/>
    <n v="28.99"/>
    <n v="86.06220715497615"/>
    <n v="-2.1622071549761444"/>
    <n v="-2.5123770659083368E-2"/>
    <x v="1"/>
  </r>
  <r>
    <s v="5637032095493f280eae8d9da00da6f1"/>
    <x v="289"/>
    <n v="49.99"/>
    <n v="8.8800000000000008"/>
    <n v="51.978671389162571"/>
    <n v="-1.9886713891625689"/>
    <n v="-3.8259373239332206E-2"/>
    <x v="1"/>
  </r>
  <r>
    <s v="e3a23a99f074226ad690393a840c3244"/>
    <x v="290"/>
    <n v="50"/>
    <n v="15.1"/>
    <n v="53.737541127758234"/>
    <n v="-3.7375411277582344"/>
    <n v="-6.9551770500113186E-2"/>
    <x v="0"/>
  </r>
  <r>
    <s v="0c7ec2b24166d57ac38a9db523711782"/>
    <x v="291"/>
    <n v="61.2"/>
    <n v="11.15"/>
    <n v="58.592103841351097"/>
    <n v="2.6078961586489058"/>
    <n v="4.4509344906103122E-2"/>
    <x v="1"/>
  </r>
  <r>
    <s v="5c699beec1e114bd15b35cf8d01ec6b5"/>
    <x v="292"/>
    <n v="81.900000000000006"/>
    <n v="15.32"/>
    <n v="86.458017222342903"/>
    <n v="-4.5580172223428974"/>
    <n v="-5.2719428096773338E-2"/>
    <x v="0"/>
  </r>
  <r>
    <s v="a04f52ded97b5530e8783e3c002b90f0"/>
    <x v="293"/>
    <n v="79.900000000000006"/>
    <n v="12.9"/>
    <n v="87.012943145823002"/>
    <n v="-7.1129431458229959"/>
    <n v="-8.1745805723437912E-2"/>
    <x v="0"/>
  </r>
  <r>
    <s v="8c0bd0d6526379599b74a3a006d4c124"/>
    <x v="294"/>
    <n v="27.99"/>
    <n v="14.08"/>
    <n v="28.355263395102607"/>
    <n v="-0.36526339510260897"/>
    <n v="-1.2881678791447785E-2"/>
    <x v="1"/>
  </r>
  <r>
    <s v="a9e9edb1bcac585bfbfa381ce40e5d99"/>
    <x v="295"/>
    <n v="1820"/>
    <n v="81.62"/>
    <n v="1953.1050164852736"/>
    <n v="-133.10501648527361"/>
    <n v="-6.8150465726007831E-2"/>
    <x v="0"/>
  </r>
  <r>
    <s v="5a6e53c3b4e8684b13388d6aa4afdf12"/>
    <x v="66"/>
    <n v="15.99"/>
    <n v="14.52"/>
    <n v="15.49601822798402"/>
    <n v="0.49398177201597981"/>
    <n v="3.1877980830191964E-2"/>
    <x v="1"/>
  </r>
  <r>
    <s v="a4800b5d0f4850922208a6cefcffed51"/>
    <x v="17"/>
    <n v="240"/>
    <n v="14.7"/>
    <n v="257.42043959836423"/>
    <n v="-17.420439598364226"/>
    <n v="-6.767310173793567E-2"/>
    <x v="0"/>
  </r>
  <r>
    <s v="c4baedd846ed09b85f78a781b522f126"/>
    <x v="109"/>
    <n v="89.99"/>
    <n v="38.47"/>
    <n v="92.496985289359273"/>
    <n v="-2.5069852893592781"/>
    <n v="-2.7103427009179275E-2"/>
    <x v="1"/>
  </r>
  <r>
    <s v="e9eebb8e8ba0fadb9020f8ba1c003b48"/>
    <x v="104"/>
    <n v="399.9"/>
    <n v="13.41"/>
    <n v="366.73905563733751"/>
    <n v="33.160944362662462"/>
    <n v="9.0421087835964767E-2"/>
    <x v="2"/>
  </r>
  <r>
    <s v="42a2bd596fda1baef5719cb74f73030c"/>
    <x v="293"/>
    <n v="89.9"/>
    <n v="17.88"/>
    <n v="97.276968258244651"/>
    <n v="-7.376968258244645"/>
    <n v="-7.5834685129790885E-2"/>
    <x v="0"/>
  </r>
  <r>
    <s v="283dc451ad3918badb976d56ff887289"/>
    <x v="293"/>
    <n v="89.9"/>
    <n v="17.88"/>
    <n v="81.233748891078449"/>
    <n v="8.666251108921557"/>
    <n v="0.10668289014386893"/>
    <x v="2"/>
  </r>
  <r>
    <s v="cdd68c0ef3e507db79631336cf9ec285"/>
    <x v="186"/>
    <n v="78"/>
    <n v="21.35"/>
    <n v="70.418843564685289"/>
    <n v="7.5811564353147105"/>
    <n v="0.10765806496596067"/>
    <x v="2"/>
  </r>
  <r>
    <s v="fc13bac52be6640d9a77f54894e2c0e6"/>
    <x v="296"/>
    <n v="28.8"/>
    <n v="8.36"/>
    <n v="30.906744195490631"/>
    <n v="-2.1067441954906307"/>
    <n v="-6.8164546293362396E-2"/>
    <x v="0"/>
  </r>
  <r>
    <s v="d04857e7b4b708ee8b8b9921163edba3"/>
    <x v="51"/>
    <n v="67.989999999999995"/>
    <n v="8.8800000000000008"/>
    <n v="73.454639854801769"/>
    <n v="-5.4646398548017743"/>
    <n v="-7.439475389987292E-2"/>
    <x v="0"/>
  </r>
  <r>
    <s v="11875b30b49585209e608f40e8082e65"/>
    <x v="297"/>
    <n v="65"/>
    <n v="25.73"/>
    <n v="62.363307113178841"/>
    <n v="2.6366928868211588"/>
    <n v="4.2279555220444097E-2"/>
    <x v="1"/>
  </r>
  <r>
    <s v="3354a4e684f5e7199f9407db70ccd92b"/>
    <x v="37"/>
    <n v="89.99"/>
    <n v="18.21"/>
    <n v="83.972484854614891"/>
    <n v="6.0175151453851043"/>
    <n v="7.1660558286484946E-2"/>
    <x v="2"/>
  </r>
  <r>
    <s v="5c6a3e484e7aebf406c2045718dea406"/>
    <x v="298"/>
    <n v="104.99"/>
    <n v="17.98"/>
    <n v="109.45181646577377"/>
    <n v="-4.4618164657737793"/>
    <n v="-4.0765120304504181E-2"/>
    <x v="1"/>
  </r>
  <r>
    <s v="017692475c1c954ff597feda05131d73"/>
    <x v="299"/>
    <n v="13.99"/>
    <n v="7.78"/>
    <n v="13.948912887834572"/>
    <n v="4.1087112165428152E-2"/>
    <n v="2.9455422437444524E-3"/>
    <x v="1"/>
  </r>
  <r>
    <s v="1716ea399ed8ee62ba811e6f55180f45"/>
    <x v="300"/>
    <n v="3.49"/>
    <n v="16.79"/>
    <n v="3.2523814828565145"/>
    <n v="0.2376185171434857"/>
    <n v="7.3059854262480045E-2"/>
    <x v="2"/>
  </r>
  <r>
    <s v="1716ea399ed8ee62ba811e6f55180f45"/>
    <x v="300"/>
    <n v="3.49"/>
    <n v="16.79"/>
    <n v="3.1472330858832569"/>
    <n v="0.34276691411674332"/>
    <n v="0.10891055881885765"/>
    <x v="2"/>
  </r>
  <r>
    <s v="81a3d1dc085d3226530f23cd4af5030b"/>
    <x v="284"/>
    <n v="29.99"/>
    <n v="16.32"/>
    <n v="32.608183761139202"/>
    <n v="-2.6181837611392034"/>
    <n v="-8.0292229101684084E-2"/>
    <x v="0"/>
  </r>
  <r>
    <s v="35557c68a22ecebcf066e25ca2ddc144"/>
    <x v="145"/>
    <n v="16.899999999999999"/>
    <n v="10.96"/>
    <n v="15.418389901522826"/>
    <n v="1.481610098477173"/>
    <n v="9.609369771683092E-2"/>
    <x v="2"/>
  </r>
  <r>
    <s v="a93ad122024312ca432da7f7b32474b4"/>
    <x v="301"/>
    <n v="63"/>
    <n v="23.35"/>
    <n v="58.811498112920937"/>
    <n v="4.1885018870790631"/>
    <n v="7.1219098670755432E-2"/>
    <x v="2"/>
  </r>
  <r>
    <s v="306b0c58328826c0564cbc520787d508"/>
    <x v="157"/>
    <n v="89"/>
    <n v="23.35"/>
    <n v="87.969070638602858"/>
    <n v="1.030929361397142"/>
    <n v="1.1719225335827822E-2"/>
    <x v="1"/>
  </r>
  <r>
    <s v="9ab817d90bc61ed772ffea01b4cdcdb6"/>
    <x v="302"/>
    <n v="159"/>
    <n v="19.21"/>
    <n v="163.42861939751032"/>
    <n v="-4.4286193975103174"/>
    <n v="-2.7098187660378553E-2"/>
    <x v="1"/>
  </r>
  <r>
    <s v="e2c3ed9aaddfd2312a6a5fe9b3ddadd3"/>
    <x v="81"/>
    <n v="99.99"/>
    <n v="16.95"/>
    <n v="106.9040695268734"/>
    <n v="-6.9140695268734049"/>
    <n v="-6.4675456766735667E-2"/>
    <x v="0"/>
  </r>
  <r>
    <s v="f2af004352a06a99dca765596240cbc3"/>
    <x v="41"/>
    <n v="23.89"/>
    <n v="8.7200000000000006"/>
    <n v="23.397084952759137"/>
    <n v="0.49291504724086366"/>
    <n v="2.1067370069224624E-2"/>
    <x v="1"/>
  </r>
  <r>
    <s v="4f2c53c9a1a7a00a247b351c1fdbed13"/>
    <x v="278"/>
    <n v="21.99"/>
    <n v="15.1"/>
    <n v="22.770620630307487"/>
    <n v="-0.78062063030748874"/>
    <n v="-3.4281921559418976E-2"/>
    <x v="1"/>
  </r>
  <r>
    <s v="8317b177579dd27ff068b83205e2169b"/>
    <x v="87"/>
    <n v="188"/>
    <n v="16.07"/>
    <n v="200.87819337465376"/>
    <n v="-12.878193374653762"/>
    <n v="-6.4109464339092842E-2"/>
    <x v="0"/>
  </r>
  <r>
    <s v="bcac2cdcd851929a5caa3e1508d5abc9"/>
    <x v="303"/>
    <n v="109.9"/>
    <n v="13.11"/>
    <n v="106.41918177787208"/>
    <n v="3.4808182221279225"/>
    <n v="3.2708560279982292E-2"/>
    <x v="1"/>
  </r>
  <r>
    <s v="f2bcc887769f563eb4f126389e64715a"/>
    <x v="304"/>
    <n v="59.9"/>
    <n v="14.73"/>
    <n v="59.860653729333364"/>
    <n v="3.9346270666634098E-2"/>
    <n v="6.5729771085599326E-4"/>
    <x v="1"/>
  </r>
  <r>
    <s v="2d4d78eecba060a7127c5f6a21cdb0c7"/>
    <x v="47"/>
    <n v="139.9"/>
    <n v="16.739999999999998"/>
    <n v="135.72208729480414"/>
    <n v="4.1779127051958653"/>
    <n v="3.0782850370706084E-2"/>
    <x v="1"/>
  </r>
  <r>
    <s v="3cb39171fd36c50097f2dedbbe0dfe6e"/>
    <x v="27"/>
    <n v="28.49"/>
    <n v="18.23"/>
    <n v="26.596022420616524"/>
    <n v="1.8939775793834741"/>
    <n v="7.1212813308328141E-2"/>
    <x v="2"/>
  </r>
  <r>
    <s v="54d7ad85b648d3cb2b7069ed446d7f35"/>
    <x v="36"/>
    <n v="154.91"/>
    <n v="46.67"/>
    <n v="162.7604745248334"/>
    <n v="-7.8504745248334018"/>
    <n v="-4.8233298334575729E-2"/>
    <x v="1"/>
  </r>
  <r>
    <s v="54d7ad85b648d3cb2b7069ed446d7f35"/>
    <x v="36"/>
    <n v="154.91"/>
    <n v="46.67"/>
    <n v="158.6918063680655"/>
    <n v="-3.781806368065503"/>
    <n v="-2.3831138195592048E-2"/>
    <x v="1"/>
  </r>
  <r>
    <s v="29427de7f8a9ee983d9dbc51cec569b4"/>
    <x v="37"/>
    <n v="99.99"/>
    <n v="11.9"/>
    <n v="102.32450049632084"/>
    <n v="-2.3345004963208424"/>
    <n v="-2.2814677667591265E-2"/>
    <x v="1"/>
  </r>
  <r>
    <s v="6782d593f63105318f46bbf7633279bf"/>
    <x v="305"/>
    <n v="27.9"/>
    <n v="3.81"/>
    <n v="25.173851843202918"/>
    <n v="2.7261481567970804"/>
    <n v="0.10829284981007607"/>
    <x v="2"/>
  </r>
  <r>
    <s v="e95ee6822b66ac6058e2e4aff656071a"/>
    <x v="31"/>
    <n v="21.33"/>
    <n v="25.39"/>
    <n v="21.533114908451441"/>
    <n v="-0.2031149084514432"/>
    <n v="-9.4326765688564403E-3"/>
    <x v="1"/>
  </r>
  <r>
    <s v="d7cdea99e6f50310c242d02f16f1f63c"/>
    <x v="306"/>
    <n v="504"/>
    <n v="19.72"/>
    <n v="456.71015709129966"/>
    <n v="47.289842908700336"/>
    <n v="0.10354453951687953"/>
    <x v="2"/>
  </r>
  <r>
    <s v="f77dd338d9f75229a09cbb9a18fd0c9a"/>
    <x v="19"/>
    <n v="25"/>
    <n v="14.1"/>
    <n v="25.415317563319789"/>
    <n v="-0.41531756331978897"/>
    <n v="-1.6341230530960933E-2"/>
    <x v="1"/>
  </r>
  <r>
    <s v="f9471562478eba8761bc985b968a0092"/>
    <x v="307"/>
    <n v="54.9"/>
    <n v="23.31"/>
    <n v="51.00848401806266"/>
    <n v="3.8915159819373386"/>
    <n v="7.6291543590264521E-2"/>
    <x v="2"/>
  </r>
  <r>
    <s v="f9471562478eba8761bc985b968a0092"/>
    <x v="307"/>
    <n v="54.9"/>
    <n v="23.31"/>
    <n v="55.202526974620937"/>
    <n v="-0.30252697462093892"/>
    <n v="-5.4803102539132684E-3"/>
    <x v="1"/>
  </r>
  <r>
    <s v="f9471562478eba8761bc985b968a0092"/>
    <x v="307"/>
    <n v="54.9"/>
    <n v="23.31"/>
    <n v="52.450086054702055"/>
    <n v="2.4499139452979435"/>
    <n v="4.6709436143590716E-2"/>
    <x v="1"/>
  </r>
  <r>
    <s v="f9471562478eba8761bc985b968a0092"/>
    <x v="307"/>
    <n v="54.9"/>
    <n v="23.31"/>
    <n v="56.085950040246175"/>
    <n v="-1.1859500402461762"/>
    <n v="-2.1145225130271696E-2"/>
    <x v="1"/>
  </r>
  <r>
    <s v="ed08ea04c92f5f434c2362f7310fb328"/>
    <x v="303"/>
    <n v="5.53"/>
    <n v="11.85"/>
    <n v="5.8045187425593356"/>
    <n v="-0.27451874255933539"/>
    <n v="-4.7293971254935466E-2"/>
    <x v="1"/>
  </r>
  <r>
    <s v="ed08ea04c92f5f434c2362f7310fb328"/>
    <x v="303"/>
    <n v="5.53"/>
    <n v="11.85"/>
    <n v="5.7816004707114868"/>
    <n v="-0.2516004707114865"/>
    <n v="-4.3517443307618316E-2"/>
    <x v="1"/>
  </r>
  <r>
    <s v="ed08ea04c92f5f434c2362f7310fb328"/>
    <x v="303"/>
    <n v="5.53"/>
    <n v="11.85"/>
    <n v="6.009804345616744"/>
    <n v="-0.47980434561674379"/>
    <n v="-7.9836932789116424E-2"/>
    <x v="0"/>
  </r>
  <r>
    <s v="ed08ea04c92f5f434c2362f7310fb328"/>
    <x v="303"/>
    <n v="5.53"/>
    <n v="11.85"/>
    <n v="5.8776699290875243"/>
    <n v="-0.34766992908752403"/>
    <n v="-5.915097875213586E-2"/>
    <x v="0"/>
  </r>
  <r>
    <s v="ed08ea04c92f5f434c2362f7310fb328"/>
    <x v="303"/>
    <n v="5.53"/>
    <n v="11.85"/>
    <n v="5.529065658445214"/>
    <n v="9.3434155478622216E-4"/>
    <n v="1.6898724169771591E-4"/>
    <x v="1"/>
  </r>
  <r>
    <s v="e1fad996d18315862e15d09446c5c65d"/>
    <x v="308"/>
    <n v="127.45"/>
    <n v="23.69"/>
    <n v="118.37766852790634"/>
    <n v="9.0723314720936656"/>
    <n v="7.6638876106560214E-2"/>
    <x v="2"/>
  </r>
  <r>
    <s v="b0ed7fe63babb3e705115f53fa74b20c"/>
    <x v="309"/>
    <n v="29"/>
    <n v="8.8800000000000008"/>
    <n v="29.494218837594197"/>
    <n v="-0.49421883759419671"/>
    <n v="-1.6756464726716238E-2"/>
    <x v="1"/>
  </r>
  <r>
    <s v="145978af3e89b318be0b717a0953649a"/>
    <x v="310"/>
    <n v="19.899999999999999"/>
    <n v="18.239999999999998"/>
    <n v="20.901848934064937"/>
    <n v="-1.0018489340649381"/>
    <n v="-4.7931115435064106E-2"/>
    <x v="1"/>
  </r>
  <r>
    <s v="8ef8561be5799da29925c5baaf083a13"/>
    <x v="311"/>
    <n v="135"/>
    <n v="23.75"/>
    <n v="143.29228712415284"/>
    <n v="-8.2922871241528355"/>
    <n v="-5.7869738075770567E-2"/>
    <x v="0"/>
  </r>
  <r>
    <s v="595fac2a385ac33a80bd5114aec74eb8"/>
    <x v="172"/>
    <n v="119.9"/>
    <n v="15.72"/>
    <n v="113.01312120814941"/>
    <n v="6.8868787918505916"/>
    <n v="6.0938753998009007E-2"/>
    <x v="2"/>
  </r>
  <r>
    <s v="33f789f4b4fa74053af0199658b78853"/>
    <x v="268"/>
    <n v="30"/>
    <n v="12.69"/>
    <n v="32.730655429760198"/>
    <n v="-2.7306554297601977"/>
    <n v="-8.3428070532231433E-2"/>
    <x v="0"/>
  </r>
  <r>
    <s v="33f789f4b4fa74053af0199658b78853"/>
    <x v="268"/>
    <n v="30"/>
    <n v="12.69"/>
    <n v="29.086245181457041"/>
    <n v="0.9137548185429587"/>
    <n v="3.1415358456975823E-2"/>
    <x v="1"/>
  </r>
  <r>
    <s v="394b16cd32e9f883365dd7ebac4edbe0"/>
    <x v="33"/>
    <n v="14.4"/>
    <n v="14.1"/>
    <n v="15.157901295621189"/>
    <n v="-0.75790129562118835"/>
    <n v="-5.0000411062191753E-2"/>
    <x v="0"/>
  </r>
  <r>
    <s v="363218ba55c610b750224f90bdd34be1"/>
    <x v="312"/>
    <n v="79.989999999999995"/>
    <n v="14.31"/>
    <n v="85.469446494402078"/>
    <n v="-5.4794464944020831"/>
    <n v="-6.4110003271882265E-2"/>
    <x v="0"/>
  </r>
  <r>
    <s v="c9bd28e8a4220af0723c7b7f97778681"/>
    <x v="239"/>
    <n v="129.9"/>
    <n v="18.34"/>
    <n v="121.38357143396775"/>
    <n v="8.5164285660322605"/>
    <n v="7.0161295020596495E-2"/>
    <x v="2"/>
  </r>
  <r>
    <s v="6e77b89d36e50217e6793780a8ce5c82"/>
    <x v="20"/>
    <n v="37.99"/>
    <n v="7.78"/>
    <n v="40.568957301423367"/>
    <n v="-2.5789573014233653"/>
    <n v="-6.3569721111192634E-2"/>
    <x v="0"/>
  </r>
  <r>
    <s v="586328f570ac0b651d452f1227db4d1c"/>
    <x v="229"/>
    <n v="79"/>
    <n v="15.3"/>
    <n v="74.615322234810378"/>
    <n v="4.3846777651896218"/>
    <n v="5.8763771754429719E-2"/>
    <x v="2"/>
  </r>
  <r>
    <s v="9bde344a67494559d37249506076d638"/>
    <x v="62"/>
    <n v="219.9"/>
    <n v="20.51"/>
    <n v="222.37908145852847"/>
    <n v="-2.4790814585284693"/>
    <n v="-1.1147997564648605E-2"/>
    <x v="1"/>
  </r>
  <r>
    <s v="cdc4af478fef19f03f1d0353c00271cd"/>
    <x v="105"/>
    <n v="19.899999999999999"/>
    <n v="12.69"/>
    <n v="19.396254344685069"/>
    <n v="0.50374565531492976"/>
    <n v="2.5971285298852835E-2"/>
    <x v="1"/>
  </r>
  <r>
    <s v="98d61056e0568ba048e5d78038790e77"/>
    <x v="161"/>
    <n v="169"/>
    <n v="20.09"/>
    <n v="182.92130271302727"/>
    <n v="-13.921302713027274"/>
    <n v="-7.6105420782332026E-2"/>
    <x v="0"/>
  </r>
  <r>
    <s v="060cb19345d90064d1015407193c233d"/>
    <x v="161"/>
    <n v="147.9"/>
    <n v="16.71"/>
    <n v="140.15587560033882"/>
    <n v="7.7441243996611888"/>
    <n v="5.5253655021527105E-2"/>
    <x v="2"/>
  </r>
  <r>
    <s v="fb19ac22e32dfecea21afbdde4b97b5f"/>
    <x v="166"/>
    <n v="211.05"/>
    <n v="14.14"/>
    <n v="211.10388147923672"/>
    <n v="-5.3881479236707719E-2"/>
    <n v="-2.5523680028596379E-4"/>
    <x v="1"/>
  </r>
  <r>
    <s v="5f504b3a1c75b73d6151be81eb05bdc9"/>
    <x v="313"/>
    <n v="610"/>
    <n v="37.54"/>
    <n v="565.39705661764378"/>
    <n v="44.602943382356216"/>
    <n v="7.8887823805067078E-2"/>
    <x v="2"/>
  </r>
  <r>
    <s v="5411e9269501a870cabf632f05655131"/>
    <x v="105"/>
    <n v="129"/>
    <n v="38.450000000000003"/>
    <n v="131.31728870402787"/>
    <n v="-2.3172887040278738"/>
    <n v="-1.7646486056003958E-2"/>
    <x v="1"/>
  </r>
  <r>
    <s v="83b23a333b811855258c5ec9431f6d3e"/>
    <x v="155"/>
    <n v="16"/>
    <n v="7.78"/>
    <n v="14.590891760918018"/>
    <n v="1.4091082390819825"/>
    <n v="9.6574511151971243E-2"/>
    <x v="2"/>
  </r>
  <r>
    <s v="a00722035cea70bbf671b758459cde42"/>
    <x v="314"/>
    <n v="189"/>
    <n v="53.11"/>
    <n v="195.94995366282848"/>
    <n v="-6.9499536628284773"/>
    <n v="-3.546800360456976E-2"/>
    <x v="1"/>
  </r>
  <r>
    <s v="91b08d34d0ba4db44da2dc382867ba49"/>
    <x v="315"/>
    <n v="12.99"/>
    <n v="18.23"/>
    <n v="12.461071883002582"/>
    <n v="0.52892811699741848"/>
    <n v="4.2446438152635838E-2"/>
    <x v="1"/>
  </r>
  <r>
    <s v="6ed0ed10d62b45f3de46933b0b2989a6"/>
    <x v="316"/>
    <n v="109.9"/>
    <n v="11.97"/>
    <n v="106.91687671574104"/>
    <n v="2.9831232842589657"/>
    <n v="2.790133209923602E-2"/>
    <x v="1"/>
  </r>
  <r>
    <s v="2136c70bbe723d338fab53da3c03e6dc"/>
    <x v="22"/>
    <n v="29"/>
    <n v="15.3"/>
    <n v="28.808638184640429"/>
    <n v="0.19136181535957064"/>
    <n v="6.6425151419200659E-3"/>
    <x v="1"/>
  </r>
  <r>
    <s v="d36d9ea1497c1e294498cc39df08a687"/>
    <x v="316"/>
    <n v="159.9"/>
    <n v="8.3699999999999992"/>
    <n v="159.19712566108234"/>
    <n v="0.70287433891766682"/>
    <n v="4.4151195318314273E-3"/>
    <x v="1"/>
  </r>
  <r>
    <s v="2fc7741cb6ea76e7164f448adc44652d"/>
    <x v="293"/>
    <n v="59.9"/>
    <n v="9.26"/>
    <n v="56.515405915946772"/>
    <n v="3.3845940840532265"/>
    <n v="5.9887990348808699E-2"/>
    <x v="2"/>
  </r>
  <r>
    <s v="78b7b1ff2d3f06a589354ddf2f4f9db3"/>
    <x v="104"/>
    <n v="292.89999999999998"/>
    <n v="26.54"/>
    <n v="306.46366056925382"/>
    <n v="-13.563660569253841"/>
    <n v="-4.4258626109403801E-2"/>
    <x v="1"/>
  </r>
  <r>
    <s v="a0eccc912d428eaddf1ef4fe47593ece"/>
    <x v="317"/>
    <n v="143"/>
    <n v="94.98"/>
    <n v="131.17832871707648"/>
    <n v="11.821671282923518"/>
    <n v="9.0119087493638728E-2"/>
    <x v="2"/>
  </r>
  <r>
    <s v="a0eccc912d428eaddf1ef4fe47593ece"/>
    <x v="317"/>
    <n v="143"/>
    <n v="94.98"/>
    <n v="132.06049340117713"/>
    <n v="10.939506598822874"/>
    <n v="8.2837087133928303E-2"/>
    <x v="2"/>
  </r>
  <r>
    <s v="f7a17d2c51d9df89a4f1711c4ac17f33"/>
    <x v="145"/>
    <n v="52.9"/>
    <n v="9.09"/>
    <n v="57.533660859751919"/>
    <n v="-4.6336608597519202"/>
    <n v="-8.053825865604583E-2"/>
    <x v="0"/>
  </r>
  <r>
    <s v="6f7400c1577bd99fb7c9cd196edb6ae2"/>
    <x v="233"/>
    <n v="99.9"/>
    <n v="25.54"/>
    <n v="109.83552534174125"/>
    <n v="-9.9355253417412399"/>
    <n v="-9.0458212958220374E-2"/>
    <x v="0"/>
  </r>
  <r>
    <s v="bd6e8cf9fe4122c385da2bcb9f979d5d"/>
    <x v="112"/>
    <n v="49"/>
    <n v="34.15"/>
    <n v="45.880209975740492"/>
    <n v="3.1197900242595082"/>
    <n v="6.799859952491763E-2"/>
    <x v="2"/>
  </r>
  <r>
    <s v="f0af7ec9760e53f21277444f32ee3308"/>
    <x v="141"/>
    <n v="99.9"/>
    <n v="24.9"/>
    <n v="92.373194103037122"/>
    <n v="7.5268058969628839"/>
    <n v="8.1482576953733496E-2"/>
    <x v="2"/>
  </r>
  <r>
    <s v="b92421ea3b457d6bb68c49f39d4e97a8"/>
    <x v="268"/>
    <n v="32.5"/>
    <n v="15.1"/>
    <n v="29.70346229244554"/>
    <n v="2.7965377075544602"/>
    <n v="9.4148543359058229E-2"/>
    <x v="2"/>
  </r>
  <r>
    <s v="9a060643636bd1e41788cb32262ac9ef"/>
    <x v="318"/>
    <n v="15"/>
    <n v="7.78"/>
    <n v="15.617695379694496"/>
    <n v="-0.61769537969449573"/>
    <n v="-3.9550994220158668E-2"/>
    <x v="1"/>
  </r>
  <r>
    <s v="9391a573abe00141c56e38d84d7d5b3b"/>
    <x v="12"/>
    <n v="230"/>
    <n v="16.36"/>
    <n v="246.83599608893473"/>
    <n v="-16.835996088934735"/>
    <n v="-6.8207215947826125E-2"/>
    <x v="0"/>
  </r>
  <r>
    <s v="6fc983af1a5229efebcc40ab26d6226c"/>
    <x v="319"/>
    <n v="79.989999999999995"/>
    <n v="9.76"/>
    <n v="77.393115582642665"/>
    <n v="2.5968844173573302"/>
    <n v="3.3554462794359273E-2"/>
    <x v="1"/>
  </r>
  <r>
    <s v="b59b5899ecf4bcc294a72fdd48adaa94"/>
    <x v="320"/>
    <n v="29.99"/>
    <n v="7.78"/>
    <n v="29.011995074688802"/>
    <n v="0.97800492531119687"/>
    <n v="3.3710364378368676E-2"/>
    <x v="1"/>
  </r>
  <r>
    <s v="c6ea63369936552872ae890c82175b4b"/>
    <x v="249"/>
    <n v="219.99"/>
    <n v="15.14"/>
    <n v="205.90290851740551"/>
    <n v="14.087091482594502"/>
    <n v="6.8416185006943131E-2"/>
    <x v="2"/>
  </r>
  <r>
    <s v="7c1bd920dbdf22470b68bde975dd3ccf"/>
    <x v="10"/>
    <n v="59.99"/>
    <n v="7.78"/>
    <n v="62.435145011540513"/>
    <n v="-2.4451450115405109"/>
    <n v="-3.9162958796500759E-2"/>
    <x v="1"/>
  </r>
  <r>
    <s v="9d8a0e115e802d845b4ce1eb794d1260"/>
    <x v="321"/>
    <n v="120"/>
    <n v="7.87"/>
    <n v="130.10157054401182"/>
    <n v="-10.101570544011821"/>
    <n v="-7.7643724835701186E-2"/>
    <x v="0"/>
  </r>
  <r>
    <s v="94976cc078d10e74c19c62f0b3b52432"/>
    <x v="34"/>
    <n v="139"/>
    <n v="23.55"/>
    <n v="143.03832991115442"/>
    <n v="-4.0383299111544204"/>
    <n v="-2.823250183124169E-2"/>
    <x v="1"/>
  </r>
  <r>
    <s v="521a361808bedd9fffb32181e501e09b"/>
    <x v="322"/>
    <n v="149.9"/>
    <n v="8.3000000000000007"/>
    <n v="140.14777915993463"/>
    <n v="9.7522208400653767"/>
    <n v="6.9585268482465795E-2"/>
    <x v="2"/>
  </r>
  <r>
    <s v="159e7e73295b609960c0797eb64b3d39"/>
    <x v="323"/>
    <n v="139"/>
    <n v="22.68"/>
    <n v="127.19023167776422"/>
    <n v="11.809768322235783"/>
    <n v="9.285122109185058E-2"/>
    <x v="2"/>
  </r>
  <r>
    <s v="c6dd917a0be2a704582055949915ab32"/>
    <x v="37"/>
    <n v="99.99"/>
    <n v="12.09"/>
    <n v="91.648217499095054"/>
    <n v="8.3417825009049409"/>
    <n v="9.1019582579304481E-2"/>
    <x v="2"/>
  </r>
  <r>
    <s v="304104a478e3a605db6072a22e4ee228"/>
    <x v="324"/>
    <n v="299"/>
    <n v="22.58"/>
    <n v="298.93817241382408"/>
    <n v="6.1827586175922988E-2"/>
    <n v="2.0682399198699268E-4"/>
    <x v="1"/>
  </r>
  <r>
    <s v="304104a478e3a605db6072a22e4ee228"/>
    <x v="324"/>
    <n v="299"/>
    <n v="22.58"/>
    <n v="294.21799992137665"/>
    <n v="4.782000078623355"/>
    <n v="1.6253254661173826E-2"/>
    <x v="1"/>
  </r>
  <r>
    <s v="601a360bd2a916ecef0e88de72a6531a"/>
    <x v="37"/>
    <n v="129.99"/>
    <n v="17.649999999999999"/>
    <n v="134.32633454867101"/>
    <n v="-4.3363345486710045"/>
    <n v="-3.2282087970619065E-2"/>
    <x v="1"/>
  </r>
  <r>
    <s v="79c0ace2ccf0da036e787875a49151a4"/>
    <x v="267"/>
    <n v="379"/>
    <n v="36.96"/>
    <n v="344.96394003623232"/>
    <n v="34.036059963767684"/>
    <n v="9.8665558957242896E-2"/>
    <x v="2"/>
  </r>
  <r>
    <s v="6c321ed0f47858a8650f4104771224b5"/>
    <x v="22"/>
    <n v="49"/>
    <n v="11.85"/>
    <n v="45.998408520575325"/>
    <n v="3.0015914794246754"/>
    <n v="6.5254246309022809E-2"/>
    <x v="2"/>
  </r>
  <r>
    <s v="566d15b940c0d5e7a0a37c82b8ce353f"/>
    <x v="137"/>
    <n v="129.9"/>
    <n v="16.670000000000002"/>
    <n v="123.6211941334731"/>
    <n v="6.2788058665269091"/>
    <n v="5.07906909534276E-2"/>
    <x v="2"/>
  </r>
  <r>
    <s v="9aed412277ca4485a7bf6e0c53e65786"/>
    <x v="103"/>
    <n v="36.9"/>
    <n v="34.15"/>
    <n v="34.377141589975309"/>
    <n v="2.5228584100246891"/>
    <n v="7.3387672544606736E-2"/>
    <x v="2"/>
  </r>
  <r>
    <s v="68bfdbfe84f03af17733b10362f10020"/>
    <x v="325"/>
    <n v="45"/>
    <n v="17.190000000000001"/>
    <n v="46.054708444334189"/>
    <n v="-1.0547084443341888"/>
    <n v="-2.2901207714928932E-2"/>
    <x v="1"/>
  </r>
  <r>
    <s v="b1cbf530dc2a793ced8e0768ffcce501"/>
    <x v="326"/>
    <n v="45"/>
    <n v="7.78"/>
    <n v="44.104741055732937"/>
    <n v="0.89525894426706287"/>
    <n v="2.0298474105896445E-2"/>
    <x v="1"/>
  </r>
  <r>
    <s v="429de6049b45a9fcb96aff1603f55d3c"/>
    <x v="51"/>
    <n v="29.99"/>
    <n v="7.78"/>
    <n v="29.217799435949459"/>
    <n v="0.77220056405053938"/>
    <n v="2.64291144082681E-2"/>
    <x v="1"/>
  </r>
  <r>
    <s v="b0cd550945da1de6eb9cb69595d540df"/>
    <x v="222"/>
    <n v="84.9"/>
    <n v="18.52"/>
    <n v="91.003096048411834"/>
    <n v="-6.1030960484118282"/>
    <n v="-6.7064707833292866E-2"/>
    <x v="0"/>
  </r>
  <r>
    <s v="aca2eb7d00ea1a7b8ebd4e68314663af"/>
    <x v="52"/>
    <n v="75"/>
    <n v="20.02"/>
    <n v="82.414149409036312"/>
    <n v="-7.4141494090363125"/>
    <n v="-8.9962093429352158E-2"/>
    <x v="0"/>
  </r>
  <r>
    <s v="145978af3e89b318be0b717a0953649a"/>
    <x v="310"/>
    <n v="19"/>
    <n v="18.23"/>
    <n v="19.273779370579561"/>
    <n v="-0.27377937057956103"/>
    <n v="-1.420475794163501E-2"/>
    <x v="1"/>
  </r>
  <r>
    <s v="6de2587eae9fb1ee54a853aac774ade1"/>
    <x v="89"/>
    <n v="34.99"/>
    <n v="7.78"/>
    <n v="37.634698562654343"/>
    <n v="-2.6446985626543409"/>
    <n v="-7.0272877521562707E-2"/>
    <x v="0"/>
  </r>
  <r>
    <s v="42a2c92a0979a949ca4ea89ec5c7b934"/>
    <x v="327"/>
    <n v="59.9"/>
    <n v="21.26"/>
    <n v="64.949624962667158"/>
    <n v="-5.0496249626671599"/>
    <n v="-7.7746791695404993E-2"/>
    <x v="0"/>
  </r>
  <r>
    <s v="68bf2e76db1d8e846042e54da87399ca"/>
    <x v="236"/>
    <n v="85.9"/>
    <n v="17.850000000000001"/>
    <n v="91.77146589856153"/>
    <n v="-5.8714658985615245"/>
    <n v="-6.3979210107109732E-2"/>
    <x v="0"/>
  </r>
  <r>
    <s v="b3145c36d221143053908beb4564bad9"/>
    <x v="328"/>
    <n v="64.900000000000006"/>
    <n v="19.420000000000002"/>
    <n v="59.759907656681499"/>
    <n v="5.1400923433185071"/>
    <n v="8.6012387650398509E-2"/>
    <x v="2"/>
  </r>
  <r>
    <s v="7a10781637204d8d10485c71a6108a2e"/>
    <x v="87"/>
    <n v="219"/>
    <n v="24.11"/>
    <n v="226.756605006293"/>
    <n v="-7.7566050062930003"/>
    <n v="-3.4206743420231299E-2"/>
    <x v="1"/>
  </r>
  <r>
    <s v="fbd4031ddbc3d02b95834b62769d3ad0"/>
    <x v="256"/>
    <n v="138"/>
    <n v="25.81"/>
    <n v="149.24187421495216"/>
    <n v="-11.241874214952162"/>
    <n v="-7.532654138851512E-2"/>
    <x v="0"/>
  </r>
  <r>
    <s v="33a8f9ff2a9a41c0c49a24d12e106151"/>
    <x v="145"/>
    <n v="30.9"/>
    <n v="15.1"/>
    <n v="29.287813153751543"/>
    <n v="1.6121868462484557"/>
    <n v="5.5046337457323846E-2"/>
    <x v="2"/>
  </r>
  <r>
    <s v="f71f42e2381752836563b70beb542f80"/>
    <x v="150"/>
    <n v="31.9"/>
    <n v="16.79"/>
    <n v="33.550198459920082"/>
    <n v="-1.6501984599200838"/>
    <n v="-4.9185952264677445E-2"/>
    <x v="1"/>
  </r>
  <r>
    <s v="f399bbedb1d21192dffefc4a8b30a229"/>
    <x v="85"/>
    <n v="71"/>
    <n v="10.7"/>
    <n v="67.813075067163254"/>
    <n v="3.1869249328367459"/>
    <n v="4.6995729506151426E-2"/>
    <x v="1"/>
  </r>
  <r>
    <s v="e0bb3159111d86828b5caef8725ff055"/>
    <x v="329"/>
    <n v="101"/>
    <n v="26.75"/>
    <n v="103.48038534093806"/>
    <n v="-2.4803853409380565"/>
    <n v="-2.3969618326853938E-2"/>
    <x v="1"/>
  </r>
  <r>
    <s v="19421075ae0b585f2dc13ff149e2119d"/>
    <x v="142"/>
    <n v="45.9"/>
    <n v="7.78"/>
    <n v="48.836329248449545"/>
    <n v="-2.936329248449546"/>
    <n v="-6.0125920470215699E-2"/>
    <x v="0"/>
  </r>
  <r>
    <s v="7088744b00831b410bd17716cb578f39"/>
    <x v="330"/>
    <n v="35"/>
    <n v="16.11"/>
    <n v="35.738768120567954"/>
    <n v="-0.73876812056795416"/>
    <n v="-2.0671337021904431E-2"/>
    <x v="1"/>
  </r>
  <r>
    <s v="7088744b00831b410bd17716cb578f39"/>
    <x v="330"/>
    <n v="35"/>
    <n v="16.11"/>
    <n v="34.531238954182221"/>
    <n v="0.46876104581777867"/>
    <n v="1.3574984854721093E-2"/>
    <x v="1"/>
  </r>
  <r>
    <s v="ea3be87c5c6c69043c9eb7836199c200"/>
    <x v="12"/>
    <n v="59.9"/>
    <n v="15.17"/>
    <n v="60.511538501709147"/>
    <n v="-0.61153850170914836"/>
    <n v="-1.0106146973801954E-2"/>
    <x v="1"/>
  </r>
  <r>
    <s v="382132cf96c88a277a65226833af5f61"/>
    <x v="47"/>
    <n v="59.9"/>
    <n v="9.34"/>
    <n v="60.194144983277823"/>
    <n v="-0.29414498327782468"/>
    <n v="-4.8866045586250847E-3"/>
    <x v="1"/>
  </r>
  <r>
    <s v="e988092a8afe5d9393a5c3a7ca17691c"/>
    <x v="331"/>
    <n v="49.8"/>
    <n v="7.39"/>
    <n v="49.049077270014408"/>
    <n v="0.7509227299855894"/>
    <n v="1.5309619910926589E-2"/>
    <x v="1"/>
  </r>
  <r>
    <s v="e988092a8afe5d9393a5c3a7ca17691c"/>
    <x v="331"/>
    <n v="49.8"/>
    <n v="7.39"/>
    <n v="53.653315006136431"/>
    <n v="-3.8533150061364339"/>
    <n v="-7.1818768433893093E-2"/>
    <x v="0"/>
  </r>
  <r>
    <s v="609c35bf8122d5ab8186ed7a6bfcd843"/>
    <x v="332"/>
    <n v="7.5"/>
    <n v="7.39"/>
    <n v="7.1399986336510866"/>
    <n v="0.36000136634891344"/>
    <n v="5.042036908133473E-2"/>
    <x v="2"/>
  </r>
  <r>
    <s v="609c35bf8122d5ab8186ed7a6bfcd843"/>
    <x v="332"/>
    <n v="7.5"/>
    <n v="7.39"/>
    <n v="7.6486382932425645"/>
    <n v="-0.1486382932425645"/>
    <n v="-1.9433301398744895E-2"/>
    <x v="1"/>
  </r>
  <r>
    <s v="f42892b40225227fe465626ff509a92e"/>
    <x v="12"/>
    <n v="89.9"/>
    <n v="15.33"/>
    <n v="97.654999502592275"/>
    <n v="-7.7549995025922698"/>
    <n v="-7.941221178733826E-2"/>
    <x v="0"/>
  </r>
  <r>
    <s v="83309bfd8eef19fbfaa8e790b824b572"/>
    <x v="12"/>
    <n v="76.900000000000006"/>
    <n v="15.34"/>
    <n v="74.227057563076869"/>
    <n v="2.6729424369231367"/>
    <n v="3.6010351544000195E-2"/>
    <x v="1"/>
  </r>
  <r>
    <s v="060c17562f97e5bb60bc0dfa4dd5b3f2"/>
    <x v="51"/>
    <n v="24.99"/>
    <n v="15.28"/>
    <n v="25.945133247090084"/>
    <n v="-0.95513324709008529"/>
    <n v="-3.6813580334847953E-2"/>
    <x v="1"/>
  </r>
  <r>
    <s v="aca2eb7d00ea1a7b8ebd4e68314663af"/>
    <x v="52"/>
    <n v="69.900000000000006"/>
    <n v="17.399999999999999"/>
    <n v="71.054969777636401"/>
    <n v="-1.1549697776363956"/>
    <n v="-1.6254595297849339E-2"/>
    <x v="1"/>
  </r>
  <r>
    <s v="c9c6fde711572c1ad99ca12728c6af00"/>
    <x v="320"/>
    <n v="29.99"/>
    <n v="34.15"/>
    <n v="30.208334722507157"/>
    <n v="-0.21833472250715857"/>
    <n v="-7.2276318609673356E-3"/>
    <x v="1"/>
  </r>
  <r>
    <s v="bc74f63361c15c1a5baa5b97ac432e62"/>
    <x v="87"/>
    <n v="234.9"/>
    <n v="16.39"/>
    <n v="219.87748080067465"/>
    <n v="15.022519199325359"/>
    <n v="6.8322227199536234E-2"/>
    <x v="2"/>
  </r>
  <r>
    <s v="59089e1668cc247d055ca3f9149093fc"/>
    <x v="333"/>
    <n v="159.9"/>
    <n v="25.96"/>
    <n v="153.52006440305368"/>
    <n v="6.3799355969463249"/>
    <n v="4.155766623570685E-2"/>
    <x v="1"/>
  </r>
  <r>
    <s v="368c6c730842d78016ad823897a372db"/>
    <x v="13"/>
    <n v="49.9"/>
    <n v="17.600000000000001"/>
    <n v="49.17705438461482"/>
    <n v="0.72294561538517854"/>
    <n v="1.4700872682023714E-2"/>
    <x v="1"/>
  </r>
  <r>
    <s v="f4d705aa95ccca448e5b0deb6e5290ba"/>
    <x v="293"/>
    <n v="24.9"/>
    <n v="9.09"/>
    <n v="23.943268673490653"/>
    <n v="0.95673132650934534"/>
    <n v="3.9958258814036224E-2"/>
    <x v="1"/>
  </r>
  <r>
    <s v="372124d6931c4bc48dd0d56075ebee7c"/>
    <x v="293"/>
    <n v="24.9"/>
    <n v="9.09"/>
    <n v="26.807382835375751"/>
    <n v="-1.9073828353757527"/>
    <n v="-7.1151400608145843E-2"/>
    <x v="0"/>
  </r>
  <r>
    <s v="861857117917aaa99611defcc0d514cd"/>
    <x v="174"/>
    <n v="162"/>
    <n v="11.74"/>
    <n v="146.50618070420572"/>
    <n v="15.493819295794282"/>
    <n v="0.1057553969485842"/>
    <x v="2"/>
  </r>
  <r>
    <s v="656d923048a96be8ec0da05d7b71aa28"/>
    <x v="334"/>
    <n v="43.9"/>
    <n v="18.41"/>
    <n v="43.148493253713376"/>
    <n v="0.75150674628662273"/>
    <n v="1.7416755247228657E-2"/>
    <x v="1"/>
  </r>
  <r>
    <s v="3d1d7aa3dfc91ac9490303d6c7342e83"/>
    <x v="12"/>
    <n v="189"/>
    <n v="23.25"/>
    <n v="185.54288859936187"/>
    <n v="3.4571114006381265"/>
    <n v="1.8632411227050481E-2"/>
    <x v="1"/>
  </r>
  <r>
    <s v="7272a36ac93b0f214500840025f04a73"/>
    <x v="328"/>
    <n v="14.9"/>
    <n v="15.1"/>
    <n v="13.576244003250812"/>
    <n v="1.3237559967491883"/>
    <n v="9.750531858680625E-2"/>
    <x v="2"/>
  </r>
  <r>
    <s v="bbaef2eadf31fe3ea6702077398be06c"/>
    <x v="10"/>
    <n v="56.99"/>
    <n v="15.15"/>
    <n v="57.622659005275125"/>
    <n v="-0.63265900527512287"/>
    <n v="-1.0979344171139438E-2"/>
    <x v="1"/>
  </r>
  <r>
    <s v="aa8627a375771ab01288705307ec4ae5"/>
    <x v="72"/>
    <n v="75"/>
    <n v="16.16"/>
    <n v="70.822659077912988"/>
    <n v="4.1773409220870121"/>
    <n v="5.8983113264519785E-2"/>
    <x v="2"/>
  </r>
  <r>
    <s v="12bc892d6fff0dc42c8177f3665ef00e"/>
    <x v="174"/>
    <n v="39.49"/>
    <n v="8.27"/>
    <n v="42.532392025998739"/>
    <n v="-3.0423920259987369"/>
    <n v="-7.1531176147793821E-2"/>
    <x v="0"/>
  </r>
  <r>
    <s v="12bc892d6fff0dc42c8177f3665ef00e"/>
    <x v="174"/>
    <n v="39.49"/>
    <n v="8.27"/>
    <n v="42.323340370724999"/>
    <n v="-2.8333403707249971"/>
    <n v="-6.6945102770877105E-2"/>
    <x v="0"/>
  </r>
  <r>
    <s v="2de4aa76a72feaca51fc8f83ae037c7e"/>
    <x v="26"/>
    <n v="44.9"/>
    <n v="15.11"/>
    <n v="41.543359284507083"/>
    <n v="3.3566407154929152"/>
    <n v="8.0798490379778209E-2"/>
    <x v="2"/>
  </r>
  <r>
    <s v="50d77758742285ff49f340ebdf0df5a7"/>
    <x v="120"/>
    <n v="29.9"/>
    <n v="18.309999999999999"/>
    <n v="27.745095364208382"/>
    <n v="2.1549046357916168"/>
    <n v="7.766794842491255E-2"/>
    <x v="2"/>
  </r>
  <r>
    <s v="436c8d57ff8d4aa254318e9bd9b48c83"/>
    <x v="0"/>
    <n v="55.9"/>
    <n v="9.94"/>
    <n v="53.015103346525173"/>
    <n v="2.8848966534748257"/>
    <n v="5.4416505323362979E-2"/>
    <x v="2"/>
  </r>
  <r>
    <s v="6ed58ce8373b3d0c7704df9daf21e4d8"/>
    <x v="335"/>
    <n v="66"/>
    <n v="43.4"/>
    <n v="69.694755416465156"/>
    <n v="-3.6947554164651564"/>
    <n v="-5.3013392390674527E-2"/>
    <x v="0"/>
  </r>
  <r>
    <s v="d537e54e990d95194a5733e79f1af1aa"/>
    <x v="336"/>
    <n v="139.9"/>
    <n v="9.09"/>
    <n v="134.59088192961534"/>
    <n v="5.3091180703846703"/>
    <n v="3.9446342829977797E-2"/>
    <x v="1"/>
  </r>
  <r>
    <s v="ead72457c58dcea14f94c2223c684716"/>
    <x v="336"/>
    <n v="139.9"/>
    <n v="29.07"/>
    <n v="141.61569584112291"/>
    <n v="-1.7156958411229084"/>
    <n v="-1.2115153132797714E-2"/>
    <x v="1"/>
  </r>
  <r>
    <s v="3c949f7dabf571691248f935a0063fbd"/>
    <x v="337"/>
    <n v="56.8"/>
    <n v="18.28"/>
    <n v="61.091504701861567"/>
    <n v="-4.2915047018615695"/>
    <n v="-7.024715994154912E-2"/>
    <x v="0"/>
  </r>
  <r>
    <s v="1fa52682d6938b129312ef4cffac1711"/>
    <x v="338"/>
    <n v="190.9"/>
    <n v="17.100000000000001"/>
    <n v="180.83191824234945"/>
    <n v="10.06808175765056"/>
    <n v="5.567646384283443E-2"/>
    <x v="2"/>
  </r>
  <r>
    <s v="ccadfeab525a9eb1569983b66e5075c4"/>
    <x v="339"/>
    <n v="89"/>
    <n v="25.65"/>
    <n v="83.163478123783335"/>
    <n v="5.8365218762166649"/>
    <n v="7.01813104489135E-2"/>
    <x v="2"/>
  </r>
  <r>
    <s v="fe01b643060a6446e59f58e3021e66b3"/>
    <x v="340"/>
    <n v="129.9"/>
    <n v="38.46"/>
    <n v="133.63328109286149"/>
    <n v="-3.733281092861489"/>
    <n v="-2.793676142896798E-2"/>
    <x v="1"/>
  </r>
  <r>
    <s v="9c98b59719a74f32903537bc5c9262ce"/>
    <x v="341"/>
    <n v="139.9"/>
    <n v="27.96"/>
    <n v="130.59864314895736"/>
    <n v="9.301356851042641"/>
    <n v="7.1220930223859669E-2"/>
    <x v="2"/>
  </r>
  <r>
    <s v="ec02a5d380128f7a188e9ce8f3ddd832"/>
    <x v="0"/>
    <n v="132.9"/>
    <n v="20.170000000000002"/>
    <n v="132.99750365136788"/>
    <n v="-9.750365136787309E-2"/>
    <n v="-7.3312392105842551E-4"/>
    <x v="1"/>
  </r>
  <r>
    <s v="01a88bd2633c52bcc66348307cb3ae15"/>
    <x v="342"/>
    <n v="359.98"/>
    <n v="85.59"/>
    <n v="374.99338094010642"/>
    <n v="-15.013380940106401"/>
    <n v="-4.0036389182304857E-2"/>
    <x v="1"/>
  </r>
  <r>
    <s v="01a88bd2633c52bcc66348307cb3ae15"/>
    <x v="342"/>
    <n v="359.98"/>
    <n v="85.59"/>
    <n v="360.19899876203272"/>
    <n v="-0.21899876203269741"/>
    <n v="-6.0799381115820379E-4"/>
    <x v="1"/>
  </r>
  <r>
    <s v="ddceb6eef6af67e9fbbd4c148dbe5fd9"/>
    <x v="183"/>
    <n v="209.99"/>
    <n v="57.94"/>
    <n v="216.8315922611651"/>
    <n v="-6.8415922611650899"/>
    <n v="-3.1552562012848485E-2"/>
    <x v="1"/>
  </r>
  <r>
    <s v="cee4ebfc997a2ac7f01145efb59cc7be"/>
    <x v="343"/>
    <n v="154.9"/>
    <n v="15.39"/>
    <n v="143.36154632508405"/>
    <n v="11.538453674915957"/>
    <n v="8.0484997341975978E-2"/>
    <x v="2"/>
  </r>
  <r>
    <s v="26c3ead5dff3d8e393e5331273f4e91a"/>
    <x v="268"/>
    <n v="44"/>
    <n v="12.97"/>
    <n v="44.74228289147436"/>
    <n v="-0.74228289147436044"/>
    <n v="-1.6590188150989549E-2"/>
    <x v="1"/>
  </r>
  <r>
    <s v="34194988e78bc60417003c8a235b8083"/>
    <x v="344"/>
    <n v="195"/>
    <n v="14.49"/>
    <n v="207.33533804261216"/>
    <n v="-12.335338042612165"/>
    <n v="-5.9494624307974794E-2"/>
    <x v="0"/>
  </r>
  <r>
    <s v="93c902b021a9e594f658ab1b0351602a"/>
    <x v="119"/>
    <n v="97.9"/>
    <n v="16.940000000000001"/>
    <n v="92.256506845992192"/>
    <n v="5.6434931540078139"/>
    <n v="6.1171762805075018E-2"/>
    <x v="2"/>
  </r>
  <r>
    <s v="f646af315b0f3a597f69213537ca2199"/>
    <x v="345"/>
    <n v="49.9"/>
    <n v="35.67"/>
    <n v="53.630745753805961"/>
    <n v="-3.7307457538059623"/>
    <n v="-6.9563562866197998E-2"/>
    <x v="0"/>
  </r>
  <r>
    <s v="71f2ce4ae5dfdd3b55a51c7a2d3c4da8"/>
    <x v="346"/>
    <n v="579.99"/>
    <n v="16.96"/>
    <n v="534.64008101604099"/>
    <n v="45.349918983959014"/>
    <n v="8.4823268202741359E-2"/>
    <x v="2"/>
  </r>
  <r>
    <s v="2b0ee2d07306f7c9ac55a43166e9bb4b"/>
    <x v="347"/>
    <n v="59.99"/>
    <n v="12.76"/>
    <n v="62.5837530970011"/>
    <n v="-2.5937530970010982"/>
    <n v="-4.1444511852476072E-2"/>
    <x v="1"/>
  </r>
  <r>
    <s v="6592908f0a4f6e2de91310126cd1b08d"/>
    <x v="348"/>
    <n v="399.9"/>
    <n v="21.71"/>
    <n v="362.59721394970398"/>
    <n v="37.302786050295992"/>
    <n v="0.10287664828960952"/>
    <x v="2"/>
  </r>
  <r>
    <s v="7bcf2266b78ccc737b8f26f925d3c5d4"/>
    <x v="349"/>
    <n v="42.9"/>
    <n v="15.1"/>
    <n v="43.33961108830362"/>
    <n v="-0.4396110883036215"/>
    <n v="-1.0143401781061727E-2"/>
    <x v="1"/>
  </r>
  <r>
    <s v="b8fb835549196ef18695839a1a749584"/>
    <x v="350"/>
    <n v="320"/>
    <n v="58.91"/>
    <n v="294.34680273521798"/>
    <n v="25.653197264782023"/>
    <n v="8.7152967269899517E-2"/>
    <x v="2"/>
  </r>
  <r>
    <s v="e9a69340883a438c3f91739d14d3a56d"/>
    <x v="239"/>
    <n v="159.9"/>
    <n v="28.5"/>
    <n v="164.42778869471269"/>
    <n v="-4.5277886947126831"/>
    <n v="-2.7536639218078092E-2"/>
    <x v="1"/>
  </r>
  <r>
    <s v="6987398dff454a3138231540e2a6ec61"/>
    <x v="36"/>
    <n v="133.9"/>
    <n v="29.34"/>
    <n v="127.64286477411025"/>
    <n v="6.2571352258897548"/>
    <n v="4.9020642375608034E-2"/>
    <x v="1"/>
  </r>
  <r>
    <s v="138d7037b59dcee052810952c983033b"/>
    <x v="17"/>
    <n v="148"/>
    <n v="15.13"/>
    <n v="161.40358247279045"/>
    <n v="-13.403582472790447"/>
    <n v="-8.3043896965855971E-2"/>
    <x v="0"/>
  </r>
  <r>
    <s v="2028bf1b01cafb2d2b1901fca4083222"/>
    <x v="10"/>
    <n v="56.99"/>
    <n v="8.7200000000000006"/>
    <n v="51.902660391573846"/>
    <n v="5.0873396084261557"/>
    <n v="9.8016933429718012E-2"/>
    <x v="2"/>
  </r>
  <r>
    <s v="437c05a395e9e47f9762e677a7068ce7"/>
    <x v="351"/>
    <n v="47.65"/>
    <n v="7.39"/>
    <n v="44.141132452713144"/>
    <n v="3.5088675472868545"/>
    <n v="7.9492014642936079E-2"/>
    <x v="2"/>
  </r>
  <r>
    <s v="83b92639fffd1d55c9e04c77c86d8d2c"/>
    <x v="352"/>
    <n v="93"/>
    <n v="8"/>
    <n v="84.36555895823092"/>
    <n v="8.6344410417690796"/>
    <n v="0.10234556788800463"/>
    <x v="2"/>
  </r>
  <r>
    <s v="5ce6a6914bbb228f4cb4ee93c1cd0d15"/>
    <x v="81"/>
    <n v="349.99"/>
    <n v="18.53"/>
    <n v="366.47520403381498"/>
    <n v="-16.485204033814966"/>
    <n v="-4.4983136245948754E-2"/>
    <x v="1"/>
  </r>
  <r>
    <s v="b00a32a0b42fd65efb58a5822009f629"/>
    <x v="23"/>
    <n v="75.900000000000006"/>
    <n v="7.79"/>
    <n v="73.960955806359706"/>
    <n v="1.9390441936402993"/>
    <n v="2.6217132708736116E-2"/>
    <x v="1"/>
  </r>
  <r>
    <s v="f71973c922ccaab05514a36a8bc741b8"/>
    <x v="353"/>
    <n v="109.9"/>
    <n v="24.05"/>
    <n v="112.2187380452837"/>
    <n v="-2.3187380452836948"/>
    <n v="-2.0662663701921269E-2"/>
    <x v="1"/>
  </r>
  <r>
    <s v="5d0386961a44323a9772e63672317131"/>
    <x v="126"/>
    <n v="99.99"/>
    <n v="13.72"/>
    <n v="96.00532818597641"/>
    <n v="3.9846718140235851"/>
    <n v="4.1504694471797346E-2"/>
    <x v="1"/>
  </r>
  <r>
    <s v="eb6c2ecde53034fc9ec47741b3232c9d"/>
    <x v="186"/>
    <n v="35"/>
    <n v="19.32"/>
    <n v="34.051033269750448"/>
    <n v="0.94896673024955192"/>
    <n v="2.7868955480201987E-2"/>
    <x v="1"/>
  </r>
  <r>
    <s v="eb6c2ecde53034fc9ec47741b3232c9d"/>
    <x v="186"/>
    <n v="35"/>
    <n v="19.32"/>
    <n v="35.366964551130621"/>
    <n v="-0.36696455113062143"/>
    <n v="-1.037591310953742E-2"/>
    <x v="1"/>
  </r>
  <r>
    <s v="53ea9da485f6aed8a6f03a85831fe021"/>
    <x v="91"/>
    <n v="249.99"/>
    <n v="18"/>
    <n v="253.4449221939671"/>
    <n v="-3.4549221939670929"/>
    <n v="-1.3631846178093729E-2"/>
    <x v="1"/>
  </r>
  <r>
    <s v="ead9ade61e81ab9e26d83640c3164e76"/>
    <x v="354"/>
    <n v="152"/>
    <n v="15.81"/>
    <n v="140.1653951312712"/>
    <n v="11.834604868728803"/>
    <n v="8.4433143128124916E-2"/>
    <x v="2"/>
  </r>
  <r>
    <s v="64fb265487de2238627ce43fe8a67efc"/>
    <x v="12"/>
    <n v="79.900000000000006"/>
    <n v="27.51"/>
    <n v="75.338674097906591"/>
    <n v="4.5613259020934152"/>
    <n v="6.0544281628393551E-2"/>
    <x v="2"/>
  </r>
  <r>
    <s v="632fe3d92c45b5c83f4102fadd94ee92"/>
    <x v="71"/>
    <n v="138"/>
    <n v="29.23"/>
    <n v="124.40573145287078"/>
    <n v="13.594268547129218"/>
    <n v="0.10927365153010815"/>
    <x v="2"/>
  </r>
  <r>
    <s v="f3dadec221142e379d7113915c1d0fa8"/>
    <x v="355"/>
    <n v="51"/>
    <n v="15.11"/>
    <n v="54.447970807972872"/>
    <n v="-3.4479708079728724"/>
    <n v="-6.3325974445093233E-2"/>
    <x v="0"/>
  </r>
  <r>
    <s v="8c4456c061013adccb1ba4cbce2d0365"/>
    <x v="356"/>
    <n v="738.9"/>
    <n v="25.62"/>
    <n v="667.7797548532227"/>
    <n v="71.120245146777279"/>
    <n v="0.10650254762876038"/>
    <x v="2"/>
  </r>
  <r>
    <s v="a0eef953cb25bc9ae40457e1c3c82946"/>
    <x v="357"/>
    <n v="69.900000000000006"/>
    <n v="8.8800000000000008"/>
    <n v="68.582745693926924"/>
    <n v="1.3172543060730817"/>
    <n v="1.9206788715513994E-2"/>
    <x v="1"/>
  </r>
  <r>
    <s v="152397b614be35e54106663bd5671f7d"/>
    <x v="358"/>
    <n v="579"/>
    <n v="24.5"/>
    <n v="548.71927335892201"/>
    <n v="30.28072664107799"/>
    <n v="5.5184368603854575E-2"/>
    <x v="2"/>
  </r>
  <r>
    <s v="152397b614be35e54106663bd5671f7d"/>
    <x v="358"/>
    <n v="579"/>
    <n v="24.5"/>
    <n v="601.05241994275548"/>
    <n v="-22.052419942755478"/>
    <n v="-3.6689678322659049E-2"/>
    <x v="1"/>
  </r>
  <r>
    <s v="152397b614be35e54106663bd5671f7d"/>
    <x v="358"/>
    <n v="579"/>
    <n v="24.5"/>
    <n v="536.27126076031368"/>
    <n v="42.72873923968632"/>
    <n v="7.9677473633598131E-2"/>
    <x v="2"/>
  </r>
  <r>
    <s v="ecd7770e1f7f64ee8c295da808d2ce5b"/>
    <x v="359"/>
    <n v="79.900000000000006"/>
    <n v="38.83"/>
    <n v="81.996446663374414"/>
    <n v="-2.0964466633744081"/>
    <n v="-2.5567530651432899E-2"/>
    <x v="1"/>
  </r>
  <r>
    <s v="b0141fc41043ae23a16677f3a7e282b3"/>
    <x v="360"/>
    <n v="139.99"/>
    <n v="58.11"/>
    <n v="152.04711639651825"/>
    <n v="-12.057116396518239"/>
    <n v="-7.9298553515970108E-2"/>
    <x v="0"/>
  </r>
  <r>
    <s v="092efe1dbcc1a4752b17a19fb6de36dc"/>
    <x v="21"/>
    <n v="149.94"/>
    <n v="57.31"/>
    <n v="153.71503717735052"/>
    <n v="-3.7750371773505265"/>
    <n v="-2.4558671985975146E-2"/>
    <x v="1"/>
  </r>
  <r>
    <s v="431d674f9a4fbd0957ecf6ba3fcb6899"/>
    <x v="196"/>
    <n v="299.99"/>
    <n v="14.35"/>
    <n v="304.16818361554459"/>
    <n v="-4.1781836155445831"/>
    <n v="-1.3736425571800192E-2"/>
    <x v="1"/>
  </r>
  <r>
    <s v="77e8ff91e2cccad62b30a0a83bec431e"/>
    <x v="259"/>
    <n v="168.8"/>
    <n v="8.44"/>
    <n v="159.752802280303"/>
    <n v="9.0471977196970101"/>
    <n v="5.6632482125870666E-2"/>
    <x v="2"/>
  </r>
  <r>
    <s v="f361fccba568fabe00db466f80626d1e"/>
    <x v="150"/>
    <n v="12.9"/>
    <n v="7.71"/>
    <n v="12.137202658574056"/>
    <n v="0.76279734142594435"/>
    <n v="6.2847870541824002E-2"/>
    <x v="2"/>
  </r>
  <r>
    <s v="84bc1370758fa98d08afd0180818217a"/>
    <x v="361"/>
    <n v="199.9"/>
    <n v="13.69"/>
    <n v="208.13062069028075"/>
    <n v="-8.2306206902807446"/>
    <n v="-3.9545457861910355E-2"/>
    <x v="1"/>
  </r>
  <r>
    <s v="18692fdc7adb29c885d8cb84eb68a97e"/>
    <x v="362"/>
    <n v="187.2"/>
    <n v="20.54"/>
    <n v="195.28885719827872"/>
    <n v="-8.0888571982787312"/>
    <n v="-4.1419962789100831E-2"/>
    <x v="1"/>
  </r>
  <r>
    <s v="036734b5a58d5d4f46b0616ddc047ced"/>
    <x v="20"/>
    <n v="34.99"/>
    <n v="15.1"/>
    <n v="36.991617496496247"/>
    <n v="-2.0016174964962445"/>
    <n v="-5.411002902713926E-2"/>
    <x v="0"/>
  </r>
  <r>
    <s v="b5c114b11d53b6fd85a6a90790f0b479"/>
    <x v="303"/>
    <n v="42.9"/>
    <n v="15.1"/>
    <n v="38.704334069255687"/>
    <n v="4.1956659307443118"/>
    <n v="0.10840300011974854"/>
    <x v="2"/>
  </r>
  <r>
    <s v="c7fd13b5e515bffdab855d0812842edb"/>
    <x v="186"/>
    <n v="69.989999999999995"/>
    <n v="9.36"/>
    <n v="68.441403662975901"/>
    <n v="1.5485963370240938"/>
    <n v="2.262660106519445E-2"/>
    <x v="1"/>
  </r>
  <r>
    <s v="c7fd13b5e515bffdab855d0812842edb"/>
    <x v="186"/>
    <n v="69.989999999999995"/>
    <n v="9.36"/>
    <n v="64.937903898669802"/>
    <n v="5.0520961013301928"/>
    <n v="7.7798878590438783E-2"/>
    <x v="2"/>
  </r>
  <r>
    <s v="0e362037e5f02f62c8ce89f49cb9d520"/>
    <x v="363"/>
    <n v="39"/>
    <n v="15.37"/>
    <n v="42.005642582637385"/>
    <n v="-3.0056425826373854"/>
    <n v="-7.1553305647554549E-2"/>
    <x v="0"/>
  </r>
  <r>
    <s v="e7db7c40ea6647c808d48581f1308d88"/>
    <x v="122"/>
    <n v="109.9"/>
    <n v="12.72"/>
    <n v="113.2518298690165"/>
    <n v="-3.3518298690164983"/>
    <n v="-2.9596253525378962E-2"/>
    <x v="1"/>
  </r>
  <r>
    <s v="d2f5484cbffe4ca766301b21ab9246dd"/>
    <x v="364"/>
    <n v="12.88"/>
    <n v="8.27"/>
    <n v="14.111714019351313"/>
    <n v="-1.2317140193513119"/>
    <n v="-8.7283091030775528E-2"/>
    <x v="0"/>
  </r>
  <r>
    <s v="448f0791c4d2fc5d250a401edfc208d4"/>
    <x v="365"/>
    <n v="309.89999999999998"/>
    <n v="17.38"/>
    <n v="328.44703073758774"/>
    <n v="-18.547030737587761"/>
    <n v="-5.6468864084223927E-2"/>
    <x v="0"/>
  </r>
  <r>
    <s v="84f5c4f480ad6c9998d6a6860f1a2e41"/>
    <x v="366"/>
    <n v="39"/>
    <n v="16.600000000000001"/>
    <n v="37.556339269094558"/>
    <n v="1.4436607309054423"/>
    <n v="3.8439868182079277E-2"/>
    <x v="1"/>
  </r>
  <r>
    <s v="e82773dd03318132e509b6330c868c7f"/>
    <x v="337"/>
    <n v="84.99"/>
    <n v="18.7"/>
    <n v="76.792325475650074"/>
    <n v="8.1976745243499209"/>
    <n v="0.1067512212134962"/>
    <x v="2"/>
  </r>
  <r>
    <s v="423a6644f0aa529e8828ff1f91003690"/>
    <x v="29"/>
    <n v="465"/>
    <n v="34.69"/>
    <n v="498.23785374791754"/>
    <n v="-33.237853747917541"/>
    <n v="-6.6710815924343969E-2"/>
    <x v="0"/>
  </r>
  <r>
    <s v="76d1a1a9d21ab677a61c3ae34b1b352f"/>
    <x v="107"/>
    <n v="139.77000000000001"/>
    <n v="8.74"/>
    <n v="151.70974023327102"/>
    <n v="-11.93974023327101"/>
    <n v="-7.8701210712722194E-2"/>
    <x v="0"/>
  </r>
  <r>
    <s v="a659cb33082b851fb87a33af8f0fff29"/>
    <x v="367"/>
    <n v="84.9"/>
    <n v="13.03"/>
    <n v="86.578835207938582"/>
    <n v="-1.678835207938576"/>
    <n v="-1.9390826914065948E-2"/>
    <x v="1"/>
  </r>
  <r>
    <s v="a659cb33082b851fb87a33af8f0fff29"/>
    <x v="367"/>
    <n v="84.9"/>
    <n v="13.03"/>
    <n v="88.69016813263022"/>
    <n v="-3.7901681326302139"/>
    <n v="-4.2734930065328892E-2"/>
    <x v="1"/>
  </r>
  <r>
    <s v="6b6b162b177d0f36987993aecbe1c65f"/>
    <x v="368"/>
    <n v="109.99"/>
    <n v="19.739999999999998"/>
    <n v="108.53124777655995"/>
    <n v="1.4587522234400438"/>
    <n v="1.3440850016239268E-2"/>
    <x v="1"/>
  </r>
  <r>
    <s v="8e7a3ee016b12c87b5e3e7e717620758"/>
    <x v="52"/>
    <n v="150"/>
    <n v="44.97"/>
    <n v="150.00374922346973"/>
    <n v="-3.7492234697253934E-3"/>
    <n v="-2.4994198405934153E-5"/>
    <x v="1"/>
  </r>
  <r>
    <s v="3fae92f8d0ebb3317991934a6d717c47"/>
    <x v="347"/>
    <n v="49.99"/>
    <n v="16.170000000000002"/>
    <n v="47.402497363321743"/>
    <n v="2.5875026366782592"/>
    <n v="5.4585787260237703E-2"/>
    <x v="2"/>
  </r>
  <r>
    <s v="9b02b650be0a39d8590be7d35be443f9"/>
    <x v="369"/>
    <n v="59"/>
    <n v="10.68"/>
    <n v="59.499145090715182"/>
    <n v="-0.49914509071518154"/>
    <n v="-8.3891136579216652E-3"/>
    <x v="1"/>
  </r>
  <r>
    <s v="368c6c730842d78016ad823897a372db"/>
    <x v="13"/>
    <n v="59"/>
    <n v="17.66"/>
    <n v="54.691583880416587"/>
    <n v="4.3084161195834128"/>
    <n v="7.8776583413707413E-2"/>
    <x v="2"/>
  </r>
  <r>
    <s v="3a7612c720a4b764c4fb87633a7ebc88"/>
    <x v="370"/>
    <n v="99.9"/>
    <n v="21.19"/>
    <n v="95.961244195957619"/>
    <n v="3.9387558040423869"/>
    <n v="4.1045276528504072E-2"/>
    <x v="1"/>
  </r>
  <r>
    <s v="b1551ef44e04265b510840b991b24b51"/>
    <x v="371"/>
    <n v="79.900000000000006"/>
    <n v="15.41"/>
    <n v="76.319625090138828"/>
    <n v="3.5803749098611775"/>
    <n v="4.691289960652327E-2"/>
    <x v="1"/>
  </r>
  <r>
    <s v="4fb3e6ce442ce9c621ea9509e47ac951"/>
    <x v="372"/>
    <n v="104.9"/>
    <n v="24.86"/>
    <n v="105.632407684987"/>
    <n v="-0.73240768498699538"/>
    <n v="-6.9335509910098238E-3"/>
    <x v="1"/>
  </r>
  <r>
    <s v="11dcc970f7a5581e1bf777b6da3f7096"/>
    <x v="373"/>
    <n v="68.900000000000006"/>
    <n v="18.28"/>
    <n v="71.884763687034095"/>
    <n v="-2.9847636870340892"/>
    <n v="-4.1521506560540496E-2"/>
    <x v="1"/>
  </r>
  <r>
    <s v="e350532acfc2ee911b6dcf1029dcb48d"/>
    <x v="374"/>
    <n v="110"/>
    <n v="15.52"/>
    <n v="112.01223868318577"/>
    <n v="-2.012238683185771"/>
    <n v="-1.7964453767209898E-2"/>
    <x v="1"/>
  </r>
  <r>
    <s v="f9b0ee95ce8b1ef8b50eecc5e0fa4348"/>
    <x v="174"/>
    <n v="25.89"/>
    <n v="22.98"/>
    <n v="24.05487391403495"/>
    <n v="1.8351260859650509"/>
    <n v="7.6289158385250827E-2"/>
    <x v="2"/>
  </r>
  <r>
    <s v="a2f0a41fa03da98fd19e20d996462cc8"/>
    <x v="145"/>
    <n v="39.9"/>
    <n v="15.1"/>
    <n v="40.829603988761924"/>
    <n v="-0.92960398876192585"/>
    <n v="-2.2767891381405343E-2"/>
    <x v="1"/>
  </r>
  <r>
    <s v="f7a17d2c51d9df89a4f1711c4ac17f33"/>
    <x v="145"/>
    <n v="52.9"/>
    <n v="11.87"/>
    <n v="48.350667681656155"/>
    <n v="4.5493323183438434"/>
    <n v="9.4090372201205877E-2"/>
    <x v="2"/>
  </r>
  <r>
    <s v="78c3942245093508f8e17ffc06a0dfcf"/>
    <x v="375"/>
    <n v="29.99"/>
    <n v="12.79"/>
    <n v="29.641828933232102"/>
    <n v="0.34817106676789678"/>
    <n v="1.174593738976594E-2"/>
    <x v="1"/>
  </r>
  <r>
    <s v="81efaa22f3868f00c8ef1879cccc3c03"/>
    <x v="268"/>
    <n v="46.55"/>
    <n v="12.69"/>
    <n v="50.165461461869555"/>
    <n v="-3.6154614618695575"/>
    <n v="-7.2070730668303468E-2"/>
    <x v="0"/>
  </r>
  <r>
    <s v="f24bb438da3185d5fd5a19e4d7433827"/>
    <x v="376"/>
    <n v="629.9"/>
    <n v="21.66"/>
    <n v="597.93940555582481"/>
    <n v="31.960594444175172"/>
    <n v="5.3451226239999441E-2"/>
    <x v="2"/>
  </r>
  <r>
    <s v="ba47e9a1c96e01fc866a0b30f9c78e00"/>
    <x v="377"/>
    <n v="120.9"/>
    <n v="41.92"/>
    <n v="132.73702187994382"/>
    <n v="-11.837021879943819"/>
    <n v="-8.9176491323196994E-2"/>
    <x v="0"/>
  </r>
  <r>
    <s v="f2e53dd1670f3c376518263b3f71424d"/>
    <x v="12"/>
    <n v="109.9"/>
    <n v="25.61"/>
    <n v="106.41296832602549"/>
    <n v="3.4870316739745135"/>
    <n v="3.2768860119483087E-2"/>
    <x v="1"/>
  </r>
  <r>
    <s v="fb060ad9a8625b626189641799bccf89"/>
    <x v="378"/>
    <n v="44.6"/>
    <n v="14.52"/>
    <n v="49.040156082852299"/>
    <n v="-4.4401560828522975"/>
    <n v="-9.0541230646793786E-2"/>
    <x v="0"/>
  </r>
  <r>
    <s v="d6fe3b4ddecd4a8393c6a1385de3bfb6"/>
    <x v="21"/>
    <n v="192.97"/>
    <n v="33.590000000000003"/>
    <n v="177.35421246028699"/>
    <n v="15.615787539713011"/>
    <n v="8.804858550066684E-2"/>
    <x v="2"/>
  </r>
  <r>
    <s v="d6fe3b4ddecd4a8393c6a1385de3bfb6"/>
    <x v="21"/>
    <n v="192.97"/>
    <n v="33.590000000000003"/>
    <n v="196.35657479416648"/>
    <n v="-3.3865747941664779"/>
    <n v="-1.7247065944781845E-2"/>
    <x v="1"/>
  </r>
  <r>
    <s v="d6fe3b4ddecd4a8393c6a1385de3bfb6"/>
    <x v="21"/>
    <n v="192.97"/>
    <n v="33.590000000000003"/>
    <n v="177.22263802396878"/>
    <n v="15.747361976031215"/>
    <n v="8.8856379476201203E-2"/>
    <x v="2"/>
  </r>
  <r>
    <s v="2629c2e1e3a0b360912763741f1bb7ef"/>
    <x v="379"/>
    <n v="59.9"/>
    <n v="9.41"/>
    <n v="60.732690670370765"/>
    <n v="-0.83269067037076638"/>
    <n v="-1.371074887642028E-2"/>
    <x v="1"/>
  </r>
  <r>
    <s v="2629c2e1e3a0b360912763741f1bb7ef"/>
    <x v="379"/>
    <n v="59.9"/>
    <n v="9.41"/>
    <n v="56.845531386972752"/>
    <n v="3.0544686130272467"/>
    <n v="5.3732783184558937E-2"/>
    <x v="2"/>
  </r>
  <r>
    <s v="cd48f265a63e13b762601f5f794c5fca"/>
    <x v="174"/>
    <n v="57.49"/>
    <n v="9.94"/>
    <n v="53.175956703817022"/>
    <n v="4.3140432961829802"/>
    <n v="8.1127704391133482E-2"/>
    <x v="2"/>
  </r>
  <r>
    <s v="d84895a804248d73a16480c0b2e18604"/>
    <x v="17"/>
    <n v="158"/>
    <n v="18.36"/>
    <n v="149.511371458778"/>
    <n v="8.4886285412219991"/>
    <n v="5.6775805468164083E-2"/>
    <x v="2"/>
  </r>
  <r>
    <s v="476f613bc92f3a20cf80a586fa45a232"/>
    <x v="293"/>
    <n v="39.9"/>
    <n v="12.69"/>
    <n v="38.448275399070454"/>
    <n v="1.4517246009295448"/>
    <n v="3.7757860030430454E-2"/>
    <x v="1"/>
  </r>
  <r>
    <s v="9ddc4249779322828f89d2a9c04f7ee1"/>
    <x v="380"/>
    <n v="101.99"/>
    <n v="19.41"/>
    <n v="110.50691081015356"/>
    <n v="-8.5169108101535613"/>
    <n v="-7.7071295792398659E-2"/>
    <x v="0"/>
  </r>
  <r>
    <s v="28beefcab28e6a3b659bae1bf1cbe453"/>
    <x v="167"/>
    <n v="25"/>
    <n v="11.15"/>
    <n v="26.303511926380896"/>
    <n v="-1.3035119263808959"/>
    <n v="-4.9556573663212977E-2"/>
    <x v="1"/>
  </r>
  <r>
    <s v="c8c969c3a6423f48df9fde8a13e6770b"/>
    <x v="278"/>
    <n v="21.99"/>
    <n v="15.1"/>
    <n v="22.407778623152819"/>
    <n v="-0.41777862315282022"/>
    <n v="-1.8644356952060872E-2"/>
    <x v="1"/>
  </r>
  <r>
    <s v="c8c969c3a6423f48df9fde8a13e6770b"/>
    <x v="278"/>
    <n v="21.99"/>
    <n v="15.1"/>
    <n v="21.732341884693867"/>
    <n v="0.25765811530613192"/>
    <n v="1.1855975608758533E-2"/>
    <x v="1"/>
  </r>
  <r>
    <s v="fdb86e192fdd20037175daab38af9656"/>
    <x v="381"/>
    <n v="359"/>
    <n v="25.66"/>
    <n v="333.89461660912804"/>
    <n v="25.105383390871964"/>
    <n v="7.5189542274835319E-2"/>
    <x v="2"/>
  </r>
  <r>
    <s v="ad88641611c35ebd59ecda07a9f17099"/>
    <x v="107"/>
    <n v="157.77000000000001"/>
    <n v="14.85"/>
    <n v="146.34521179006288"/>
    <n v="11.424788209937134"/>
    <n v="7.8067386491102814E-2"/>
    <x v="2"/>
  </r>
  <r>
    <s v="99a4788cb24856965c36a24e339b6058"/>
    <x v="12"/>
    <n v="89.9"/>
    <n v="12.13"/>
    <n v="86.476941547855375"/>
    <n v="3.4230584521446303"/>
    <n v="3.958348191870717E-2"/>
    <x v="1"/>
  </r>
  <r>
    <s v="99a4788cb24856965c36a24e339b6058"/>
    <x v="12"/>
    <n v="89.9"/>
    <n v="12.13"/>
    <n v="95.34443907910557"/>
    <n v="-5.4444390791055639"/>
    <n v="-5.7102848699843001E-2"/>
    <x v="0"/>
  </r>
  <r>
    <s v="389d119b48cf3043d311335e499d9c6b"/>
    <x v="13"/>
    <n v="53.9"/>
    <n v="56.93"/>
    <n v="49.979501452533853"/>
    <n v="3.9204985474661456"/>
    <n v="7.8442129943802882E-2"/>
    <x v="2"/>
  </r>
  <r>
    <s v="1bef08f119466a85a83919d5b80facd3"/>
    <x v="382"/>
    <n v="15.9"/>
    <n v="16.79"/>
    <n v="17.105009719942267"/>
    <n v="-1.2050097199422662"/>
    <n v="-7.0447765869280865E-2"/>
    <x v="0"/>
  </r>
  <r>
    <s v="11bbef4e2a44601d9dd471aa1fb433e6"/>
    <x v="383"/>
    <n v="339.99"/>
    <n v="12.99"/>
    <n v="358.38422285429328"/>
    <n v="-18.394222854293275"/>
    <n v="-5.1325425845466795E-2"/>
    <x v="0"/>
  </r>
  <r>
    <s v="41db6d8062fcd38410c699743ccc0265"/>
    <x v="32"/>
    <n v="13.47"/>
    <n v="18.23"/>
    <n v="14.203469770864016"/>
    <n v="-0.73346977086401566"/>
    <n v="-5.1640182483339611E-2"/>
    <x v="0"/>
  </r>
  <r>
    <s v="8b41f2becf919f6177cca1ff15dfd311"/>
    <x v="9"/>
    <n v="103.99"/>
    <n v="31.6"/>
    <n v="112.46286745979003"/>
    <n v="-8.472867459790038"/>
    <n v="-7.5339244420558865E-2"/>
    <x v="0"/>
  </r>
  <r>
    <s v="b042c934bd8f4316e7b38633aa14266b"/>
    <x v="122"/>
    <n v="109.9"/>
    <n v="18.02"/>
    <n v="118.86500705747179"/>
    <n v="-8.9650070574717802"/>
    <n v="-7.542175177878177E-2"/>
    <x v="0"/>
  </r>
  <r>
    <s v="10714d6a49c0af9ccdab2d806887c5f5"/>
    <x v="384"/>
    <n v="59.9"/>
    <n v="35.74"/>
    <n v="56.217693330301962"/>
    <n v="3.6823066696980362"/>
    <n v="6.550084949346778E-2"/>
    <x v="2"/>
  </r>
  <r>
    <s v="35ebf08a93899d44e756809e11b14754"/>
    <x v="204"/>
    <n v="17.899999999999999"/>
    <n v="15.1"/>
    <n v="18.405837798383079"/>
    <n v="-0.50583779838308018"/>
    <n v="-2.7482465287590286E-2"/>
    <x v="1"/>
  </r>
  <r>
    <s v="8232a265a535c1f886b38335667be2a5"/>
    <x v="42"/>
    <n v="59.99"/>
    <n v="11.81"/>
    <n v="54.585352588343731"/>
    <n v="5.4046474116562706"/>
    <n v="9.9012778252354647E-2"/>
    <x v="2"/>
  </r>
  <r>
    <s v="d2e8130fbec52f5dac0571ea1993f28a"/>
    <x v="289"/>
    <n v="239.99"/>
    <n v="17.440000000000001"/>
    <n v="245.45543448378379"/>
    <n v="-5.4654344837837812"/>
    <n v="-2.2266504285301775E-2"/>
    <x v="1"/>
  </r>
  <r>
    <s v="4a300735bc293723103db0d0c1bc1585"/>
    <x v="385"/>
    <n v="70.900000000000006"/>
    <n v="16.940000000000001"/>
    <n v="69.22544218833616"/>
    <n v="1.6745578116638455"/>
    <n v="2.4189918601141024E-2"/>
    <x v="1"/>
  </r>
  <r>
    <s v="e95fb3a80ca294f39de925b6428f3a32"/>
    <x v="382"/>
    <n v="78.900000000000006"/>
    <n v="17.8"/>
    <n v="78.956232531055534"/>
    <n v="-5.6232531055528057E-2"/>
    <n v="-7.1219876193320581E-4"/>
    <x v="1"/>
  </r>
  <r>
    <s v="639cacc61d50ee82079176b446399376"/>
    <x v="386"/>
    <n v="35.89"/>
    <n v="18.23"/>
    <n v="36.856246319941178"/>
    <n v="-0.96624631994117749"/>
    <n v="-2.6216623135014896E-2"/>
    <x v="1"/>
  </r>
  <r>
    <s v="422879e10f46682990de24d770e7f83d"/>
    <x v="13"/>
    <n v="49"/>
    <n v="13.41"/>
    <n v="50.412849873074627"/>
    <n v="-1.4128498730746273"/>
    <n v="-2.8025590234072976E-2"/>
    <x v="1"/>
  </r>
  <r>
    <s v="7344630ca6c1a4917e55f35c729baa7d"/>
    <x v="288"/>
    <n v="16.899999999999999"/>
    <n v="7.78"/>
    <n v="15.896864700677549"/>
    <n v="1.0031352993224498"/>
    <n v="6.3102713535688248E-2"/>
    <x v="2"/>
  </r>
  <r>
    <s v="edd087ed331c3ce178ec3489b9ecf117"/>
    <x v="387"/>
    <n v="274.95"/>
    <n v="26.04"/>
    <n v="260.96388791603857"/>
    <n v="13.986112083961416"/>
    <n v="5.3594051635455588E-2"/>
    <x v="2"/>
  </r>
  <r>
    <s v="7d50930301709838d8e90dcac5cfaa84"/>
    <x v="384"/>
    <n v="59.9"/>
    <n v="16.86"/>
    <n v="54.418582517931469"/>
    <n v="5.4814174820685295"/>
    <n v="0.10072694341610879"/>
    <x v="2"/>
  </r>
  <r>
    <s v="5bd6493a2d5a384987386f2696bae33d"/>
    <x v="32"/>
    <n v="19.989999999999998"/>
    <n v="7.78"/>
    <n v="19.162552869770089"/>
    <n v="0.82744713022990979"/>
    <n v="4.3180422559211833E-2"/>
    <x v="1"/>
  </r>
  <r>
    <s v="ef5c31aee1d5074121a478b14d3eb50e"/>
    <x v="105"/>
    <n v="89"/>
    <n v="17.87"/>
    <n v="89.17425657174465"/>
    <n v="-0.17425657174464959"/>
    <n v="-1.9541129743476182E-3"/>
    <x v="1"/>
  </r>
  <r>
    <s v="8dfb2df51786c583001deb21b4a94080"/>
    <x v="388"/>
    <n v="398"/>
    <n v="29.11"/>
    <n v="434.80323855248025"/>
    <n v="-36.803238552480252"/>
    <n v="-8.4643432452350842E-2"/>
    <x v="0"/>
  </r>
  <r>
    <s v="8dfb2df51786c583001deb21b4a94080"/>
    <x v="388"/>
    <n v="398"/>
    <n v="29.11"/>
    <n v="395.46131136418268"/>
    <n v="2.5386886358173228"/>
    <n v="6.4195625788521938E-3"/>
    <x v="1"/>
  </r>
  <r>
    <s v="2b939dc9b176d7fa21594d588815d4a4"/>
    <x v="73"/>
    <n v="106.9"/>
    <n v="38.299999999999997"/>
    <n v="98.48228003884708"/>
    <n v="8.4177199611529261"/>
    <n v="8.5474462591975858E-2"/>
    <x v="2"/>
  </r>
  <r>
    <s v="e76438822c17316d276c27e52e588931"/>
    <x v="38"/>
    <n v="24.89"/>
    <n v="22.06"/>
    <n v="26.558020625749592"/>
    <n v="-1.6680206257495911"/>
    <n v="-6.2806662034607552E-2"/>
    <x v="0"/>
  </r>
  <r>
    <s v="bb42f37fc3d9130e4a4339d24a47dd7c"/>
    <x v="293"/>
    <n v="44.9"/>
    <n v="8.64"/>
    <n v="47.959503607293364"/>
    <n v="-3.0595036072933652"/>
    <n v="-6.3793479439351333E-2"/>
    <x v="0"/>
  </r>
  <r>
    <s v="bd6e8cf9fe4122c385da2bcb9f979d5d"/>
    <x v="112"/>
    <n v="89"/>
    <n v="17.059999999999999"/>
    <n v="88.611895939823185"/>
    <n v="0.38810406017681487"/>
    <n v="4.3798189403415812E-3"/>
    <x v="1"/>
  </r>
  <r>
    <s v="bd6e8cf9fe4122c385da2bcb9f979d5d"/>
    <x v="112"/>
    <n v="89"/>
    <n v="17.059999999999999"/>
    <n v="94.617365187976361"/>
    <n v="-5.6173651879763611"/>
    <n v="-5.9369283606834106E-2"/>
    <x v="0"/>
  </r>
  <r>
    <s v="415dfa57292b8b7360d3f4cf2f9bff06"/>
    <x v="389"/>
    <n v="60"/>
    <n v="25.24"/>
    <n v="58.437998038476394"/>
    <n v="1.562001961523606"/>
    <n v="2.6729217528895535E-2"/>
    <x v="1"/>
  </r>
  <r>
    <s v="9d0aa87e8df1bdbe0f79353520a2d538"/>
    <x v="390"/>
    <n v="36.229999999999997"/>
    <n v="2.27"/>
    <n v="38.272100740561257"/>
    <n v="-2.0421007405612599"/>
    <n v="-5.3357424887759443E-2"/>
    <x v="0"/>
  </r>
  <r>
    <s v="2ccd049c8e7ea210e079a1aa8ad92477"/>
    <x v="105"/>
    <n v="79"/>
    <n v="59.78"/>
    <n v="80.510813541575985"/>
    <n v="-1.5108135415759847"/>
    <n v="-1.8765349337773077E-2"/>
    <x v="1"/>
  </r>
  <r>
    <s v="c30af44af15fb162e1ee0233c7e5d583"/>
    <x v="218"/>
    <n v="73"/>
    <n v="15.26"/>
    <n v="78.947453628190331"/>
    <n v="-5.9474536281903312"/>
    <n v="-7.5334331316122799E-2"/>
    <x v="0"/>
  </r>
  <r>
    <s v="ce6f74096c84567f22728c84f3d6e7fc"/>
    <x v="391"/>
    <n v="109.9"/>
    <n v="12.72"/>
    <n v="100.25941089280521"/>
    <n v="9.6405891071947991"/>
    <n v="9.615645076452993E-2"/>
    <x v="2"/>
  </r>
  <r>
    <s v="57fcacc3434a1f2f2b039c1b4e61f5e1"/>
    <x v="179"/>
    <n v="18.899999999999999"/>
    <n v="14.1"/>
    <n v="17.674212374513196"/>
    <n v="1.2257876254868023"/>
    <n v="6.9354582796256822E-2"/>
    <x v="2"/>
  </r>
  <r>
    <s v="e2acf075e3634e6f0c26e4e88c1bf9d7"/>
    <x v="28"/>
    <n v="329.9"/>
    <n v="46.39"/>
    <n v="362.23625817469105"/>
    <n v="-32.336258174691068"/>
    <n v="-8.926841928423597E-2"/>
    <x v="0"/>
  </r>
  <r>
    <s v="266f0c6925e7873790f11b920c701190"/>
    <x v="204"/>
    <n v="17.899999999999999"/>
    <n v="16.79"/>
    <n v="17.556634417414649"/>
    <n v="0.34336558258534922"/>
    <n v="1.9557597112391911E-2"/>
    <x v="1"/>
  </r>
  <r>
    <s v="98c2f7da94217786e372e7d85462c354"/>
    <x v="392"/>
    <n v="75"/>
    <n v="14.62"/>
    <n v="78.870692236380563"/>
    <n v="-3.8706922363805631"/>
    <n v="-4.9076432913506683E-2"/>
    <x v="1"/>
  </r>
  <r>
    <s v="ff96895c6b1d31f34b2d82f86670fa85"/>
    <x v="293"/>
    <n v="219.9"/>
    <n v="27.84"/>
    <n v="224.71772850551449"/>
    <n v="-4.8177285055144807"/>
    <n v="-2.1439022802316441E-2"/>
    <x v="1"/>
  </r>
  <r>
    <s v="8828464e34fc3da3892f568218e14d61"/>
    <x v="393"/>
    <n v="34"/>
    <n v="13.54"/>
    <n v="34.24336645969273"/>
    <n v="-0.24336645969273007"/>
    <n v="-7.1069665413648073E-3"/>
    <x v="1"/>
  </r>
  <r>
    <s v="33e77eecc23c25a65d10f627e5053617"/>
    <x v="21"/>
    <n v="114.94"/>
    <n v="34.159999999999997"/>
    <n v="122.1482084374385"/>
    <n v="-7.2082084374385005"/>
    <n v="-5.9011986582925439E-2"/>
    <x v="0"/>
  </r>
  <r>
    <s v="7ce94ab189134e2d3c05f496d635419c"/>
    <x v="33"/>
    <n v="13.65"/>
    <n v="18.23"/>
    <n v="13.617062486322459"/>
    <n v="3.293751367754183E-2"/>
    <n v="2.4188413404598558E-3"/>
    <x v="1"/>
  </r>
  <r>
    <s v="d9bba71d1d1ad35925593d365a2ab43e"/>
    <x v="394"/>
    <n v="52"/>
    <n v="15.21"/>
    <n v="49.136025579761046"/>
    <n v="2.8639744202389537"/>
    <n v="5.828665193097373E-2"/>
    <x v="2"/>
  </r>
  <r>
    <s v="d99a9035db5875b38e59f9f55b9548f1"/>
    <x v="175"/>
    <n v="229.9"/>
    <n v="43.98"/>
    <n v="214.78626513636056"/>
    <n v="15.113734863639451"/>
    <n v="7.0366393558937534E-2"/>
    <x v="2"/>
  </r>
  <r>
    <s v="8d39a63db6a98e40571f486e0c711cf7"/>
    <x v="107"/>
    <n v="147.19999999999999"/>
    <n v="18.91"/>
    <n v="144.66980563813416"/>
    <n v="2.5301943618658242"/>
    <n v="1.7489443292642945E-2"/>
    <x v="1"/>
  </r>
  <r>
    <s v="c19d5ba108c34b8255cf9a524da92bc4"/>
    <x v="112"/>
    <n v="75"/>
    <n v="16.23"/>
    <n v="67.500216481881338"/>
    <n v="7.4997835181186616"/>
    <n v="0.11110754763478102"/>
    <x v="2"/>
  </r>
  <r>
    <s v="776b3debbda0734131d6046fca2cd957"/>
    <x v="395"/>
    <n v="48.9"/>
    <n v="12.69"/>
    <n v="46.313369666133326"/>
    <n v="2.5866303338666725"/>
    <n v="5.5850618353044328E-2"/>
    <x v="2"/>
  </r>
  <r>
    <s v="b1434a8f79cb3528540d9b21e686e823"/>
    <x v="277"/>
    <n v="151.99"/>
    <n v="17.77"/>
    <n v="138.27809256098837"/>
    <n v="13.71190743901164"/>
    <n v="9.9161820828298761E-2"/>
    <x v="2"/>
  </r>
  <r>
    <s v="69ae578cb2e84390bb7c44216380ad5e"/>
    <x v="393"/>
    <n v="69.900000000000006"/>
    <n v="14.88"/>
    <n v="74.016118964904479"/>
    <n v="-4.1161189649044729"/>
    <n v="-5.5611115828110007E-2"/>
    <x v="0"/>
  </r>
  <r>
    <s v="9da0bebb7f9168679e748abbfad05edd"/>
    <x v="382"/>
    <n v="28.9"/>
    <n v="16.11"/>
    <n v="30.187687285710254"/>
    <n v="-1.2876872857102555"/>
    <n v="-4.2656042959600932E-2"/>
    <x v="1"/>
  </r>
  <r>
    <s v="87aff1d9a5e94db6840c5b963a5cef90"/>
    <x v="14"/>
    <n v="149.9"/>
    <n v="23.63"/>
    <n v="141.32997369283331"/>
    <n v="8.5700263071666996"/>
    <n v="6.0638420026828864E-2"/>
    <x v="2"/>
  </r>
  <r>
    <s v="1357d7d30c1609c50ad43a42a204286c"/>
    <x v="53"/>
    <n v="79.900000000000006"/>
    <n v="9.07"/>
    <n v="84.648110384112144"/>
    <n v="-4.7481103841121381"/>
    <n v="-5.6092337591074272E-2"/>
    <x v="0"/>
  </r>
  <r>
    <s v="05542c6ab7bce0a01a5f7210380e72b3"/>
    <x v="396"/>
    <n v="92.65"/>
    <n v="12.99"/>
    <n v="96.081017606631789"/>
    <n v="-3.4310176066317837"/>
    <n v="-3.5709630186045872E-2"/>
    <x v="1"/>
  </r>
  <r>
    <s v="05542c6ab7bce0a01a5f7210380e72b3"/>
    <x v="396"/>
    <n v="92.65"/>
    <n v="12.99"/>
    <n v="96.14151889230213"/>
    <n v="-3.4915188923021248"/>
    <n v="-3.6316452376972841E-2"/>
    <x v="1"/>
  </r>
  <r>
    <s v="2381a3052dd37f97e616bf160467acae"/>
    <x v="273"/>
    <n v="150"/>
    <n v="20.02"/>
    <n v="159.7489407524414"/>
    <n v="-9.7489407524413991"/>
    <n v="-6.1026637838864098E-2"/>
    <x v="0"/>
  </r>
  <r>
    <s v="a9516a079e37a9c9c36b9b78b10169e8"/>
    <x v="21"/>
    <n v="119.99"/>
    <n v="21.29"/>
    <n v="116.54673133155235"/>
    <n v="3.4432686684476437"/>
    <n v="2.9544103288939326E-2"/>
    <x v="1"/>
  </r>
  <r>
    <s v="165948b2c41e846df7d09b56826a747f"/>
    <x v="110"/>
    <n v="33.6"/>
    <n v="15.1"/>
    <n v="33.006422344592551"/>
    <n v="0.59357765540745078"/>
    <n v="1.7983701753870842E-2"/>
    <x v="1"/>
  </r>
  <r>
    <s v="bbf920aa6ac72007a726e6f419156f8f"/>
    <x v="171"/>
    <n v="39.9"/>
    <n v="17.600000000000001"/>
    <n v="40.885785089341809"/>
    <n v="-0.98578508934181031"/>
    <n v="-2.4110704666370386E-2"/>
    <x v="1"/>
  </r>
  <r>
    <s v="bbf920aa6ac72007a726e6f419156f8f"/>
    <x v="171"/>
    <n v="39.9"/>
    <n v="17.600000000000001"/>
    <n v="42.828014945656605"/>
    <n v="-2.9280149456566065"/>
    <n v="-6.8366814324032799E-2"/>
    <x v="0"/>
  </r>
  <r>
    <s v="3006b8f5b476750a03137c1b2755cea1"/>
    <x v="96"/>
    <n v="169.99"/>
    <n v="16.63"/>
    <n v="158.22375864960202"/>
    <n v="11.766241350397991"/>
    <n v="7.4364567311633545E-2"/>
    <x v="2"/>
  </r>
  <r>
    <s v="7d8e924f1da646ec896e1c0a80ef2f99"/>
    <x v="397"/>
    <n v="16"/>
    <n v="7.87"/>
    <n v="14.938454776162351"/>
    <n v="1.0615452238376495"/>
    <n v="7.1061246945807441E-2"/>
    <x v="2"/>
  </r>
  <r>
    <s v="b2572a992f6ea1d1a7eb518d54e64620"/>
    <x v="206"/>
    <n v="118.9"/>
    <n v="12.04"/>
    <n v="117.67874876423187"/>
    <n v="1.2212512357681362"/>
    <n v="1.0377840082366105E-2"/>
    <x v="1"/>
  </r>
  <r>
    <s v="035df2b15f358d231e00af9e62488cf4"/>
    <x v="398"/>
    <n v="51.4"/>
    <n v="14.59"/>
    <n v="56.123170969710692"/>
    <n v="-4.7231709697106936"/>
    <n v="-8.4157236451585349E-2"/>
    <x v="0"/>
  </r>
  <r>
    <s v="ca38c039b717207dec906f4fa9a21db7"/>
    <x v="399"/>
    <n v="184.99"/>
    <n v="16.05"/>
    <n v="195.63039291113748"/>
    <n v="-10.640392911137468"/>
    <n v="-5.439028543980242E-2"/>
    <x v="0"/>
  </r>
  <r>
    <s v="da7e1b2f8c91cbf61a22b55e8cd49bcd"/>
    <x v="400"/>
    <n v="76.099999999999994"/>
    <n v="20.02"/>
    <n v="73.465066213459053"/>
    <n v="2.634933786540941"/>
    <n v="3.5866486241023926E-2"/>
    <x v="1"/>
  </r>
  <r>
    <s v="40161099308e1f5f784d57e2b88b31b5"/>
    <x v="401"/>
    <n v="98"/>
    <n v="12.69"/>
    <n v="99.267370748797219"/>
    <n v="-1.2673707487972194"/>
    <n v="-1.2767244052473059E-2"/>
    <x v="1"/>
  </r>
  <r>
    <s v="527e17a9217166ba1744ef81423887ba"/>
    <x v="402"/>
    <n v="49.9"/>
    <n v="11.85"/>
    <n v="46.893986138350982"/>
    <n v="3.0060138616490164"/>
    <n v="6.4102331859364564E-2"/>
    <x v="2"/>
  </r>
  <r>
    <s v="527e17a9217166ba1744ef81423887ba"/>
    <x v="402"/>
    <n v="49.9"/>
    <n v="11.85"/>
    <n v="53.845547806985245"/>
    <n v="-3.9455478069852461"/>
    <n v="-7.3275283986866599E-2"/>
    <x v="0"/>
  </r>
  <r>
    <s v="aa8d88eb4b9cb38894e33fa624c4287f"/>
    <x v="22"/>
    <n v="55"/>
    <n v="12.83"/>
    <n v="52.297357774157526"/>
    <n v="2.7026422258424745"/>
    <n v="5.1678370397098175E-2"/>
    <x v="2"/>
  </r>
  <r>
    <s v="3631b85819ccd66432f8e4b5fb568cf2"/>
    <x v="375"/>
    <n v="19"/>
    <n v="14.1"/>
    <n v="19.944679482103375"/>
    <n v="-0.94467948210337482"/>
    <n v="-4.7364986885402104E-2"/>
    <x v="1"/>
  </r>
  <r>
    <s v="460a66fcc404a3d7306d5f50fcb2d18a"/>
    <x v="39"/>
    <n v="24.98"/>
    <n v="12.84"/>
    <n v="23.5352742326412"/>
    <n v="1.4447257673588005"/>
    <n v="6.1385550602809737E-2"/>
    <x v="2"/>
  </r>
  <r>
    <s v="f7ac498363699addc5ff78eadee46977"/>
    <x v="179"/>
    <n v="48.99"/>
    <n v="15.1"/>
    <n v="47.363952162082342"/>
    <n v="1.6260478379176604"/>
    <n v="3.4330915468228355E-2"/>
    <x v="1"/>
  </r>
  <r>
    <s v="5d66715cc928aadd0074f61332698593"/>
    <x v="204"/>
    <n v="19.899999999999999"/>
    <n v="12.48"/>
    <n v="17.958093350233771"/>
    <n v="1.9419066497662278"/>
    <n v="0.10813545802962145"/>
    <x v="2"/>
  </r>
  <r>
    <s v="5d66715cc928aadd0074f61332698593"/>
    <x v="204"/>
    <n v="19.899999999999999"/>
    <n v="12.48"/>
    <n v="20.184943561313826"/>
    <n v="-0.28494356131382759"/>
    <n v="-1.4116638991250208E-2"/>
    <x v="1"/>
  </r>
  <r>
    <s v="10717ff440b2320081989126e858b220"/>
    <x v="403"/>
    <n v="138"/>
    <n v="25.78"/>
    <n v="132.63239735423844"/>
    <n v="5.3676026457615649"/>
    <n v="4.0469770228352402E-2"/>
    <x v="1"/>
  </r>
  <r>
    <s v="32a99bb84ae79a55c0e446afc9310e1e"/>
    <x v="110"/>
    <n v="27.3"/>
    <n v="11.85"/>
    <n v="27.634906293942521"/>
    <n v="-0.33490629394252025"/>
    <n v="-1.2118958913058829E-2"/>
    <x v="1"/>
  </r>
  <r>
    <s v="c6336fa91fbd87c359e44f5dca5a90ed"/>
    <x v="142"/>
    <n v="45.9"/>
    <n v="15.1"/>
    <n v="49.160664263016116"/>
    <n v="-3.2606642630161176"/>
    <n v="-6.6326692527406236E-2"/>
    <x v="0"/>
  </r>
  <r>
    <s v="af56e0203193f066ed64cbbbbf95ae6a"/>
    <x v="404"/>
    <n v="99.9"/>
    <n v="16.46"/>
    <n v="103.72372217237715"/>
    <n v="-3.8237221723771455"/>
    <n v="-3.6864490516668402E-2"/>
    <x v="1"/>
  </r>
  <r>
    <s v="1eb85357e22bf0c8c2a6f10eafad8423"/>
    <x v="229"/>
    <n v="285.89999999999998"/>
    <n v="17.21"/>
    <n v="281.00387331285873"/>
    <n v="4.8961266871412477"/>
    <n v="1.7423698219597463E-2"/>
    <x v="1"/>
  </r>
  <r>
    <s v="4c99d6df98c5f4960cae6fd9f8603bd3"/>
    <x v="405"/>
    <n v="46.3"/>
    <n v="18.63"/>
    <n v="42.814952564407619"/>
    <n v="3.485047435592378"/>
    <n v="8.139790486395454E-2"/>
    <x v="2"/>
  </r>
  <r>
    <s v="6b7de889f456ee35f031172d358b2cd2"/>
    <x v="406"/>
    <n v="135.9"/>
    <n v="16.02"/>
    <n v="128.79391299091188"/>
    <n v="7.1060870090881281"/>
    <n v="5.5174090483527408E-2"/>
    <x v="2"/>
  </r>
  <r>
    <s v="30a47cc354b9607076272300c899dce9"/>
    <x v="69"/>
    <n v="55"/>
    <n v="8.64"/>
    <n v="54.6090956804142"/>
    <n v="0.39090431958580041"/>
    <n v="7.1582273010611314E-3"/>
    <x v="1"/>
  </r>
  <r>
    <s v="be837f2e0152a208d4386f4126d5bd7c"/>
    <x v="145"/>
    <n v="32.9"/>
    <n v="10.96"/>
    <n v="33.381730233093705"/>
    <n v="-0.48173023309370677"/>
    <n v="-1.4430954588930595E-2"/>
    <x v="1"/>
  </r>
  <r>
    <s v="aba86c093ccdbac75b09111d57e50004"/>
    <x v="21"/>
    <n v="114.6"/>
    <n v="18.52"/>
    <n v="108.21039943127518"/>
    <n v="6.3896005687248163"/>
    <n v="5.9047934415794069E-2"/>
    <x v="2"/>
  </r>
  <r>
    <s v="9af7b4a3262141c12ba9bd489a8573c7"/>
    <x v="407"/>
    <n v="47.9"/>
    <n v="19.32"/>
    <n v="45.676588314845745"/>
    <n v="2.2234116851542538"/>
    <n v="4.8677271380875076E-2"/>
    <x v="1"/>
  </r>
  <r>
    <s v="a92930c327948861c015c919a0bcb4a8"/>
    <x v="22"/>
    <n v="78"/>
    <n v="18.649999999999999"/>
    <n v="79.10443065656105"/>
    <n v="-1.1044306565610498"/>
    <n v="-1.3961678851542893E-2"/>
    <x v="1"/>
  </r>
  <r>
    <s v="81825b8f118d301ef4933de64545b307"/>
    <x v="256"/>
    <n v="165"/>
    <n v="68.13"/>
    <n v="179.96265025030377"/>
    <n v="-14.962650250303767"/>
    <n v="-8.314308679880375E-2"/>
    <x v="0"/>
  </r>
  <r>
    <s v="c4baedd846ed09b85f78a781b522f126"/>
    <x v="109"/>
    <n v="120"/>
    <n v="45.3"/>
    <n v="111.90290116271092"/>
    <n v="8.0970988372890815"/>
    <n v="7.2358256606015983E-2"/>
    <x v="2"/>
  </r>
  <r>
    <s v="473795a355d29305c3ea6b156833adf5"/>
    <x v="104"/>
    <n v="59.9"/>
    <n v="14.59"/>
    <n v="55.490728521865073"/>
    <n v="4.4092714781349258"/>
    <n v="7.9459606957539508E-2"/>
    <x v="2"/>
  </r>
  <r>
    <s v="8bd822c04ee6a8292a7b0debc3dbd74a"/>
    <x v="22"/>
    <n v="99"/>
    <n v="15.79"/>
    <n v="90.829775511128545"/>
    <n v="8.1702244888714546"/>
    <n v="8.9950948825921417E-2"/>
    <x v="2"/>
  </r>
  <r>
    <s v="8877966d8f081b2857a5e293d6ecf59e"/>
    <x v="408"/>
    <n v="59.9"/>
    <n v="8.2899999999999991"/>
    <n v="59.647490154172232"/>
    <n v="0.25250984582776681"/>
    <n v="4.2333691690144689E-3"/>
    <x v="1"/>
  </r>
  <r>
    <s v="d9d5e3c7a8d24dfb8968ba75e4313ac3"/>
    <x v="73"/>
    <n v="41.95"/>
    <n v="14.43"/>
    <n v="38.106497361158787"/>
    <n v="3.8435026388412155"/>
    <n v="0.10086213388792913"/>
    <x v="2"/>
  </r>
  <r>
    <s v="330144665b875c2b4555f88d9f4ed7c1"/>
    <x v="104"/>
    <n v="199.9"/>
    <n v="20.59"/>
    <n v="199.33909624421423"/>
    <n v="0.56090375578577323"/>
    <n v="2.8138170903443801E-3"/>
    <x v="1"/>
  </r>
  <r>
    <s v="96bd76ec8810374ed1b65e291975717f"/>
    <x v="409"/>
    <n v="79.8"/>
    <n v="7.82"/>
    <n v="82.518610835394895"/>
    <n v="-2.7186108353948981"/>
    <n v="-3.294542658768073E-2"/>
    <x v="1"/>
  </r>
  <r>
    <s v="bb50f2e236e5eea0100680137654686c"/>
    <x v="410"/>
    <n v="330"/>
    <n v="14.7"/>
    <n v="315.02759384525308"/>
    <n v="14.97240615474692"/>
    <n v="4.7527284743512407E-2"/>
    <x v="1"/>
  </r>
  <r>
    <s v="777d2e438a1b645f3aec9bd57e92672c"/>
    <x v="12"/>
    <n v="69.900000000000006"/>
    <n v="17.739999999999998"/>
    <n v="71.088482610335021"/>
    <n v="-1.188482610335015"/>
    <n v="-1.6718356711164777E-2"/>
    <x v="1"/>
  </r>
  <r>
    <s v="c1cf8f51eac90b1ff478250b3d35c37b"/>
    <x v="411"/>
    <n v="29.9"/>
    <n v="15.1"/>
    <n v="31.19907308013574"/>
    <n v="-1.2990730801357415"/>
    <n v="-4.1638194724536656E-2"/>
    <x v="1"/>
  </r>
  <r>
    <s v="d3d10495159bcc41173e3d26a273529a"/>
    <x v="390"/>
    <n v="48.65"/>
    <n v="17.600000000000001"/>
    <n v="44.187305003151479"/>
    <n v="4.4626949968485192"/>
    <n v="0.10099495763614087"/>
    <x v="2"/>
  </r>
  <r>
    <s v="5d90b82ad1fdff812987fa28158b7984"/>
    <x v="19"/>
    <n v="39.9"/>
    <n v="11.73"/>
    <n v="39.283632472980599"/>
    <n v="0.61636752701939912"/>
    <n v="1.5690186681268301E-2"/>
    <x v="1"/>
  </r>
  <r>
    <s v="839321c2db7b3b3eaff4944c3b052ecd"/>
    <x v="412"/>
    <n v="113.89"/>
    <n v="23.38"/>
    <n v="116.9203845472708"/>
    <n v="-3.0303845472707991"/>
    <n v="-2.591835939476933E-2"/>
    <x v="1"/>
  </r>
  <r>
    <s v="a4a8ee739d3d5afba72490f748dcd0da"/>
    <x v="413"/>
    <n v="195"/>
    <n v="23.91"/>
    <n v="184.19424557637447"/>
    <n v="10.80575442362553"/>
    <n v="5.8664994608341452E-2"/>
    <x v="2"/>
  </r>
  <r>
    <s v="f6fa93875f4a7dac03e0a22143f4d815"/>
    <x v="171"/>
    <n v="49.95"/>
    <n v="16.11"/>
    <n v="49.814025750132132"/>
    <n v="0.13597424986787132"/>
    <n v="2.7296378443677715E-3"/>
    <x v="1"/>
  </r>
  <r>
    <s v="aadff88486740e0b0ebe2be6c09476ae"/>
    <x v="293"/>
    <n v="29.9"/>
    <n v="15.1"/>
    <n v="27.837907920098395"/>
    <n v="2.0620920799016034"/>
    <n v="7.4074965899747644E-2"/>
    <x v="2"/>
  </r>
  <r>
    <s v="496f6bd86011e5a9ddea8dc96e802340"/>
    <x v="141"/>
    <n v="72.900000000000006"/>
    <n v="35.83"/>
    <n v="79.665741048732357"/>
    <n v="-6.7657410487323517"/>
    <n v="-8.4926606589822318E-2"/>
    <x v="0"/>
  </r>
  <r>
    <s v="c1488892604e4ba5cff5b4eb4d595400"/>
    <x v="28"/>
    <n v="38.5"/>
    <n v="19.88"/>
    <n v="38.886303422186664"/>
    <n v="-0.38630342218666414"/>
    <n v="-9.9341770286722059E-3"/>
    <x v="1"/>
  </r>
  <r>
    <s v="e44f675b60b3a3a2453ec36421e06f0f"/>
    <x v="17"/>
    <n v="106"/>
    <n v="13.18"/>
    <n v="100.02462533538154"/>
    <n v="5.9753746646184567"/>
    <n v="5.9739035708287702E-2"/>
    <x v="2"/>
  </r>
  <r>
    <s v="43cc8e4d981bc04b9d78b12e8a908d41"/>
    <x v="414"/>
    <n v="1240"/>
    <n v="102.63"/>
    <n v="1302.2316122863597"/>
    <n v="-62.231612286359677"/>
    <n v="-4.7788436173115262E-2"/>
    <x v="1"/>
  </r>
  <r>
    <s v="06f2166336faca73c644b11eaca22d06"/>
    <x v="415"/>
    <n v="105"/>
    <n v="23.89"/>
    <n v="94.599862586089372"/>
    <n v="10.400137413910628"/>
    <n v="0.10993818732501982"/>
    <x v="2"/>
  </r>
  <r>
    <s v="6d44b2c01b6843eb2e68beddf853dd82"/>
    <x v="416"/>
    <n v="24.99"/>
    <n v="17.98"/>
    <n v="23.632569408905457"/>
    <n v="1.3574305910945412"/>
    <n v="5.7438976169176967E-2"/>
    <x v="2"/>
  </r>
  <r>
    <s v="c6336fa91fbd87c359e44f5dca5a90ed"/>
    <x v="142"/>
    <n v="39.9"/>
    <n v="8.7200000000000006"/>
    <n v="43.240443341205385"/>
    <n v="-3.3404433412053862"/>
    <n v="-7.7252754206202992E-2"/>
    <x v="0"/>
  </r>
  <r>
    <s v="422879e10f46682990de24d770e7f83d"/>
    <x v="13"/>
    <n v="49"/>
    <n v="17.64"/>
    <n v="52.543610556990771"/>
    <n v="-3.543610556990771"/>
    <n v="-6.7441321969057264E-2"/>
    <x v="0"/>
  </r>
  <r>
    <s v="422879e10f46682990de24d770e7f83d"/>
    <x v="13"/>
    <n v="49"/>
    <n v="17.64"/>
    <n v="51.284377512048813"/>
    <n v="-2.2843775120488132"/>
    <n v="-4.4543340932862427E-2"/>
    <x v="1"/>
  </r>
  <r>
    <s v="2a71952901bd77a33530d79a65b13747"/>
    <x v="417"/>
    <n v="39.99"/>
    <n v="18.38"/>
    <n v="40.292839396164133"/>
    <n v="-0.30283939616413136"/>
    <n v="-7.5159606695020253E-3"/>
    <x v="1"/>
  </r>
  <r>
    <s v="de7034010d180a33f04a16b235281265"/>
    <x v="418"/>
    <n v="28.9"/>
    <n v="13.37"/>
    <n v="29.181996044485793"/>
    <n v="-0.28199604448579407"/>
    <n v="-9.6633569566630054E-3"/>
    <x v="1"/>
  </r>
  <r>
    <s v="d05d4a7430d1293367ba2ffbedcdef05"/>
    <x v="419"/>
    <n v="1799"/>
    <n v="27.34"/>
    <n v="1857.3886158353846"/>
    <n v="-58.388615835384599"/>
    <n v="-3.1435863953071318E-2"/>
    <x v="1"/>
  </r>
  <r>
    <s v="f731f8587d4088c174397e010cf892a9"/>
    <x v="10"/>
    <n v="56.99"/>
    <n v="17.68"/>
    <n v="59.261763584979612"/>
    <n v="-2.2717635849796096"/>
    <n v="-3.8334390466155603E-2"/>
    <x v="1"/>
  </r>
  <r>
    <s v="6b017e0d95d8765a6f2bed3bc272c61e"/>
    <x v="420"/>
    <n v="59.9"/>
    <n v="11.92"/>
    <n v="60.775822048283885"/>
    <n v="-0.87582204828388655"/>
    <n v="-1.4410698510800594E-2"/>
    <x v="1"/>
  </r>
  <r>
    <s v="4debd977b5bc245487ec61b7961b16e3"/>
    <x v="32"/>
    <n v="12.67"/>
    <n v="7.78"/>
    <n v="12.492914660442747"/>
    <n v="0.17708533955725336"/>
    <n v="1.4174861861337448E-2"/>
    <x v="1"/>
  </r>
  <r>
    <s v="dce4459168283eed926d7af76ba39e02"/>
    <x v="421"/>
    <n v="18.899999999999999"/>
    <n v="7.39"/>
    <n v="18.776514216015805"/>
    <n v="0.12348578398419363"/>
    <n v="6.5766085527666236E-3"/>
    <x v="1"/>
  </r>
  <r>
    <s v="2f5895fbda5cbf713513c5b641383a97"/>
    <x v="422"/>
    <n v="27.9"/>
    <n v="19.39"/>
    <n v="27.578883523518186"/>
    <n v="0.32111647648181219"/>
    <n v="1.1643563315678705E-2"/>
    <x v="1"/>
  </r>
  <r>
    <s v="4c2065301aac51ff9004422acc07765d"/>
    <x v="405"/>
    <n v="98.8"/>
    <n v="17.940000000000001"/>
    <n v="94.694165553406151"/>
    <n v="4.1058344465938461"/>
    <n v="4.3358895689071933E-2"/>
    <x v="1"/>
  </r>
  <r>
    <s v="3a77cc438baf789ed16b12b553ce504a"/>
    <x v="423"/>
    <n v="29.99"/>
    <n v="21.82"/>
    <n v="31.042307273907813"/>
    <n v="-1.0523072739078145"/>
    <n v="-3.3899132065879557E-2"/>
    <x v="1"/>
  </r>
  <r>
    <s v="4e6a8880f494b097db7cf4866e0209d8"/>
    <x v="424"/>
    <n v="72.599999999999994"/>
    <n v="17.760000000000002"/>
    <n v="72.082974716049378"/>
    <n v="0.5170252839506162"/>
    <n v="7.1726407794252666E-3"/>
    <x v="1"/>
  </r>
  <r>
    <s v="bd07b66896d6f1494f5b86251848ced7"/>
    <x v="21"/>
    <n v="139.94"/>
    <n v="17.71"/>
    <n v="146.54279711153177"/>
    <n v="-6.6027971115317712"/>
    <n v="-4.5057124892371681E-2"/>
    <x v="1"/>
  </r>
  <r>
    <s v="89e30d3452ed2e7f8d86803da7954f05"/>
    <x v="259"/>
    <n v="284.8"/>
    <n v="9.18"/>
    <n v="308.02593375905678"/>
    <n v="-23.225933759056772"/>
    <n v="-7.5402526909388409E-2"/>
    <x v="0"/>
  </r>
  <r>
    <s v="a3bd84c2a6d25ea7bc0e55c64d0760ae"/>
    <x v="425"/>
    <n v="199"/>
    <n v="14.3"/>
    <n v="198.05763977591457"/>
    <n v="0.94236022408543363"/>
    <n v="4.7580099669552473E-3"/>
    <x v="1"/>
  </r>
  <r>
    <s v="77f217636750a5d2e21017effe0a634d"/>
    <x v="426"/>
    <n v="125"/>
    <n v="18.98"/>
    <n v="126.65391464472869"/>
    <n v="-1.6539146447286868"/>
    <n v="-1.3058535532581128E-2"/>
    <x v="1"/>
  </r>
  <r>
    <s v="cac52d956eff0cacf32f4b0f0f3aac5c"/>
    <x v="85"/>
    <n v="32"/>
    <n v="8.8800000000000008"/>
    <n v="32.210727566715164"/>
    <n v="-0.21072756671516402"/>
    <n v="-6.5421548233799776E-3"/>
    <x v="1"/>
  </r>
  <r>
    <s v="b1d207586fca400a2370d50a9ba1da98"/>
    <x v="326"/>
    <n v="149"/>
    <n v="14.79"/>
    <n v="153.72585371060788"/>
    <n v="-4.7258537106078791"/>
    <n v="-3.0742087921686857E-2"/>
    <x v="1"/>
  </r>
  <r>
    <s v="d63c1011f49d98b976c352955b1c4bea"/>
    <x v="10"/>
    <n v="59.99"/>
    <n v="16.39"/>
    <n v="64.285019600150775"/>
    <n v="-4.2950196001507734"/>
    <n v="-6.6812137988998918E-2"/>
    <x v="0"/>
  </r>
  <r>
    <s v="81e61097d1704e63a1d881c02d76934a"/>
    <x v="110"/>
    <n v="13.3"/>
    <n v="8.11"/>
    <n v="12.981609823954527"/>
    <n v="0.31839017604547415"/>
    <n v="2.4526247542732298E-2"/>
    <x v="1"/>
  </r>
  <r>
    <s v="99aa268744e2967e0ed6d3b22a38eff2"/>
    <x v="427"/>
    <n v="84.9"/>
    <n v="27.44"/>
    <n v="78.713198254170322"/>
    <n v="6.1868017458296833"/>
    <n v="7.8599293168752665E-2"/>
    <x v="2"/>
  </r>
  <r>
    <s v="4befae07dba4384f6d8237ad1e7f8294"/>
    <x v="229"/>
    <n v="329"/>
    <n v="15.32"/>
    <n v="356.55885778805259"/>
    <n v="-27.558857788052592"/>
    <n v="-7.7291188217890966E-2"/>
    <x v="0"/>
  </r>
  <r>
    <s v="30ccf4724f5227265f837e9ba0246278"/>
    <x v="73"/>
    <n v="83.9"/>
    <n v="28.99"/>
    <n v="84.1653396999737"/>
    <n v="-0.26533969997369411"/>
    <n v="-3.1526005944912385E-3"/>
    <x v="1"/>
  </r>
  <r>
    <s v="acef497c1130f71ccfe63aaa1c9a607d"/>
    <x v="428"/>
    <n v="559.99"/>
    <n v="19.36"/>
    <n v="551.65275366240292"/>
    <n v="8.3372463375970938"/>
    <n v="1.5113214394827931E-2"/>
    <x v="1"/>
  </r>
  <r>
    <s v="0c4e43e25f781898363a83f9a7390ebb"/>
    <x v="429"/>
    <n v="109"/>
    <n v="8.35"/>
    <n v="107.10779481129562"/>
    <n v="1.8922051887043807"/>
    <n v="1.7666363050776096E-2"/>
    <x v="1"/>
  </r>
  <r>
    <s v="0c4e43e25f781898363a83f9a7390ebb"/>
    <x v="429"/>
    <n v="109"/>
    <n v="8.35"/>
    <n v="98.164933483976242"/>
    <n v="10.835066516023758"/>
    <n v="0.11037614076102235"/>
    <x v="2"/>
  </r>
  <r>
    <s v="0c4e43e25f781898363a83f9a7390ebb"/>
    <x v="429"/>
    <n v="109"/>
    <n v="8.35"/>
    <n v="108.17868831201029"/>
    <n v="0.82131168798970577"/>
    <n v="7.5921764333180724E-3"/>
    <x v="1"/>
  </r>
  <r>
    <s v="b77f596e85780e540958a58d35836e96"/>
    <x v="430"/>
    <n v="25"/>
    <n v="14.1"/>
    <n v="22.584213531844608"/>
    <n v="2.4157864681553924"/>
    <n v="0.10696792539395011"/>
    <x v="2"/>
  </r>
  <r>
    <s v="a19b6951c75da43aad691622dd2f6abe"/>
    <x v="186"/>
    <n v="38.4"/>
    <n v="19.84"/>
    <n v="35.281872521769785"/>
    <n v="3.118127478230214"/>
    <n v="8.8377607404659497E-2"/>
    <x v="2"/>
  </r>
  <r>
    <s v="a19b6951c75da43aad691622dd2f6abe"/>
    <x v="186"/>
    <n v="38.4"/>
    <n v="19.84"/>
    <n v="38.131677079319594"/>
    <n v="0.26832292068040431"/>
    <n v="7.0367458562667594E-3"/>
    <x v="1"/>
  </r>
  <r>
    <s v="f5badee8a0e679f057ec0ca4f0f32dcb"/>
    <x v="431"/>
    <n v="109.9"/>
    <n v="8.93"/>
    <n v="99.543863905473231"/>
    <n v="10.356136094526775"/>
    <n v="0.1040359062650105"/>
    <x v="2"/>
  </r>
  <r>
    <s v="33e77eecc23c25a65d10f627e5053617"/>
    <x v="432"/>
    <n v="129.96"/>
    <n v="29.1"/>
    <n v="129.34237113432843"/>
    <n v="0.61762886567157693"/>
    <n v="4.7751472333079385E-3"/>
    <x v="1"/>
  </r>
  <r>
    <s v="9048cbd294fe0c1a3ec8c8248bc2cadd"/>
    <x v="215"/>
    <n v="59.9"/>
    <n v="17.63"/>
    <n v="54.518250016552507"/>
    <n v="5.3817499834474916"/>
    <n v="9.8714650265067511E-2"/>
    <x v="2"/>
  </r>
  <r>
    <s v="db123b35396aafabb2d5b476557abed5"/>
    <x v="12"/>
    <n v="76.900000000000006"/>
    <n v="14.63"/>
    <n v="84.571844158529174"/>
    <n v="-7.6718441585291686"/>
    <n v="-9.0713927724555291E-2"/>
    <x v="0"/>
  </r>
  <r>
    <s v="6cc44821f36f3156c782da72dd634e47"/>
    <x v="293"/>
    <n v="99.9"/>
    <n v="17.95"/>
    <n v="96.993062705013898"/>
    <n v="2.9069372949861076"/>
    <n v="2.9970569171807772E-2"/>
    <x v="1"/>
  </r>
  <r>
    <s v="7e99ab6d9d5d63b0190513103bdc1188"/>
    <x v="433"/>
    <n v="133"/>
    <n v="22.99"/>
    <n v="125.1849347837323"/>
    <n v="7.8150652162676977"/>
    <n v="6.2428160623072514E-2"/>
    <x v="2"/>
  </r>
  <r>
    <s v="7e99ab6d9d5d63b0190513103bdc1188"/>
    <x v="433"/>
    <n v="133"/>
    <n v="22.99"/>
    <n v="134.0648981220188"/>
    <n v="-1.0648981220188034"/>
    <n v="-7.943153927209113E-3"/>
    <x v="1"/>
  </r>
  <r>
    <s v="2155593e689475e40e4c8b93143c0287"/>
    <x v="265"/>
    <n v="34.9"/>
    <n v="15.11"/>
    <n v="32.904230144871612"/>
    <n v="1.9957698551283869"/>
    <n v="6.0653899098728606E-2"/>
    <x v="2"/>
  </r>
  <r>
    <s v="e00d2c49504aeaf7acdc9ff7cf8a6107"/>
    <x v="81"/>
    <n v="249.99"/>
    <n v="10.74"/>
    <n v="259.22896683104494"/>
    <n v="-9.2389668310449338"/>
    <n v="-3.5640179197514305E-2"/>
    <x v="1"/>
  </r>
  <r>
    <s v="e00d2c49504aeaf7acdc9ff7cf8a6107"/>
    <x v="81"/>
    <n v="249.99"/>
    <n v="10.74"/>
    <n v="234.24468670591904"/>
    <n v="15.745313294080972"/>
    <n v="6.7217376477137866E-2"/>
    <x v="2"/>
  </r>
  <r>
    <s v="6a595ba787e397469b1a147508f361a9"/>
    <x v="434"/>
    <n v="179.49"/>
    <n v="9.4499999999999993"/>
    <n v="168.2379326088589"/>
    <n v="11.252067391141111"/>
    <n v="6.6881869128179075E-2"/>
    <x v="2"/>
  </r>
  <r>
    <s v="a819714dd23a6ac18b1be2b13686017b"/>
    <x v="435"/>
    <n v="51.5"/>
    <n v="14.53"/>
    <n v="50.935642697815076"/>
    <n v="0.56435730218492353"/>
    <n v="1.1079811155678852E-2"/>
    <x v="1"/>
  </r>
  <r>
    <s v="bdf752aa5ccd0dfb9e9ed401b672f133"/>
    <x v="337"/>
    <n v="84.99"/>
    <n v="12.09"/>
    <n v="79.206796073032322"/>
    <n v="5.7832039269676727"/>
    <n v="7.3013986345758661E-2"/>
    <x v="2"/>
  </r>
  <r>
    <s v="7535f3518e1009b17aa6e3fa553e82bc"/>
    <x v="436"/>
    <n v="479"/>
    <n v="55.36"/>
    <n v="504.31043551047998"/>
    <n v="-25.310435510479977"/>
    <n v="-5.0188204979061957E-2"/>
    <x v="0"/>
  </r>
  <r>
    <s v="b532349fe46b38fbc7bb3914c1bdae07"/>
    <x v="186"/>
    <n v="38.4"/>
    <n v="12.69"/>
    <n v="37.484708345119707"/>
    <n v="0.91529165488029207"/>
    <n v="2.4417734465298508E-2"/>
    <x v="1"/>
  </r>
  <r>
    <s v="b532349fe46b38fbc7bb3914c1bdae07"/>
    <x v="186"/>
    <n v="38.4"/>
    <n v="12.69"/>
    <n v="36.897846557796278"/>
    <n v="1.5021534422037206"/>
    <n v="4.0711141227463457E-2"/>
    <x v="1"/>
  </r>
  <r>
    <s v="b532349fe46b38fbc7bb3914c1bdae07"/>
    <x v="186"/>
    <n v="38.4"/>
    <n v="12.69"/>
    <n v="35.334452557856039"/>
    <n v="3.0655474421439592"/>
    <n v="8.6758028502761805E-2"/>
    <x v="2"/>
  </r>
  <r>
    <s v="f6fa93875f4a7dac03e0a22143f4d815"/>
    <x v="171"/>
    <n v="49.95"/>
    <n v="11.85"/>
    <n v="46.040491357457697"/>
    <n v="3.9095086425423062"/>
    <n v="8.4914572526799043E-2"/>
    <x v="2"/>
  </r>
  <r>
    <s v="729c55b4509d36c18b86f0bacc17ca5d"/>
    <x v="20"/>
    <n v="24.99"/>
    <n v="15.1"/>
    <n v="24.942264804557642"/>
    <n v="4.7735195442356826E-2"/>
    <n v="1.913827626175883E-3"/>
    <x v="1"/>
  </r>
  <r>
    <s v="f71f42e2381752836563b70beb542f80"/>
    <x v="150"/>
    <n v="31.9"/>
    <n v="16.79"/>
    <n v="31.933871893266989"/>
    <n v="-3.3871893266990583E-2"/>
    <n v="-1.0606885810840938E-3"/>
    <x v="1"/>
  </r>
  <r>
    <s v="259bd66612b61aa4e82ce3cde9272bbc"/>
    <x v="52"/>
    <n v="32"/>
    <n v="17.63"/>
    <n v="29.253510832813415"/>
    <n v="2.746489167186585"/>
    <n v="9.388579657611118E-2"/>
    <x v="2"/>
  </r>
  <r>
    <s v="f9b178c9fdc90bbcfbd6c6b49ed47d4c"/>
    <x v="186"/>
    <n v="70"/>
    <n v="27.26"/>
    <n v="68.430202874900388"/>
    <n v="1.5697971250996119"/>
    <n v="2.2940120869865199E-2"/>
    <x v="1"/>
  </r>
  <r>
    <s v="d63c1011f49d98b976c352955b1c4bea"/>
    <x v="10"/>
    <n v="59.99"/>
    <n v="8.8800000000000008"/>
    <n v="61.322310211756381"/>
    <n v="-1.3323102117563792"/>
    <n v="-2.1726353869508261E-2"/>
    <x v="1"/>
  </r>
  <r>
    <s v="aefd95d8fa48ead0bcdec7fb758daea0"/>
    <x v="437"/>
    <n v="22.9"/>
    <n v="14.1"/>
    <n v="23.59397881611374"/>
    <n v="-0.69397881611374146"/>
    <n v="-2.9413386420427817E-2"/>
    <x v="1"/>
  </r>
  <r>
    <s v="84db874a1a2d895b0eece26cc9bb3dd3"/>
    <x v="438"/>
    <n v="49.9"/>
    <n v="11.62"/>
    <n v="48.313111624034512"/>
    <n v="1.5868883759654864"/>
    <n v="3.2845915376231966E-2"/>
    <x v="1"/>
  </r>
  <r>
    <s v="8b52d90d2e8716dad633486c6cc94ecf"/>
    <x v="439"/>
    <n v="989"/>
    <n v="28.63"/>
    <n v="940.59250965329102"/>
    <n v="48.407490346708983"/>
    <n v="5.1464890321689168E-2"/>
    <x v="2"/>
  </r>
  <r>
    <s v="7564c1759c04fc0a38f2aa84f7a370ee"/>
    <x v="440"/>
    <n v="45.97"/>
    <n v="13.9"/>
    <n v="49.563523757751192"/>
    <n v="-3.5935237577511927"/>
    <n v="-7.2503395346042263E-2"/>
    <x v="0"/>
  </r>
  <r>
    <s v="8569e9a17c2b63e9e6e998dac2dfa533"/>
    <x v="441"/>
    <n v="40.75"/>
    <n v="22.23"/>
    <n v="42.09831107427722"/>
    <n v="-1.3483110742772197"/>
    <n v="-3.2027676167300227E-2"/>
    <x v="1"/>
  </r>
  <r>
    <s v="81b6c7c058add831803fcbba6dcc1df2"/>
    <x v="293"/>
    <n v="99.9"/>
    <n v="12.19"/>
    <n v="107.01489693691867"/>
    <n v="-7.1148969369186688"/>
    <n v="-6.6485107593129186E-2"/>
    <x v="0"/>
  </r>
  <r>
    <s v="c4369b26f349bc301a680a89415b1344"/>
    <x v="442"/>
    <n v="99.9"/>
    <n v="13.82"/>
    <n v="92.317946201109379"/>
    <n v="7.5820537988906267"/>
    <n v="8.2129792861439482E-2"/>
    <x v="2"/>
  </r>
  <r>
    <s v="d04857e7b4b708ee8b8b9921163edba3"/>
    <x v="51"/>
    <n v="67.989999999999995"/>
    <n v="52.83"/>
    <n v="70.879599072553873"/>
    <n v="-2.889599072553878"/>
    <n v="-4.0767711871451513E-2"/>
    <x v="1"/>
  </r>
  <r>
    <s v="84f456958365164420cfc80fbe4c7fab"/>
    <x v="12"/>
    <n v="92"/>
    <n v="13.66"/>
    <n v="85.183152030953607"/>
    <n v="6.8168479690463926"/>
    <n v="8.0025777474978924E-2"/>
    <x v="2"/>
  </r>
  <r>
    <s v="216bb0e0cd43ffd832e0973d35e0377e"/>
    <x v="52"/>
    <n v="45"/>
    <n v="7.39"/>
    <n v="46.246113992414429"/>
    <n v="-1.2461139924144291"/>
    <n v="-2.6945269231028239E-2"/>
    <x v="1"/>
  </r>
  <r>
    <s v="a0f12db60a5019ce1a4c21fce1697574"/>
    <x v="105"/>
    <n v="99"/>
    <n v="13.71"/>
    <n v="105.02188032407244"/>
    <n v="-6.0218803240724412"/>
    <n v="-5.7339292588271668E-2"/>
    <x v="0"/>
  </r>
  <r>
    <s v="09738baf9be60e4c294fa5d0bfcc690d"/>
    <x v="443"/>
    <n v="57.2"/>
    <n v="12.84"/>
    <n v="57.14211797864354"/>
    <n v="5.7882021356462587E-2"/>
    <n v="1.0129484766052176E-3"/>
    <x v="1"/>
  </r>
  <r>
    <s v="2b4609f8948be18874494203496bc318"/>
    <x v="10"/>
    <n v="89.99"/>
    <n v="16.39"/>
    <n v="86.792280512600655"/>
    <n v="3.1977194873993398"/>
    <n v="3.6843362894872771E-2"/>
    <x v="1"/>
  </r>
  <r>
    <s v="20bc10f7f2776f8b2eb6b817d2df190a"/>
    <x v="444"/>
    <n v="29.9"/>
    <n v="13.71"/>
    <n v="27.875436773456681"/>
    <n v="2.024563226543318"/>
    <n v="7.2628932884421418E-2"/>
    <x v="2"/>
  </r>
  <r>
    <s v="c92a761aaccfb831d4220d44648f260a"/>
    <x v="145"/>
    <n v="24.9"/>
    <n v="18.27"/>
    <n v="25.421029751273149"/>
    <n v="-0.52102975127315077"/>
    <n v="-2.0496012804007528E-2"/>
    <x v="1"/>
  </r>
  <r>
    <s v="4e0d01d5e5e4bd454e71e7cd1491c052"/>
    <x v="8"/>
    <n v="76.489999999999995"/>
    <n v="9.5299999999999994"/>
    <n v="81.223995202160282"/>
    <n v="-4.7339952021602869"/>
    <n v="-5.8283210403252593E-2"/>
    <x v="0"/>
  </r>
  <r>
    <s v="93c902b021a9e594f658ab1b0351602a"/>
    <x v="119"/>
    <n v="103.9"/>
    <n v="14.33"/>
    <n v="99.591866518406789"/>
    <n v="4.3081334815932166"/>
    <n v="4.3257884726931768E-2"/>
    <x v="1"/>
  </r>
  <r>
    <s v="aed75ad669fbebd5a385ac7cc2ae7573"/>
    <x v="445"/>
    <n v="550"/>
    <n v="98.77"/>
    <n v="576.92495800467248"/>
    <n v="-26.924958004672476"/>
    <n v="-4.6669775039363808E-2"/>
    <x v="1"/>
  </r>
  <r>
    <s v="41b43381a92451746dc1374dbbd4c43e"/>
    <x v="21"/>
    <n v="149.99"/>
    <n v="21.09"/>
    <n v="151.49837470071901"/>
    <n v="-1.5083747007190027"/>
    <n v="-9.9563754640850551E-3"/>
    <x v="1"/>
  </r>
  <r>
    <s v="4100a608bd0aa524b06ffefba973707b"/>
    <x v="446"/>
    <n v="32.99"/>
    <n v="21.15"/>
    <n v="36.028186900916168"/>
    <n v="-3.0381869009161662"/>
    <n v="-8.4328054289040777E-2"/>
    <x v="0"/>
  </r>
  <r>
    <s v="45f0310974e6082deeda855f91984347"/>
    <x v="64"/>
    <n v="119"/>
    <n v="27.13"/>
    <n v="126.1653034034069"/>
    <n v="-7.1653034034068952"/>
    <n v="-5.6792978815231127E-2"/>
    <x v="0"/>
  </r>
  <r>
    <s v="ddbcffa21df7d85a96fc395a6d9ca334"/>
    <x v="257"/>
    <n v="35.9"/>
    <n v="11.85"/>
    <n v="38.898229788115934"/>
    <n v="-2.9982297881159354"/>
    <n v="-7.7078823495251844E-2"/>
    <x v="0"/>
  </r>
  <r>
    <s v="716586b5781e43926d404ad0f11669e8"/>
    <x v="72"/>
    <n v="89"/>
    <n v="17.53"/>
    <n v="97.483770521524832"/>
    <n v="-8.483770521524832"/>
    <n v="-8.7027517258901871E-2"/>
    <x v="0"/>
  </r>
  <r>
    <s v="165f86fe8b799a708a20ee4ba125c289"/>
    <x v="447"/>
    <n v="146.99"/>
    <n v="16.66"/>
    <n v="135.48369167779612"/>
    <n v="11.506308322203893"/>
    <n v="8.4927626194065506E-2"/>
    <x v="2"/>
  </r>
  <r>
    <s v="a3daee3915d4fb98376e039ede6bdea6"/>
    <x v="448"/>
    <n v="50"/>
    <n v="19.59"/>
    <n v="46.505250381875953"/>
    <n v="3.4947496181240467"/>
    <n v="7.5147420762753755E-2"/>
    <x v="2"/>
  </r>
  <r>
    <s v="0cf573090c66bb30ac5e53c82bdb0403"/>
    <x v="56"/>
    <n v="59"/>
    <n v="25.69"/>
    <n v="54.09443435999323"/>
    <n v="4.9055656400067704"/>
    <n v="9.0685219247523791E-2"/>
    <x v="2"/>
  </r>
  <r>
    <s v="6b6b162b177d0f36987993aecbe1c65f"/>
    <x v="368"/>
    <n v="109.99"/>
    <n v="23.25"/>
    <n v="114.39137161973611"/>
    <n v="-4.4013716197361106"/>
    <n v="-3.8476430148659355E-2"/>
    <x v="1"/>
  </r>
  <r>
    <s v="4dba4de4cd67ba2191c34468ac2ca841"/>
    <x v="1"/>
    <n v="38.9"/>
    <n v="16.559999999999999"/>
    <n v="42.035742988397331"/>
    <n v="-3.1357429883973325"/>
    <n v="-7.4597063486254001E-2"/>
    <x v="0"/>
  </r>
  <r>
    <s v="784c94d1803e49492d2758907914b26c"/>
    <x v="368"/>
    <n v="109.9"/>
    <n v="19.760000000000002"/>
    <n v="110.48342827482576"/>
    <n v="-0.58342827482574933"/>
    <n v="-5.2806858362005283E-3"/>
    <x v="1"/>
  </r>
  <r>
    <s v="73bc42701d50d3c0673b38ea8fbe2e32"/>
    <x v="21"/>
    <n v="259.99"/>
    <n v="66.63"/>
    <n v="265.85492442128867"/>
    <n v="-5.8649244212886629"/>
    <n v="-2.2060619843906948E-2"/>
    <x v="1"/>
  </r>
  <r>
    <s v="6b20221ff09d73c64c77d9d934b9904c"/>
    <x v="125"/>
    <n v="59"/>
    <n v="16.170000000000002"/>
    <n v="60.737007746252502"/>
    <n v="-1.7370077462525018"/>
    <n v="-2.8598836371877011E-2"/>
    <x v="1"/>
  </r>
  <r>
    <s v="5a9f5760be273f3c7994beec0dbee655"/>
    <x v="72"/>
    <n v="69"/>
    <n v="13.84"/>
    <n v="74.822407653311245"/>
    <n v="-5.8224076533112452"/>
    <n v="-7.7816363251625151E-2"/>
    <x v="0"/>
  </r>
  <r>
    <s v="00ab8a8b9fe219511dc3f178c6d79698"/>
    <x v="449"/>
    <n v="89.99"/>
    <n v="22.1"/>
    <n v="91.304456863069717"/>
    <n v="-1.3144568630697222"/>
    <n v="-1.4396415117402511E-2"/>
    <x v="1"/>
  </r>
  <r>
    <s v="fb55982be901439613a95940feefd9ee"/>
    <x v="105"/>
    <n v="79"/>
    <n v="32.49"/>
    <n v="77.684784621081562"/>
    <n v="1.3152153789184382"/>
    <n v="1.6930154152239536E-2"/>
    <x v="1"/>
  </r>
  <r>
    <s v="f1b067568bb39768f754b0d1ab1abcf6"/>
    <x v="105"/>
    <n v="99"/>
    <n v="3.25"/>
    <n v="89.606848324655743"/>
    <n v="9.3931516753442565"/>
    <n v="0.10482626998900582"/>
    <x v="2"/>
  </r>
  <r>
    <s v="25f86162fee18735fffdb762dcb10d7c"/>
    <x v="236"/>
    <n v="149.9"/>
    <n v="21.54"/>
    <n v="159.823765545171"/>
    <n v="-9.9237655451709941"/>
    <n v="-6.2091926762708138E-2"/>
    <x v="0"/>
  </r>
  <r>
    <s v="d918b3f4aa5272c2c3cd088d087ca069"/>
    <x v="48"/>
    <n v="139.9"/>
    <n v="22.85"/>
    <n v="130.19703922590148"/>
    <n v="9.7029607740985284"/>
    <n v="7.4525202967658702E-2"/>
    <x v="2"/>
  </r>
  <r>
    <s v="ab1f9387c0627dd24000bfbc54fdeee0"/>
    <x v="33"/>
    <n v="12.25"/>
    <n v="7.39"/>
    <n v="11.571052447020497"/>
    <n v="0.67894755297950304"/>
    <n v="5.8676387138347948E-2"/>
    <x v="2"/>
  </r>
  <r>
    <s v="338aa2ba639b0be9950da484aac036c4"/>
    <x v="182"/>
    <n v="46.9"/>
    <n v="7.39"/>
    <n v="42.568442000780607"/>
    <n v="4.3315579992193918"/>
    <n v="0.10175514525854532"/>
    <x v="2"/>
  </r>
  <r>
    <s v="8983a3b149303c013fceabef902e835a"/>
    <x v="51"/>
    <n v="99"/>
    <n v="14.05"/>
    <n v="93.706322210077005"/>
    <n v="5.2936777899229952"/>
    <n v="5.649221594734323E-2"/>
    <x v="2"/>
  </r>
  <r>
    <s v="eae99ba0d11a9e56ddc878519bdb33b1"/>
    <x v="450"/>
    <n v="48.9"/>
    <n v="7.94"/>
    <n v="52.902819486596954"/>
    <n v="-4.0028194865969553"/>
    <n v="-7.5663632400747152E-2"/>
    <x v="0"/>
  </r>
  <r>
    <s v="169e1fedd1319ca92e90e057e7123005"/>
    <x v="174"/>
    <n v="69.489999999999995"/>
    <n v="16.25"/>
    <n v="66.286852160756126"/>
    <n v="3.2031478392438686"/>
    <n v="4.8322521508122412E-2"/>
    <x v="1"/>
  </r>
  <r>
    <s v="1e291c0c369924c39765c90de669e4b4"/>
    <x v="44"/>
    <n v="149"/>
    <n v="74.989999999999995"/>
    <n v="144.98792606420869"/>
    <n v="4.0120739357913067"/>
    <n v="2.7671779607458747E-2"/>
    <x v="1"/>
  </r>
  <r>
    <s v="547b95702aec86f05ac37e61d164891c"/>
    <x v="133"/>
    <n v="129"/>
    <n v="34.979999999999997"/>
    <n v="127.82452516899583"/>
    <n v="1.1754748310041663"/>
    <n v="9.1960038924461477E-3"/>
    <x v="1"/>
  </r>
  <r>
    <s v="e53e557d5a159f5aa2c5e995dfdf244b"/>
    <x v="90"/>
    <n v="84"/>
    <n v="17.03"/>
    <n v="82.193590888780477"/>
    <n v="1.8064091112195229"/>
    <n v="2.1977493520922441E-2"/>
    <x v="1"/>
  </r>
  <r>
    <s v="91c82ace62e0ca1b69b1a45bcc214b45"/>
    <x v="451"/>
    <n v="169.99"/>
    <n v="19.07"/>
    <n v="180.94422286394146"/>
    <n v="-10.954222863941453"/>
    <n v="-6.0539224135264774E-2"/>
    <x v="0"/>
  </r>
  <r>
    <s v="c7b3b8509e06ae21abdd78b541215cda"/>
    <x v="104"/>
    <n v="119.9"/>
    <n v="15.59"/>
    <n v="126.79873251084393"/>
    <n v="-6.8987325108439279"/>
    <n v="-5.4406951664551874E-2"/>
    <x v="0"/>
  </r>
  <r>
    <s v="8f71fe1e1b5bbb6773e7276b5c37ef65"/>
    <x v="452"/>
    <n v="73.900000000000006"/>
    <n v="11.62"/>
    <n v="68.912286546002647"/>
    <n v="4.9877134539973582"/>
    <n v="7.2377709462126058E-2"/>
    <x v="2"/>
  </r>
  <r>
    <s v="5edf955f0c8417e3fea7288360c2e22d"/>
    <x v="453"/>
    <n v="17.899999999999999"/>
    <n v="17.059999999999999"/>
    <n v="17.043064961103894"/>
    <n v="0.85693503889610412"/>
    <n v="5.0280571062295575E-2"/>
    <x v="2"/>
  </r>
  <r>
    <s v="188c9cb0aff9e485e3f84752731c633a"/>
    <x v="453"/>
    <n v="17.899999999999999"/>
    <n v="17.059999999999999"/>
    <n v="19.6658665360691"/>
    <n v="-1.765866536069101"/>
    <n v="-8.9793477080215664E-2"/>
    <x v="0"/>
  </r>
  <r>
    <s v="2b10e945dae5434075c8bb2be0d17325"/>
    <x v="293"/>
    <n v="279.89999999999998"/>
    <n v="30.84"/>
    <n v="292.2323428226714"/>
    <n v="-12.332342822671421"/>
    <n v="-4.2200472074902302E-2"/>
    <x v="1"/>
  </r>
  <r>
    <s v="eb53f94fdc60278efcef123bb275658a"/>
    <x v="293"/>
    <n v="329.9"/>
    <n v="33.82"/>
    <n v="304.06726050657386"/>
    <n v="25.832739493426118"/>
    <n v="8.4957319806114484E-2"/>
    <x v="2"/>
  </r>
  <r>
    <s v="372645c7439f9661fbbacfd129aa92ec"/>
    <x v="293"/>
    <n v="119.9"/>
    <n v="13.13"/>
    <n v="110.71222641315707"/>
    <n v="9.1877735868429369"/>
    <n v="8.2987885660937802E-2"/>
    <x v="2"/>
  </r>
  <r>
    <s v="525947dbe3304ac32bf51602f9557c12"/>
    <x v="293"/>
    <n v="119.9"/>
    <n v="12.33"/>
    <n v="116.47960987028112"/>
    <n v="3.4203901297188821"/>
    <n v="2.9364711416255941E-2"/>
    <x v="1"/>
  </r>
  <r>
    <s v="e38bfda757257dee1985af625f8911fc"/>
    <x v="81"/>
    <n v="349.99"/>
    <n v="18.760000000000002"/>
    <n v="318.78292284294827"/>
    <n v="31.207077157051742"/>
    <n v="9.7894444529032176E-2"/>
    <x v="2"/>
  </r>
  <r>
    <s v="2742ee84b28b08268f169c5483f71b4a"/>
    <x v="117"/>
    <n v="110"/>
    <n v="20.010000000000002"/>
    <n v="114.27932674107745"/>
    <n v="-4.2793267410774547"/>
    <n v="-3.7446201890680722E-2"/>
    <x v="1"/>
  </r>
  <r>
    <s v="1613b819ab5dae53aead2dbb4ebdb378"/>
    <x v="27"/>
    <n v="27.9"/>
    <n v="18.3"/>
    <n v="25.430870096628883"/>
    <n v="2.4691299033711154"/>
    <n v="9.7091837361019881E-2"/>
    <x v="2"/>
  </r>
  <r>
    <s v="ec2d43cc59763ec91694573b31f1c29a"/>
    <x v="19"/>
    <n v="45.9"/>
    <n v="15.11"/>
    <n v="50.079546741581574"/>
    <n v="-4.179546741581575"/>
    <n v="-8.3458158340543709E-2"/>
    <x v="0"/>
  </r>
  <r>
    <s v="c4baedd846ed09b85f78a781b522f126"/>
    <x v="109"/>
    <n v="89.99"/>
    <n v="45.09"/>
    <n v="81.173665102998129"/>
    <n v="8.816334897001866"/>
    <n v="0.10861077771731951"/>
    <x v="2"/>
  </r>
  <r>
    <s v="3dd2a17168ec895c781a9191c1e95ad7"/>
    <x v="454"/>
    <n v="149.9"/>
    <n v="23.98"/>
    <n v="155.45119640632365"/>
    <n v="-5.5511964063236405"/>
    <n v="-3.5710219893153691E-2"/>
    <x v="1"/>
  </r>
  <r>
    <s v="89e53f7e4890b10cd3fabafe0e4c2989"/>
    <x v="161"/>
    <n v="177.65"/>
    <n v="25.37"/>
    <n v="195.04306844154212"/>
    <n v="-17.393068441542113"/>
    <n v="-8.9175527131101939E-2"/>
    <x v="0"/>
  </r>
  <r>
    <s v="5348b1bdd951b67a4d2a58992e2233ed"/>
    <x v="20"/>
    <n v="27.99"/>
    <n v="7.46"/>
    <n v="28.22700195464456"/>
    <n v="-0.23700195464456186"/>
    <n v="-8.3962850544800714E-3"/>
    <x v="1"/>
  </r>
  <r>
    <s v="914c9e9af640dd56f48764a225b00f89"/>
    <x v="21"/>
    <n v="79.98"/>
    <n v="34.04"/>
    <n v="73.725274047752791"/>
    <n v="6.2547259522472132"/>
    <n v="8.4838286910889585E-2"/>
    <x v="2"/>
  </r>
  <r>
    <s v="193cea27ec2ebc61c91cf7dd70420fad"/>
    <x v="293"/>
    <n v="349.9"/>
    <n v="21.33"/>
    <n v="332.95319151862395"/>
    <n v="16.946808481376024"/>
    <n v="5.0898471355929599E-2"/>
    <x v="2"/>
  </r>
  <r>
    <s v="cc62ab8550303ced5351594a4fd87884"/>
    <x v="455"/>
    <n v="29.99"/>
    <n v="14.1"/>
    <n v="28.265290816524505"/>
    <n v="1.7247091834754933"/>
    <n v="6.1018625092906904E-2"/>
    <x v="2"/>
  </r>
  <r>
    <s v="cc62ab8550303ced5351594a4fd87884"/>
    <x v="455"/>
    <n v="29.99"/>
    <n v="14.1"/>
    <n v="32.465778541297631"/>
    <n v="-2.4757785412976325"/>
    <n v="-7.625809860522377E-2"/>
    <x v="0"/>
  </r>
  <r>
    <s v="2b0ee2d07306f7c9ac55a43166e9bb4b"/>
    <x v="347"/>
    <n v="59.99"/>
    <n v="16.18"/>
    <n v="57.820401094811636"/>
    <n v="2.1695989051883657"/>
    <n v="3.7523069091664411E-2"/>
    <x v="1"/>
  </r>
  <r>
    <s v="5b226d7c52f86ac72457617f78cff95d"/>
    <x v="65"/>
    <n v="56.99"/>
    <n v="16.16"/>
    <n v="58.025993339565396"/>
    <n v="-1.035993339565394"/>
    <n v="-1.7853952684666843E-2"/>
    <x v="1"/>
  </r>
  <r>
    <s v="5b226d7c52f86ac72457617f78cff95d"/>
    <x v="65"/>
    <n v="56.99"/>
    <n v="16.16"/>
    <n v="57.101895602621248"/>
    <n v="-0.11189560262124587"/>
    <n v="-1.9595777240030772E-3"/>
    <x v="1"/>
  </r>
  <r>
    <s v="5fc3e6a4b52b0c414458104ed4037f1c"/>
    <x v="232"/>
    <n v="89"/>
    <n v="8.2100000000000009"/>
    <n v="87.962836835913421"/>
    <n v="1.0371631640865786"/>
    <n v="1.1790924456214515E-2"/>
    <x v="1"/>
  </r>
  <r>
    <s v="6c321ed0f47858a8650f4104771224b5"/>
    <x v="22"/>
    <n v="49"/>
    <n v="7.78"/>
    <n v="49.175855640862551"/>
    <n v="-0.1758556408625509"/>
    <n v="-3.576056553989558E-3"/>
    <x v="1"/>
  </r>
  <r>
    <s v="b114bf337c0626166abe574eee9e3f32"/>
    <x v="21"/>
    <n v="146.94"/>
    <n v="52.85"/>
    <n v="160.93985982640382"/>
    <n v="-13.999859826403821"/>
    <n v="-8.6988144773486389E-2"/>
    <x v="0"/>
  </r>
  <r>
    <s v="b114bf337c0626166abe574eee9e3f32"/>
    <x v="21"/>
    <n v="146.94"/>
    <n v="52.85"/>
    <n v="159.64544447932863"/>
    <n v="-12.705444479328634"/>
    <n v="-7.9585386985306511E-2"/>
    <x v="0"/>
  </r>
  <r>
    <s v="0aabfb375647d9738ad0f7b4ea3653b1"/>
    <x v="176"/>
    <n v="36.200000000000003"/>
    <n v="18.350000000000001"/>
    <n v="38.737518407510656"/>
    <n v="-2.5375184075106532"/>
    <n v="-6.5505445671983575E-2"/>
    <x v="0"/>
  </r>
  <r>
    <s v="d7cdea99e6f50310c242d02f16f1f63c"/>
    <x v="306"/>
    <n v="509"/>
    <n v="12.31"/>
    <n v="478.38212509096934"/>
    <n v="30.617874909030661"/>
    <n v="6.4002966045623791E-2"/>
    <x v="2"/>
  </r>
  <r>
    <s v="fafb498dd2f33cbb55cbd0f7d7706047"/>
    <x v="219"/>
    <n v="89.99"/>
    <n v="17.07"/>
    <n v="83.828693746287897"/>
    <n v="6.1613062537120982"/>
    <n v="7.3498774445413959E-2"/>
    <x v="2"/>
  </r>
  <r>
    <s v="28b4eced95a52d9c437a4caf9d311b95"/>
    <x v="30"/>
    <n v="59.9"/>
    <n v="50.92"/>
    <n v="61.617795240389427"/>
    <n v="-1.7177952403894281"/>
    <n v="-2.7878232800894541E-2"/>
    <x v="1"/>
  </r>
  <r>
    <s v="461f43be3bdf8844e65b62d9ac2c7a5a"/>
    <x v="227"/>
    <n v="146"/>
    <n v="12.52"/>
    <n v="137.29516356351198"/>
    <n v="8.7048364364880229"/>
    <n v="6.3402353080421608E-2"/>
    <x v="2"/>
  </r>
  <r>
    <s v="e70f7c188cd2c0f01a1f6b35411cc481"/>
    <x v="22"/>
    <n v="78"/>
    <n v="7.81"/>
    <n v="81.733217869152654"/>
    <n v="-3.7332178691526536"/>
    <n v="-4.5675650200499768E-2"/>
    <x v="1"/>
  </r>
  <r>
    <s v="422879e10f46682990de24d770e7f83d"/>
    <x v="13"/>
    <n v="49.9"/>
    <n v="19.59"/>
    <n v="54.37392398168776"/>
    <n v="-4.4739239816877614"/>
    <n v="-8.2280689971805335E-2"/>
    <x v="0"/>
  </r>
  <r>
    <s v="422879e10f46682990de24d770e7f83d"/>
    <x v="13"/>
    <n v="49.9"/>
    <n v="19.59"/>
    <n v="49.855385797465395"/>
    <n v="4.4614202534603464E-2"/>
    <n v="8.9487227550191003E-4"/>
    <x v="1"/>
  </r>
  <r>
    <s v="4ce8f190d8026353d3d91d907ad68f23"/>
    <x v="456"/>
    <n v="90"/>
    <n v="9.44"/>
    <n v="84.208114156312433"/>
    <n v="5.7918858436875666"/>
    <n v="6.8780614572798784E-2"/>
    <x v="2"/>
  </r>
  <r>
    <s v="4ce8f190d8026353d3d91d907ad68f23"/>
    <x v="456"/>
    <n v="90"/>
    <n v="9.44"/>
    <n v="91.173389153620576"/>
    <n v="-1.1733891536205761"/>
    <n v="-1.2869864381628944E-2"/>
    <x v="1"/>
  </r>
  <r>
    <s v="2e0ce433616916840a405d0853407af8"/>
    <x v="268"/>
    <n v="25.9"/>
    <n v="11.85"/>
    <n v="25.698273052766588"/>
    <n v="0.20172694723341067"/>
    <n v="7.8498250376280998E-3"/>
    <x v="1"/>
  </r>
  <r>
    <s v="bb50f2e236e5eea0100680137654686c"/>
    <x v="410"/>
    <n v="325"/>
    <n v="18.71"/>
    <n v="356.15506700468404"/>
    <n v="-31.155067004684042"/>
    <n v="-8.7476130177517028E-2"/>
    <x v="0"/>
  </r>
  <r>
    <s v="de64d6bf725afcae6b5bb5f3304646f3"/>
    <x v="257"/>
    <n v="54.89"/>
    <n v="15.13"/>
    <n v="59.824362684275876"/>
    <n v="-4.9343626842758752"/>
    <n v="-8.248082324448755E-2"/>
    <x v="0"/>
  </r>
  <r>
    <s v="54d9ac713e253fa1fae9c8003b011c2a"/>
    <x v="52"/>
    <n v="35"/>
    <n v="26.43"/>
    <n v="33.846152091612929"/>
    <n v="1.1538479083870712"/>
    <n v="3.4090962696849504E-2"/>
    <x v="1"/>
  </r>
  <r>
    <s v="a94036c0bb4dfce8d5762777c07b7be2"/>
    <x v="391"/>
    <n v="124.9"/>
    <n v="27.6"/>
    <n v="128.79607457131604"/>
    <n v="-3.896074571316035"/>
    <n v="-3.0249948100388172E-2"/>
    <x v="1"/>
  </r>
  <r>
    <s v="677883eb52acde220f6d79fe67bba70a"/>
    <x v="130"/>
    <n v="499.9"/>
    <n v="10.75"/>
    <n v="518.02481094339794"/>
    <n v="-18.124810943397961"/>
    <n v="-3.4988306661200383E-2"/>
    <x v="1"/>
  </r>
  <r>
    <s v="c1000786be861c72021fee27d0add9fd"/>
    <x v="457"/>
    <n v="54.9"/>
    <n v="14.13"/>
    <n v="50.382924933493626"/>
    <n v="4.5170750665063721"/>
    <n v="8.9654879554313158E-2"/>
    <x v="2"/>
  </r>
  <r>
    <s v="eec68ed7d496bb2ee6aa0a69bb78acd2"/>
    <x v="458"/>
    <n v="89"/>
    <n v="12.96"/>
    <n v="95.084853157650684"/>
    <n v="-6.0848531576506844"/>
    <n v="-6.3993927061779213E-2"/>
    <x v="0"/>
  </r>
  <r>
    <s v="8562e2c780a345b609e1b802d7e3e4ae"/>
    <x v="391"/>
    <n v="79.900000000000006"/>
    <n v="19.53"/>
    <n v="77.01943716892967"/>
    <n v="2.8805628310703355"/>
    <n v="3.7400465868794745E-2"/>
    <x v="1"/>
  </r>
  <r>
    <s v="b3cf0a98f31b76ed0cec13d9c77102c4"/>
    <x v="387"/>
    <n v="27.93"/>
    <n v="14.1"/>
    <n v="30.391901953468619"/>
    <n v="-2.4619019534686188"/>
    <n v="-8.1005195306233305E-2"/>
    <x v="0"/>
  </r>
  <r>
    <s v="2bfc998cf625e54b2c6447bfc7c18cb4"/>
    <x v="262"/>
    <n v="159"/>
    <n v="36.24"/>
    <n v="167.1727148429334"/>
    <n v="-8.1727148429334022"/>
    <n v="-4.8887851409316709E-2"/>
    <x v="1"/>
  </r>
  <r>
    <s v="bef21943bc2335188429e1638ef99b81"/>
    <x v="459"/>
    <n v="19.899999999999999"/>
    <n v="20.8"/>
    <n v="21.728552428859359"/>
    <n v="-1.8285524288593606"/>
    <n v="-8.4154360252306534E-2"/>
    <x v="0"/>
  </r>
  <r>
    <s v="bef21943bc2335188429e1638ef99b81"/>
    <x v="459"/>
    <n v="19.899999999999999"/>
    <n v="20.8"/>
    <n v="19.295447666241831"/>
    <n v="0.60455233375816775"/>
    <n v="3.1331345310834979E-2"/>
    <x v="1"/>
  </r>
  <r>
    <s v="4c42f0c72caf632a20df25562451c1a8"/>
    <x v="460"/>
    <n v="827.99"/>
    <n v="14.15"/>
    <n v="802.64624334101529"/>
    <n v="25.343756658984717"/>
    <n v="3.157525107635379E-2"/>
    <x v="1"/>
  </r>
  <r>
    <s v="80033c8e73f5b367b3809549337f0122"/>
    <x v="261"/>
    <n v="160"/>
    <n v="12.14"/>
    <n v="172.81857910258998"/>
    <n v="-12.818579102589979"/>
    <n v="-7.4173617033273423E-2"/>
    <x v="0"/>
  </r>
  <r>
    <s v="35afc973633aaeb6b877ff57b2793310"/>
    <x v="12"/>
    <n v="89.9"/>
    <n v="13.65"/>
    <n v="87.492103135089209"/>
    <n v="2.4078968649107964"/>
    <n v="2.7521305107878879E-2"/>
    <x v="1"/>
  </r>
  <r>
    <s v="e61b1e021d5ed7e513da1851597760cc"/>
    <x v="174"/>
    <n v="45.49"/>
    <n v="9.94"/>
    <n v="48.32649567909543"/>
    <n v="-2.8364956790954281"/>
    <n v="-5.8694420922442543E-2"/>
    <x v="0"/>
  </r>
  <r>
    <s v="ca5c923962558430573f83661dbe36d6"/>
    <x v="461"/>
    <n v="105"/>
    <n v="18.54"/>
    <n v="109.58554556321495"/>
    <n v="-4.58554556321495"/>
    <n v="-4.1844437965313189E-2"/>
    <x v="1"/>
  </r>
  <r>
    <s v="fed5c40c27e1c88560a9e92d82ee0825"/>
    <x v="204"/>
    <n v="19.899999999999999"/>
    <n v="15.1"/>
    <n v="19.093834804972555"/>
    <n v="0.8061651950274431"/>
    <n v="4.2221230217069632E-2"/>
    <x v="1"/>
  </r>
  <r>
    <s v="05c693a8085dad009cebdcf2830ab738"/>
    <x v="89"/>
    <n v="34.99"/>
    <n v="24.84"/>
    <n v="37.696678247700703"/>
    <n v="-2.706678247700701"/>
    <n v="-7.1801505424839235E-2"/>
    <x v="0"/>
  </r>
  <r>
    <s v="aa280035c50ba62c746480a59045eec4"/>
    <x v="67"/>
    <n v="30.5"/>
    <n v="7.78"/>
    <n v="30.087242896685382"/>
    <n v="0.41275710331461823"/>
    <n v="1.3718674879315393E-2"/>
    <x v="1"/>
  </r>
  <r>
    <s v="98e91d0f32954dcd8505875bb2b42cdb"/>
    <x v="214"/>
    <n v="59.9"/>
    <n v="15.63"/>
    <n v="58.64347765668456"/>
    <n v="1.2565223433154387"/>
    <n v="2.1426463666965226E-2"/>
    <x v="1"/>
  </r>
  <r>
    <s v="ce169d5f9421a6f21e41a7bf54d0b98e"/>
    <x v="33"/>
    <n v="28"/>
    <n v="15.11"/>
    <n v="25.530175782614197"/>
    <n v="2.4698242173858027"/>
    <n v="9.6741371403628526E-2"/>
    <x v="2"/>
  </r>
  <r>
    <s v="fb55982be901439613a95940feefd9ee"/>
    <x v="105"/>
    <n v="79"/>
    <n v="17.8"/>
    <n v="74.90841507417754"/>
    <n v="4.0915849258224597"/>
    <n v="5.4621165349324187E-2"/>
    <x v="2"/>
  </r>
  <r>
    <s v="658c48e890d98bb89d28a9d5e6309676"/>
    <x v="350"/>
    <n v="169"/>
    <n v="29.46"/>
    <n v="182.3432476599624"/>
    <n v="-13.343247659962401"/>
    <n v="-7.3176538375828298E-2"/>
    <x v="0"/>
  </r>
  <r>
    <s v="180fbb426ea5ab0708d43ad3f3839bb9"/>
    <x v="462"/>
    <n v="99"/>
    <n v="33.17"/>
    <n v="105.05649787394123"/>
    <n v="-6.0564978739412254"/>
    <n v="-5.7649912156871083E-2"/>
    <x v="0"/>
  </r>
  <r>
    <s v="ffd34459c21034d1da6df9800de0d7a3"/>
    <x v="218"/>
    <n v="52.99"/>
    <n v="15.12"/>
    <n v="55.404252865956877"/>
    <n v="-2.4142528659568754"/>
    <n v="-4.3575226468585991E-2"/>
    <x v="1"/>
  </r>
  <r>
    <s v="3db75f31b76375c502f64d550dcd1166"/>
    <x v="150"/>
    <n v="31.9"/>
    <n v="16.79"/>
    <n v="29.039232958649318"/>
    <n v="2.8607670413506803"/>
    <n v="9.8513863827749709E-2"/>
    <x v="2"/>
  </r>
  <r>
    <s v="06edb72f1e0c64b14c5b79353f7abea3"/>
    <x v="171"/>
    <n v="39.99"/>
    <n v="16.95"/>
    <n v="43.514029545809777"/>
    <n v="-3.5240295458097748"/>
    <n v="-8.0986053982884346E-2"/>
    <x v="0"/>
  </r>
  <r>
    <s v="cc81f952b83d2bdcfbd980e2a7249adf"/>
    <x v="463"/>
    <n v="16.989999999999998"/>
    <n v="15.11"/>
    <n v="17.621497644599238"/>
    <n v="-0.63149764459923929"/>
    <n v="-3.5836774906177468E-2"/>
    <x v="1"/>
  </r>
  <r>
    <s v="78304982b107fb026e5e9a4a1f48acae"/>
    <x v="391"/>
    <n v="134.9"/>
    <n v="27.89"/>
    <n v="126.6890047446318"/>
    <n v="8.2109952553682035"/>
    <n v="6.4812216908003831E-2"/>
    <x v="2"/>
  </r>
  <r>
    <s v="9f1c3e71d56894398a42b050b07f1baa"/>
    <x v="32"/>
    <n v="12.77"/>
    <n v="7.78"/>
    <n v="11.621615651204667"/>
    <n v="1.1483843487953322"/>
    <n v="9.8814517986257233E-2"/>
    <x v="2"/>
  </r>
  <r>
    <s v="f5a7d79f27ac4b76ffb13c8ee63d4f07"/>
    <x v="464"/>
    <n v="180"/>
    <n v="22.34"/>
    <n v="192.15347510419579"/>
    <n v="-12.153475104195792"/>
    <n v="-6.3248791611005384E-2"/>
    <x v="0"/>
  </r>
  <r>
    <s v="10876ffa7227a74d878729d3f6bea35d"/>
    <x v="1"/>
    <n v="45.9"/>
    <n v="31.95"/>
    <n v="47.152591485044987"/>
    <n v="-1.252591485044988"/>
    <n v="-2.6564637183138968E-2"/>
    <x v="1"/>
  </r>
  <r>
    <s v="7ada7bee4052075cf6310885da8c4392"/>
    <x v="105"/>
    <n v="79"/>
    <n v="13.57"/>
    <n v="84.625464359994808"/>
    <n v="-5.6254643599948082"/>
    <n v="-6.6474841852142877E-2"/>
    <x v="0"/>
  </r>
  <r>
    <s v="caa41bf17e27022341da028e79152c4c"/>
    <x v="271"/>
    <n v="46.4"/>
    <n v="16.11"/>
    <n v="43.053402244972105"/>
    <n v="3.3465977550278936"/>
    <n v="7.7731319257555734E-2"/>
    <x v="2"/>
  </r>
  <r>
    <s v="2b87ded5c8c2c971d4d5a2e4bd7b85bc"/>
    <x v="361"/>
    <n v="74.900000000000006"/>
    <n v="16.96"/>
    <n v="72.88204776251456"/>
    <n v="2.0179522374854457"/>
    <n v="2.7687919034066158E-2"/>
    <x v="1"/>
  </r>
  <r>
    <s v="af62192c9415dbf2b36c294762acd9ed"/>
    <x v="465"/>
    <n v="169"/>
    <n v="16.89"/>
    <n v="183.84930113794718"/>
    <n v="-14.84930113794718"/>
    <n v="-8.0768874540378816E-2"/>
    <x v="0"/>
  </r>
  <r>
    <s v="1a2d00b771a438bee7055bbd0086e003"/>
    <x v="293"/>
    <n v="79.900000000000006"/>
    <n v="17.760000000000002"/>
    <n v="77.575908163901232"/>
    <n v="2.3240918360987735"/>
    <n v="2.9958938169160284E-2"/>
    <x v="1"/>
  </r>
  <r>
    <s v="42a2bd596fda1baef5719cb74f73030c"/>
    <x v="293"/>
    <n v="99.9"/>
    <n v="25.05"/>
    <n v="104.15782847376576"/>
    <n v="-4.2578284737657555"/>
    <n v="-4.0878621762339973E-2"/>
    <x v="1"/>
  </r>
  <r>
    <s v="e67307ff0f15ade43fcb6e670be7a74c"/>
    <x v="41"/>
    <n v="18.989999999999998"/>
    <n v="15.65"/>
    <n v="19.596134975716968"/>
    <n v="-0.60613497571696939"/>
    <n v="-3.0931353374942377E-2"/>
    <x v="1"/>
  </r>
  <r>
    <s v="629e019a6f298a83aeecc7877964f935"/>
    <x v="165"/>
    <n v="119.9"/>
    <n v="15.57"/>
    <n v="116.87626699158608"/>
    <n v="3.0237330084139273"/>
    <n v="2.5871231912562759E-2"/>
    <x v="1"/>
  </r>
  <r>
    <s v="d2f2c2b94c6ac44ece0bd0dd202c7939"/>
    <x v="423"/>
    <n v="35.99"/>
    <n v="19.59"/>
    <n v="32.734781850326776"/>
    <n v="3.255218149673226"/>
    <n v="9.9442182463810452E-2"/>
    <x v="2"/>
  </r>
  <r>
    <s v="7aab18bec732db73232f712de3ba14fc"/>
    <x v="342"/>
    <n v="379"/>
    <n v="29.99"/>
    <n v="372.31330805501688"/>
    <n v="6.6866919449831244"/>
    <n v="1.7959852093159746E-2"/>
    <x v="1"/>
  </r>
  <r>
    <s v="3b9c4a90ade7d4cb7e5b5c5ba475ef9a"/>
    <x v="466"/>
    <n v="169.9"/>
    <n v="69.900000000000006"/>
    <n v="159.25357431229989"/>
    <n v="10.646425687700116"/>
    <n v="6.6852036029170891E-2"/>
    <x v="2"/>
  </r>
  <r>
    <s v="7c4bc321009f51cefbb3877de6b98bae"/>
    <x v="293"/>
    <n v="184.9"/>
    <n v="16.399999999999999"/>
    <n v="201.0792469438172"/>
    <n v="-16.179246943817191"/>
    <n v="-8.0462042650964238E-2"/>
    <x v="0"/>
  </r>
  <r>
    <s v="4d9e8a6d8d07e4f47e093b8c2999ae01"/>
    <x v="355"/>
    <n v="38.99"/>
    <n v="8.7200000000000006"/>
    <n v="42.110152577269638"/>
    <n v="-3.1201525772696357"/>
    <n v="-7.409501952158308E-2"/>
    <x v="0"/>
  </r>
  <r>
    <s v="ccd686475dbff77b93871eae4754526b"/>
    <x v="467"/>
    <n v="173.9"/>
    <n v="16.850000000000001"/>
    <n v="186.41079844941697"/>
    <n v="-12.510798449416967"/>
    <n v="-6.7114129403891817E-2"/>
    <x v="0"/>
  </r>
  <r>
    <s v="cd82271424be9568801391194697361c"/>
    <x v="468"/>
    <n v="41.9"/>
    <n v="16.79"/>
    <n v="43.220161358112975"/>
    <n v="-1.3201613581129763"/>
    <n v="-3.0545035386943673E-2"/>
    <x v="1"/>
  </r>
  <r>
    <s v="6a8631b72a2f8729b91514db87e771c0"/>
    <x v="204"/>
    <n v="25.9"/>
    <n v="16.79"/>
    <n v="24.975169164366211"/>
    <n v="0.92483083563378798"/>
    <n v="3.7030012871877065E-2"/>
    <x v="1"/>
  </r>
  <r>
    <s v="e53e557d5a159f5aa2c5e995dfdf244b"/>
    <x v="127"/>
    <n v="109.9"/>
    <n v="15.52"/>
    <n v="114.92039591852631"/>
    <n v="-5.0203959185263045"/>
    <n v="-4.3685856443494611E-2"/>
    <x v="1"/>
  </r>
  <r>
    <s v="1c9b5793de6c3d9117b6218552c87a8f"/>
    <x v="299"/>
    <n v="18.899999999999999"/>
    <n v="7.78"/>
    <n v="20.320743063428424"/>
    <n v="-1.420743063428425"/>
    <n v="-6.9915901155472984E-2"/>
    <x v="0"/>
  </r>
  <r>
    <s v="d1c427060a0f73f6b889a5c7c61f2ac4"/>
    <x v="109"/>
    <n v="149"/>
    <n v="23.84"/>
    <n v="143.24190616843225"/>
    <n v="5.7580938315677486"/>
    <n v="4.0198388764786777E-2"/>
    <x v="1"/>
  </r>
  <r>
    <s v="2a211896ec7ab72cedc7939e9ffb01b4"/>
    <x v="166"/>
    <n v="257.13"/>
    <n v="14.14"/>
    <n v="247.60010353682503"/>
    <n v="9.5298964631749641"/>
    <n v="3.8489064935942577E-2"/>
    <x v="1"/>
  </r>
  <r>
    <s v="4fe644d766c7566dbc46fb851363cb3b"/>
    <x v="226"/>
    <n v="139.99"/>
    <n v="14.37"/>
    <n v="137.34169842586599"/>
    <n v="2.6483015741340239"/>
    <n v="1.9282574807850644E-2"/>
    <x v="1"/>
  </r>
  <r>
    <s v="2b849e71ada03a262ef4338a7abd8b79"/>
    <x v="145"/>
    <n v="104.9"/>
    <n v="12.07"/>
    <n v="103.84025872730399"/>
    <n v="1.0597412726960158"/>
    <n v="1.0205495302924982E-2"/>
    <x v="1"/>
  </r>
  <r>
    <s v="8d98dedc3c19de17f1a090195e85d6b6"/>
    <x v="67"/>
    <n v="49.9"/>
    <n v="17.63"/>
    <n v="45.657823892724998"/>
    <n v="4.2421761072750002"/>
    <n v="9.2912358618802635E-2"/>
    <x v="2"/>
  </r>
  <r>
    <s v="85af7fadae5de53760a7d131bdf776f7"/>
    <x v="469"/>
    <n v="49.8"/>
    <n v="16.79"/>
    <n v="53.378335880825233"/>
    <n v="-3.5783358808252359"/>
    <n v="-6.7037231898993299E-2"/>
    <x v="0"/>
  </r>
  <r>
    <s v="dfb97c88e066dc22165f31648efe1312"/>
    <x v="161"/>
    <n v="139"/>
    <n v="40.479999999999997"/>
    <n v="141.14197361317116"/>
    <n v="-2.1419736131711602"/>
    <n v="-1.5176021408356404E-2"/>
    <x v="1"/>
  </r>
  <r>
    <s v="6ea7a562f5a6249001ce232582060265"/>
    <x v="324"/>
    <n v="59"/>
    <n v="11.91"/>
    <n v="55.84521194086809"/>
    <n v="3.15478805913191"/>
    <n v="5.6491648065950022E-2"/>
    <x v="2"/>
  </r>
  <r>
    <s v="95d8de3420cf92ad4824b588db2604cf"/>
    <x v="420"/>
    <n v="49.9"/>
    <n v="15.1"/>
    <n v="49.379412054267981"/>
    <n v="0.52058794573201794"/>
    <n v="1.0542611263979646E-2"/>
    <x v="1"/>
  </r>
  <r>
    <s v="72f3781e31206029b40584266bb01799"/>
    <x v="382"/>
    <n v="59.9"/>
    <n v="18.3"/>
    <n v="58.092385669996453"/>
    <n v="1.8076143300035454"/>
    <n v="3.1116200671668093E-2"/>
    <x v="1"/>
  </r>
  <r>
    <s v="422879e10f46682990de24d770e7f83d"/>
    <x v="13"/>
    <n v="53.9"/>
    <n v="14.47"/>
    <n v="54.642464268496269"/>
    <n v="-0.74246426849627056"/>
    <n v="-1.3587679077722948E-2"/>
    <x v="1"/>
  </r>
  <r>
    <s v="f921da19d229dad9bf3a94e86e7f7f32"/>
    <x v="470"/>
    <n v="104.9"/>
    <n v="34.270000000000003"/>
    <n v="111.92366086954176"/>
    <n v="-7.0236608695417573"/>
    <n v="-6.2754030872243696E-2"/>
    <x v="0"/>
  </r>
  <r>
    <s v="d285360f29ac7fd97640bf0baef03de0"/>
    <x v="471"/>
    <n v="154.91"/>
    <n v="16.18"/>
    <n v="163.23340075884241"/>
    <n v="-8.3234007588424106"/>
    <n v="-5.0990794286882669E-2"/>
    <x v="0"/>
  </r>
  <r>
    <s v="688ad0169550f8e2eb0307b61df3ba12"/>
    <x v="123"/>
    <n v="60.5"/>
    <n v="11.86"/>
    <n v="57.889572551914895"/>
    <n v="2.6104274480851046"/>
    <n v="4.5093223753623242E-2"/>
    <x v="1"/>
  </r>
  <r>
    <s v="688ad0169550f8e2eb0307b61df3ba12"/>
    <x v="123"/>
    <n v="60.5"/>
    <n v="11.86"/>
    <n v="66.464088628704559"/>
    <n v="-5.9640886287045589"/>
    <n v="-8.9734001500003782E-2"/>
    <x v="0"/>
  </r>
  <r>
    <s v="5411e9269501a870cabf632f05655131"/>
    <x v="105"/>
    <n v="129"/>
    <n v="13.92"/>
    <n v="118.59703453663516"/>
    <n v="10.402965463364836"/>
    <n v="8.7716910494514203E-2"/>
    <x v="2"/>
  </r>
  <r>
    <s v="e940125d0a3c309f58f41cd21e39af06"/>
    <x v="472"/>
    <n v="329"/>
    <n v="54.12"/>
    <n v="328.79589323941843"/>
    <n v="0.20410676058156696"/>
    <n v="6.2077040735099168E-4"/>
    <x v="1"/>
  </r>
  <r>
    <s v="a55b9bc476c34d53d8f3f27c922f6374"/>
    <x v="222"/>
    <n v="124.9"/>
    <n v="17.12"/>
    <n v="119.93196880259912"/>
    <n v="4.9680311974008902"/>
    <n v="4.1423744202665209E-2"/>
    <x v="1"/>
  </r>
  <r>
    <s v="6e7b435ac3c84fc5348dba974e184322"/>
    <x v="104"/>
    <n v="119.9"/>
    <n v="18.41"/>
    <n v="126.42907505551882"/>
    <n v="-6.5290750555188168"/>
    <n v="-5.1642195852905692E-2"/>
    <x v="0"/>
  </r>
  <r>
    <s v="2155593e689475e40e4c8b93143c0287"/>
    <x v="265"/>
    <n v="35.9"/>
    <n v="16.11"/>
    <n v="36.094089469884274"/>
    <n v="-0.19408946988427545"/>
    <n v="-5.3773200192850784E-3"/>
    <x v="1"/>
  </r>
  <r>
    <s v="c3002d67c0b8c6449c3a80c1556ad8c5"/>
    <x v="84"/>
    <n v="67.900000000000006"/>
    <n v="24.09"/>
    <n v="69.714743357842707"/>
    <n v="-1.8147433578427012"/>
    <n v="-2.6030983841218543E-2"/>
    <x v="1"/>
  </r>
  <r>
    <s v="3faadd91c89ff779e6cd1fd09a46ee39"/>
    <x v="288"/>
    <n v="58"/>
    <n v="31.12"/>
    <n v="53.069114826434635"/>
    <n v="4.9308851735653647"/>
    <n v="9.2914403974742876E-2"/>
    <x v="2"/>
  </r>
  <r>
    <s v="7d0e0214a0852cf0c90032c7992cf27f"/>
    <x v="473"/>
    <n v="65"/>
    <n v="9.33"/>
    <n v="70.887302944600236"/>
    <n v="-5.8873029446002363"/>
    <n v="-8.3051586109874634E-2"/>
    <x v="0"/>
  </r>
  <r>
    <s v="7f55769896fc6596e7251490b8b5e536"/>
    <x v="46"/>
    <n v="39.99"/>
    <n v="11.85"/>
    <n v="36.539421739920407"/>
    <n v="3.4505782600795953"/>
    <n v="9.4434397036714343E-2"/>
    <x v="2"/>
  </r>
  <r>
    <s v="7814c273ab16783d73a9863ebfa8b141"/>
    <x v="186"/>
    <n v="230"/>
    <n v="75.010000000000005"/>
    <n v="230.40023286121439"/>
    <n v="-0.40023286121439128"/>
    <n v="-1.7371200377886708E-3"/>
    <x v="1"/>
  </r>
  <r>
    <s v="9d6c66334a27b9dcf34b71cd371638de"/>
    <x v="148"/>
    <n v="69.900000000000006"/>
    <n v="50.15"/>
    <n v="63.4450998810361"/>
    <n v="6.4549001189639057"/>
    <n v="0.10173993154817763"/>
    <x v="2"/>
  </r>
  <r>
    <s v="a233df9a388d27dbdfd31731d4236db0"/>
    <x v="474"/>
    <n v="2649.99"/>
    <n v="134.16999999999999"/>
    <n v="2837.1589195248584"/>
    <n v="-187.16891952485867"/>
    <n v="-6.5970544771670386E-2"/>
    <x v="0"/>
  </r>
  <r>
    <s v="ecbe401f10ecd3b822d940d63cc3311e"/>
    <x v="475"/>
    <n v="89"/>
    <n v="15.37"/>
    <n v="82.683361838242291"/>
    <n v="6.3166381617577088"/>
    <n v="7.6395516840682798E-2"/>
    <x v="2"/>
  </r>
  <r>
    <s v="c7b3cf9de7be95b3e09e7a63315685eb"/>
    <x v="353"/>
    <n v="99.9"/>
    <n v="23.57"/>
    <n v="90.051564908395761"/>
    <n v="9.8484350916042445"/>
    <n v="0.10936439696103546"/>
    <x v="2"/>
  </r>
  <r>
    <s v="e19ddcc85537b41f22116c8d5425ef46"/>
    <x v="46"/>
    <n v="29.99"/>
    <n v="7.78"/>
    <n v="29.588350073953048"/>
    <n v="0.40164992604695016"/>
    <n v="1.3574596928962492E-2"/>
    <x v="1"/>
  </r>
  <r>
    <s v="a8856d651600289b162f857e26838480"/>
    <x v="384"/>
    <n v="59.9"/>
    <n v="16.18"/>
    <n v="58.203854625844443"/>
    <n v="1.6961453741555559"/>
    <n v="2.914146124958554E-2"/>
    <x v="1"/>
  </r>
  <r>
    <s v="3c4223262d31fa35043380da246fb0fa"/>
    <x v="476"/>
    <n v="58.9"/>
    <n v="22.73"/>
    <n v="61.647663751501319"/>
    <n v="-2.7476637515013209"/>
    <n v="-4.4570444105992688E-2"/>
    <x v="1"/>
  </r>
  <r>
    <s v="c977ac034427790e883ab55f4baa68c2"/>
    <x v="264"/>
    <n v="84.9"/>
    <n v="17.84"/>
    <n v="89.478041429383921"/>
    <n v="-4.5780414293839158"/>
    <n v="-5.1163853793077335E-2"/>
    <x v="0"/>
  </r>
  <r>
    <s v="fd1446e03cb63518fdc2d2e91f6208b2"/>
    <x v="477"/>
    <n v="199"/>
    <n v="8.65"/>
    <n v="180.63341962722356"/>
    <n v="18.36658037277644"/>
    <n v="0.10167875031475285"/>
    <x v="2"/>
  </r>
  <r>
    <s v="4a300735bc293723103db0d0c1bc1585"/>
    <x v="385"/>
    <n v="70.900000000000006"/>
    <n v="15.25"/>
    <n v="77.938452437456689"/>
    <n v="-7.0384524374566837"/>
    <n v="-9.0307829028358419E-2"/>
    <x v="0"/>
  </r>
  <r>
    <s v="1531b09bff3fb016e5f0b4435b643672"/>
    <x v="309"/>
    <n v="64.5"/>
    <n v="19.64"/>
    <n v="69.352393645717456"/>
    <n v="-4.8523936457174557"/>
    <n v="-6.9967212242242394E-2"/>
    <x v="0"/>
  </r>
  <r>
    <s v="909b87db6cb3a7ab26bd03cc59860136"/>
    <x v="454"/>
    <n v="39.9"/>
    <n v="17.63"/>
    <n v="42.239169674146595"/>
    <n v="-2.3391696741465964"/>
    <n v="-5.5379158543884359E-2"/>
    <x v="0"/>
  </r>
  <r>
    <s v="9453bde60c4ee52155c963641736cfc5"/>
    <x v="383"/>
    <n v="467"/>
    <n v="18.02"/>
    <n v="467.00505424633292"/>
    <n v="-5.0542463329179554E-3"/>
    <n v="-1.0822680155088799E-5"/>
    <x v="1"/>
  </r>
  <r>
    <s v="c6bf4cdc2fc9ca1189d18f026d95af07"/>
    <x v="52"/>
    <n v="260"/>
    <n v="37.119999999999997"/>
    <n v="235.98088324486642"/>
    <n v="24.019116755133581"/>
    <n v="0.10178416329686357"/>
    <x v="2"/>
  </r>
  <r>
    <s v="4fe644d766c7566dbc46fb851363cb3b"/>
    <x v="226"/>
    <n v="99.99"/>
    <n v="15.01"/>
    <n v="103.32674688390026"/>
    <n v="-3.3367468839002612"/>
    <n v="-3.2293157236910675E-2"/>
    <x v="1"/>
  </r>
  <r>
    <s v="fcf19b6b1ff4a17bcd6ca9675b58aa6f"/>
    <x v="97"/>
    <n v="57.9"/>
    <n v="16.170000000000002"/>
    <n v="63.09965444431878"/>
    <n v="-5.1996544443187815"/>
    <n v="-8.2403849753363206E-2"/>
    <x v="0"/>
  </r>
  <r>
    <s v="d86a6c48f83b045cbba6df84926a1f25"/>
    <x v="478"/>
    <n v="49.99"/>
    <n v="11.73"/>
    <n v="45.437974491722464"/>
    <n v="4.5520255082775378"/>
    <n v="0.10018108331626424"/>
    <x v="2"/>
  </r>
  <r>
    <s v="6a31191d5ac5852b0478f6e245ac5b02"/>
    <x v="479"/>
    <n v="118.13"/>
    <n v="17.02"/>
    <n v="114.16606034888052"/>
    <n v="3.9639396511194747"/>
    <n v="3.4720823675670823E-2"/>
    <x v="1"/>
  </r>
  <r>
    <s v="a00cd7752fb98e0a8382def60ecc0b17"/>
    <x v="20"/>
    <n v="20.99"/>
    <n v="15.1"/>
    <n v="19.991124110788501"/>
    <n v="0.99887588921149728"/>
    <n v="4.9965969080870212E-2"/>
    <x v="1"/>
  </r>
  <r>
    <s v="99a4788cb24856965c36a24e339b6058"/>
    <x v="12"/>
    <n v="89.9"/>
    <n v="15.38"/>
    <n v="83.763802894031059"/>
    <n v="6.1361971059689466"/>
    <n v="7.3255951783036913E-2"/>
    <x v="2"/>
  </r>
  <r>
    <s v="47a4d6ab2e9b253f8c3c8aefa0c40285"/>
    <x v="155"/>
    <n v="15.99"/>
    <n v="7.39"/>
    <n v="14.588667086858447"/>
    <n v="1.4013329131415535"/>
    <n v="9.6056267841212309E-2"/>
    <x v="2"/>
  </r>
  <r>
    <s v="d2f5484cbffe4ca766301b21ab9246dd"/>
    <x v="364"/>
    <n v="12.88"/>
    <n v="7.87"/>
    <n v="13.816224628157677"/>
    <n v="-0.93622462815767626"/>
    <n v="-6.7762695914022425E-2"/>
    <x v="0"/>
  </r>
  <r>
    <s v="3fa43718c1d128c8d2f148530e9493f5"/>
    <x v="480"/>
    <n v="74.900000000000006"/>
    <n v="25.04"/>
    <n v="81.024388352228598"/>
    <n v="-6.1243883522285927"/>
    <n v="-7.5586974203429941E-2"/>
    <x v="0"/>
  </r>
  <r>
    <s v="25d6edcd216a9ee579f19f92d694f7d5"/>
    <x v="315"/>
    <n v="12.97"/>
    <n v="14.1"/>
    <n v="13.918748665677553"/>
    <n v="-0.94874866567755234"/>
    <n v="-6.8163359254922506E-2"/>
    <x v="0"/>
  </r>
  <r>
    <s v="b76364870c38ddd7dcc9dd9ab5abeeb4"/>
    <x v="473"/>
    <n v="48.9"/>
    <n v="17.600000000000001"/>
    <n v="47.857671708773893"/>
    <n v="1.0423282912261058"/>
    <n v="2.1779753465002199E-2"/>
    <x v="1"/>
  </r>
  <r>
    <s v="63d6e7ab30f482382c9dfbbccae7da54"/>
    <x v="481"/>
    <n v="104.9"/>
    <n v="16.98"/>
    <n v="103.79703603953104"/>
    <n v="1.1029639604689692"/>
    <n v="1.0626160462317112E-2"/>
    <x v="1"/>
  </r>
  <r>
    <s v="61194019f380f0b760c31e66ee97e50d"/>
    <x v="257"/>
    <n v="71.3"/>
    <n v="11.15"/>
    <n v="67.127791164836381"/>
    <n v="4.172208835163616"/>
    <n v="6.2153226894037121E-2"/>
    <x v="2"/>
  </r>
  <r>
    <s v="209699610264262664b7357184f3b83f"/>
    <x v="337"/>
    <n v="69.5"/>
    <n v="18.59"/>
    <n v="74.666895651482861"/>
    <n v="-5.1668956514828608"/>
    <n v="-6.9199283114701818E-2"/>
    <x v="0"/>
  </r>
  <r>
    <s v="dd3575a8c5e2139f680a9816a15c8f2a"/>
    <x v="87"/>
    <n v="235"/>
    <n v="22.1"/>
    <n v="219.37112150220776"/>
    <n v="15.628878497792243"/>
    <n v="7.1244010564238985E-2"/>
    <x v="2"/>
  </r>
  <r>
    <s v="c6dd917a0be2a704582055949915ab32"/>
    <x v="37"/>
    <n v="99.99"/>
    <n v="11.9"/>
    <n v="104.76676411398591"/>
    <n v="-4.7767641139859194"/>
    <n v="-4.5594269846769488E-2"/>
    <x v="1"/>
  </r>
  <r>
    <s v="f62cbf4416c9ef8e1b4e8d5279891f24"/>
    <x v="33"/>
    <n v="13.65"/>
    <n v="11.85"/>
    <n v="14.926351300502782"/>
    <n v="-1.2763513005027818"/>
    <n v="-8.5509933057772061E-2"/>
    <x v="0"/>
  </r>
  <r>
    <s v="5232994b2d1d55105b92d445d97d0f62"/>
    <x v="202"/>
    <n v="125"/>
    <n v="16.5"/>
    <n v="123.94993169938472"/>
    <n v="1.0500683006152798"/>
    <n v="8.4717134266923694E-3"/>
    <x v="1"/>
  </r>
  <r>
    <s v="49ebaaba28aca545f9a5ff9fc17ae988"/>
    <x v="474"/>
    <n v="25.99"/>
    <n v="15.1"/>
    <n v="26.466460656003918"/>
    <n v="-0.47646065600391907"/>
    <n v="-1.8002431915498076E-2"/>
    <x v="1"/>
  </r>
  <r>
    <s v="921d31a1daa51460b7a95ea5f3ab64d5"/>
    <x v="482"/>
    <n v="99.87"/>
    <n v="17.14"/>
    <n v="94.881493786277616"/>
    <n v="4.9885062137223883"/>
    <n v="5.2576177025196236E-2"/>
    <x v="2"/>
  </r>
  <r>
    <s v="2dd91cf063cf57cb0eebef072746daab"/>
    <x v="102"/>
    <n v="110.32"/>
    <n v="15.87"/>
    <n v="105.85276806425949"/>
    <n v="4.4672319357405001"/>
    <n v="4.2202315701641367E-2"/>
    <x v="1"/>
  </r>
  <r>
    <s v="2dd91cf063cf57cb0eebef072746daab"/>
    <x v="102"/>
    <n v="110.32"/>
    <n v="15.87"/>
    <n v="104.52142760064309"/>
    <n v="5.7985723993568996"/>
    <n v="5.5477355528592329E-2"/>
    <x v="2"/>
  </r>
  <r>
    <s v="eb6913790ee61d3d4d8dffcbbedea827"/>
    <x v="483"/>
    <n v="29.9"/>
    <n v="18.309999999999999"/>
    <n v="30.333422617861"/>
    <n v="-0.43342261786100167"/>
    <n v="-1.4288615673913194E-2"/>
    <x v="1"/>
  </r>
  <r>
    <s v="42737e3759311804e830f222c6135e30"/>
    <x v="484"/>
    <n v="379"/>
    <n v="63.63"/>
    <n v="342.85925206990618"/>
    <n v="36.140747930093823"/>
    <n v="0.10540986632825362"/>
    <x v="2"/>
  </r>
  <r>
    <s v="e71435b372f90893385344e8be3a7696"/>
    <x v="485"/>
    <n v="99.99"/>
    <n v="11.72"/>
    <n v="99.991044582395276"/>
    <n v="-1.0445823952807132E-3"/>
    <n v="-1.0446759503746854E-5"/>
    <x v="1"/>
  </r>
  <r>
    <s v="8d4e92265a16e69a1e1d76e67e46d72f"/>
    <x v="486"/>
    <n v="1350"/>
    <n v="294.76"/>
    <n v="1292.1757999077574"/>
    <n v="57.824200092242563"/>
    <n v="4.4749483852251658E-2"/>
    <x v="1"/>
  </r>
  <r>
    <s v="4413a608a42bd21bbf9d5abbd58c249a"/>
    <x v="447"/>
    <n v="176.99"/>
    <n v="21.73"/>
    <n v="190.59539738227753"/>
    <n v="-13.605397382277516"/>
    <n v="-7.1383661773264898E-2"/>
    <x v="0"/>
  </r>
  <r>
    <s v="11dcc970f7a5581e1bf777b6da3f7096"/>
    <x v="373"/>
    <n v="69.900000000000006"/>
    <n v="17.739999999999998"/>
    <n v="73.340623175397326"/>
    <n v="-3.4406231753973202"/>
    <n v="-4.6912925285198609E-2"/>
    <x v="1"/>
  </r>
  <r>
    <s v="2fd89f236e3e8f4b81b7b74f09f40186"/>
    <x v="487"/>
    <n v="34.99"/>
    <n v="15.23"/>
    <n v="31.878670252687975"/>
    <n v="3.1113297473120269"/>
    <n v="9.7599106946742328E-2"/>
    <x v="2"/>
  </r>
  <r>
    <s v="0f5d0170c03b333aa1a44fa11e040e75"/>
    <x v="382"/>
    <n v="69.900000000000006"/>
    <n v="16.25"/>
    <n v="74.593807836966064"/>
    <n v="-4.6938078369660587"/>
    <n v="-6.2924899171590123E-2"/>
    <x v="0"/>
  </r>
  <r>
    <s v="0a4093a4af429dc0a9334300e5c13ae5"/>
    <x v="293"/>
    <n v="29.9"/>
    <n v="8.27"/>
    <n v="28.281346948070837"/>
    <n v="1.6186530519291615"/>
    <n v="5.7233944864835198E-2"/>
    <x v="2"/>
  </r>
  <r>
    <s v="0a4093a4af429dc0a9334300e5c13ae5"/>
    <x v="293"/>
    <n v="29.9"/>
    <n v="8.27"/>
    <n v="29.643893015837918"/>
    <n v="0.25610698416208066"/>
    <n v="8.6394517759610639E-3"/>
    <x v="1"/>
  </r>
  <r>
    <s v="49bfa76ac7062b8b5a0bf9601623d612"/>
    <x v="488"/>
    <n v="30.49"/>
    <n v="18.23"/>
    <n v="31.950917612335207"/>
    <n v="-1.4609176123352086"/>
    <n v="-4.5723807687175655E-2"/>
    <x v="1"/>
  </r>
  <r>
    <s v="49bfa76ac7062b8b5a0bf9601623d612"/>
    <x v="488"/>
    <n v="30.49"/>
    <n v="18.23"/>
    <n v="32.515586778103795"/>
    <n v="-2.0255867781037971"/>
    <n v="-6.2295870344490911E-2"/>
    <x v="0"/>
  </r>
  <r>
    <s v="25e2023ed83352bde98dc1490d14c3d8"/>
    <x v="137"/>
    <n v="119.99"/>
    <n v="12.04"/>
    <n v="126.72768033568711"/>
    <n v="-6.7376803356871164"/>
    <n v="-5.3166603522133232E-2"/>
    <x v="0"/>
  </r>
  <r>
    <s v="993245facdeea0014e73a3e18750c123"/>
    <x v="186"/>
    <n v="125"/>
    <n v="26.95"/>
    <n v="122.89695126940133"/>
    <n v="2.1030487305986725"/>
    <n v="1.7112293745909106E-2"/>
    <x v="1"/>
  </r>
  <r>
    <s v="993245facdeea0014e73a3e18750c123"/>
    <x v="186"/>
    <n v="125"/>
    <n v="26.95"/>
    <n v="116.15958674188633"/>
    <n v="8.8404132581136707"/>
    <n v="7.6105756796101612E-2"/>
    <x v="2"/>
  </r>
  <r>
    <s v="993245facdeea0014e73a3e18750c123"/>
    <x v="186"/>
    <n v="125"/>
    <n v="26.95"/>
    <n v="113.85391163721887"/>
    <n v="11.146088362781128"/>
    <n v="9.7898159162916887E-2"/>
    <x v="2"/>
  </r>
  <r>
    <s v="993245facdeea0014e73a3e18750c123"/>
    <x v="186"/>
    <n v="125"/>
    <n v="26.95"/>
    <n v="122.20735742271251"/>
    <n v="2.792642577287495"/>
    <n v="2.285167305948534E-2"/>
    <x v="1"/>
  </r>
  <r>
    <s v="993245facdeea0014e73a3e18750c123"/>
    <x v="186"/>
    <n v="125"/>
    <n v="26.95"/>
    <n v="117.83398484690811"/>
    <n v="7.166015153091891"/>
    <n v="6.081450238996923E-2"/>
    <x v="2"/>
  </r>
  <r>
    <s v="2c7f01e4f39f8ca21caddb86374d7b4b"/>
    <x v="261"/>
    <n v="259"/>
    <n v="39.58"/>
    <n v="245.55958984497474"/>
    <n v="13.440410155025262"/>
    <n v="5.4733802754396127E-2"/>
    <x v="2"/>
  </r>
  <r>
    <s v="5f8c74f4a3d2b616857fcb7d4dd1f61a"/>
    <x v="489"/>
    <n v="119.5"/>
    <n v="25.04"/>
    <n v="123.35954037622652"/>
    <n v="-3.8595403762265192"/>
    <n v="-3.1286922474383007E-2"/>
    <x v="1"/>
  </r>
  <r>
    <s v="2b3b11d70c32fbfc8e850fb68985a000"/>
    <x v="490"/>
    <n v="89.99"/>
    <n v="22.5"/>
    <n v="92.895175172356161"/>
    <n v="-2.9051751723561665"/>
    <n v="-3.1273692815218364E-2"/>
    <x v="1"/>
  </r>
  <r>
    <s v="f1c7f353075ce59d8a6f3cf58f419c9c"/>
    <x v="249"/>
    <n v="205"/>
    <n v="26.27"/>
    <n v="189.11973597724344"/>
    <n v="15.880264022756563"/>
    <n v="8.396936438546751E-2"/>
    <x v="2"/>
  </r>
  <r>
    <s v="964093075b6885bfcc6520dd216e4d8f"/>
    <x v="375"/>
    <n v="25"/>
    <n v="15.28"/>
    <n v="27.491154468720918"/>
    <n v="-2.4911544687209179"/>
    <n v="-9.0616582564959997E-2"/>
    <x v="0"/>
  </r>
  <r>
    <s v="1a405418406359cc2b8815f93bf359c2"/>
    <x v="202"/>
    <n v="129.9"/>
    <n v="27.23"/>
    <n v="131.4830133889148"/>
    <n v="-1.583013388914793"/>
    <n v="-1.203967986520345E-2"/>
    <x v="1"/>
  </r>
  <r>
    <s v="437c05a395e9e47f9762e677a7068ce7"/>
    <x v="351"/>
    <n v="47.65"/>
    <n v="7.39"/>
    <n v="47.739566886400318"/>
    <n v="-8.9566886400319845E-2"/>
    <n v="-1.8761562419167019E-3"/>
    <x v="1"/>
  </r>
  <r>
    <s v="60e77eeb5275ed33a04d1fd482feaac8"/>
    <x v="263"/>
    <n v="42.99"/>
    <n v="15.23"/>
    <n v="40.650678553735013"/>
    <n v="2.3393214462649894"/>
    <n v="5.7546922449835732E-2"/>
    <x v="2"/>
  </r>
  <r>
    <s v="542b3d80712d51eefe3a3cd1c5f4e8fe"/>
    <x v="80"/>
    <n v="35.9"/>
    <n v="15.11"/>
    <n v="38.252491048452363"/>
    <n v="-2.3524910484523645"/>
    <n v="-6.1499028794558534E-2"/>
    <x v="0"/>
  </r>
  <r>
    <s v="b60856ce32d90658dbf99b9485327c25"/>
    <x v="33"/>
    <n v="9"/>
    <n v="16.79"/>
    <n v="9.5169439140883121"/>
    <n v="-0.51694391408831208"/>
    <n v="-5.4318268422603538E-2"/>
    <x v="0"/>
  </r>
  <r>
    <s v="a56b51724402d77b13ba844e67130c4a"/>
    <x v="491"/>
    <n v="66.3"/>
    <n v="8.2899999999999991"/>
    <n v="66.50800435744128"/>
    <n v="-0.20800435744128265"/>
    <n v="-3.1275086277342194E-3"/>
    <x v="1"/>
  </r>
  <r>
    <s v="86b8032cbb666ec9ca1f2aa4d4cace06"/>
    <x v="492"/>
    <n v="67.900000000000006"/>
    <n v="11.98"/>
    <n v="70.513192302841944"/>
    <n v="-2.6131923028419379"/>
    <n v="-3.7059622710296961E-2"/>
    <x v="1"/>
  </r>
  <r>
    <s v="11dcc970f7a5581e1bf777b6da3f7096"/>
    <x v="373"/>
    <n v="68.900000000000006"/>
    <n v="11.5"/>
    <n v="70.148791772417567"/>
    <n v="-1.2487917724175617"/>
    <n v="-1.7802042499448799E-2"/>
    <x v="1"/>
  </r>
  <r>
    <s v="b4183f86c9a0c7a13138ff4575114f76"/>
    <x v="136"/>
    <n v="55.5"/>
    <n v="12.73"/>
    <n v="54.256505089950281"/>
    <n v="1.2434949100497192"/>
    <n v="2.2918816978501753E-2"/>
    <x v="1"/>
  </r>
  <r>
    <s v="84f456958365164420cfc80fbe4c7fab"/>
    <x v="12"/>
    <n v="87.28"/>
    <n v="6.53"/>
    <n v="94.458827185338549"/>
    <n v="-7.1788271853385481"/>
    <n v="-7.5999537568393727E-2"/>
    <x v="0"/>
  </r>
  <r>
    <s v="06c6e01186af8b98ee1fc9e01f9471e9"/>
    <x v="493"/>
    <n v="29.9"/>
    <n v="14.1"/>
    <n v="28.643023451333224"/>
    <n v="1.2569765486667741"/>
    <n v="4.388421322918222E-2"/>
    <x v="1"/>
  </r>
  <r>
    <s v="0a6cff78b203b5224378cf8db2dff5a6"/>
    <x v="494"/>
    <n v="158"/>
    <n v="16.21"/>
    <n v="152.57542605170889"/>
    <n v="5.4245739482911119"/>
    <n v="3.5553392106882832E-2"/>
    <x v="1"/>
  </r>
  <r>
    <s v="8aa6223e400af9c97b07c75993142721"/>
    <x v="495"/>
    <n v="174.9"/>
    <n v="35.74"/>
    <n v="191.27845145678654"/>
    <n v="-16.378451456786536"/>
    <n v="-8.5626223612996682E-2"/>
    <x v="0"/>
  </r>
  <r>
    <s v="d9440686faf90019c12440cb9c783e4d"/>
    <x v="496"/>
    <n v="52.39"/>
    <n v="19.559999999999999"/>
    <n v="52.160100798739116"/>
    <n v="0.22989920126088492"/>
    <n v="4.4075681937033829E-3"/>
    <x v="1"/>
  </r>
  <r>
    <s v="ccc61dc31608c5b78cf0cbe85582fb77"/>
    <x v="129"/>
    <n v="139.9"/>
    <n v="8.23"/>
    <n v="134.70951112677176"/>
    <n v="5.1904888732282473"/>
    <n v="3.8530975502862656E-2"/>
    <x v="1"/>
  </r>
  <r>
    <s v="e0cf79767c5b016251fe139915c59a26"/>
    <x v="293"/>
    <n v="29.9"/>
    <n v="7.71"/>
    <n v="32.159738768308678"/>
    <n v="-2.2597387683086794"/>
    <n v="-7.0266079727472924E-2"/>
    <x v="0"/>
  </r>
  <r>
    <s v="186fe07c8b8005ec6a498587ffbc1352"/>
    <x v="22"/>
    <n v="29"/>
    <n v="14.1"/>
    <n v="28.303216348643026"/>
    <n v="0.69678365135697362"/>
    <n v="2.4618532493759508E-2"/>
    <x v="1"/>
  </r>
  <r>
    <s v="1a300f482e35d7eac74b229be067aefd"/>
    <x v="355"/>
    <n v="19.989999999999998"/>
    <n v="20.78"/>
    <n v="19.723147069691688"/>
    <n v="0.26685293030831048"/>
    <n v="1.3529936645779011E-2"/>
    <x v="1"/>
  </r>
  <r>
    <s v="f9d151cf2fc10d41cce64b782856320f"/>
    <x v="355"/>
    <n v="19.739999999999998"/>
    <n v="2.91"/>
    <n v="20.157456818114031"/>
    <n v="-0.41745681811403301"/>
    <n v="-2.070979597678687E-2"/>
    <x v="1"/>
  </r>
  <r>
    <s v="422879e10f46682990de24d770e7f83d"/>
    <x v="13"/>
    <n v="59.9"/>
    <n v="17.670000000000002"/>
    <n v="53.986242614242769"/>
    <n v="5.9137573857572292"/>
    <n v="0.10954193326647721"/>
    <x v="2"/>
  </r>
  <r>
    <s v="130482add9fd75ccb6c57ba007694a2d"/>
    <x v="53"/>
    <n v="105"/>
    <n v="21.57"/>
    <n v="110.23577720673656"/>
    <n v="-5.2357772067365573"/>
    <n v="-4.7496169931449415E-2"/>
    <x v="1"/>
  </r>
  <r>
    <s v="6d2c14b30e95a30ea57059b97cdd9fe7"/>
    <x v="85"/>
    <n v="49.99"/>
    <n v="11.73"/>
    <n v="52.197347656329242"/>
    <n v="-2.2073476563292402"/>
    <n v="-4.2288502298288448E-2"/>
    <x v="1"/>
  </r>
  <r>
    <s v="764292b2b0f73f77a0272be03fdd45f3"/>
    <x v="497"/>
    <n v="99.9"/>
    <n v="16.95"/>
    <n v="95.768316948391515"/>
    <n v="4.1316830516084906"/>
    <n v="4.3142483686280181E-2"/>
    <x v="1"/>
  </r>
  <r>
    <s v="0f3777229e40207d248acfd6e1f716b6"/>
    <x v="498"/>
    <n v="189.9"/>
    <n v="49.85"/>
    <n v="181.861644096156"/>
    <n v="8.0383559038440069"/>
    <n v="4.4200391697734098E-2"/>
    <x v="1"/>
  </r>
  <r>
    <s v="2b4609f8948be18874494203496bc318"/>
    <x v="10"/>
    <n v="89.99"/>
    <n v="14.38"/>
    <n v="82.259572223687272"/>
    <n v="7.7304277763127232"/>
    <n v="9.3976026951507627E-2"/>
    <x v="2"/>
  </r>
  <r>
    <s v="91c82ace62e0ca1b69b1a45bcc214b45"/>
    <x v="87"/>
    <n v="178"/>
    <n v="13.91"/>
    <n v="194.28856797300429"/>
    <n v="-16.288567973004291"/>
    <n v="-8.383698610238112E-2"/>
    <x v="0"/>
  </r>
  <r>
    <s v="54d9ac713e253fa1fae9c8003b011c2a"/>
    <x v="52"/>
    <n v="35"/>
    <n v="13.08"/>
    <n v="35.90172642035715"/>
    <n v="-0.90172642035715"/>
    <n v="-2.5116519740561814E-2"/>
    <x v="1"/>
  </r>
  <r>
    <s v="095cb863f2b04911455ad33f5177062e"/>
    <x v="499"/>
    <n v="53.9"/>
    <n v="13.4"/>
    <n v="57.641372442507496"/>
    <n v="-3.7413724425074975"/>
    <n v="-6.4907761282735024E-2"/>
    <x v="0"/>
  </r>
  <r>
    <s v="eaa26a34984cbfedc19b1e45f09f3c9a"/>
    <x v="500"/>
    <n v="108"/>
    <n v="13.1"/>
    <n v="107.00829877716328"/>
    <n v="0.99170122283672413"/>
    <n v="9.2675169512027034E-3"/>
    <x v="1"/>
  </r>
  <r>
    <s v="8817f0cda3d5b42e5f949ee3be9dc80c"/>
    <x v="299"/>
    <n v="13.99"/>
    <n v="22.85"/>
    <n v="12.694362132403798"/>
    <n v="1.2956378675962021"/>
    <n v="0.10206403867185572"/>
    <x v="2"/>
  </r>
  <r>
    <s v="aca2eb7d00ea1a7b8ebd4e68314663af"/>
    <x v="52"/>
    <n v="75"/>
    <n v="13.08"/>
    <n v="73.025096873861244"/>
    <n v="1.9749031261387557"/>
    <n v="2.7044169890662023E-2"/>
    <x v="1"/>
  </r>
  <r>
    <s v="aca2eb7d00ea1a7b8ebd4e68314663af"/>
    <x v="52"/>
    <n v="75"/>
    <n v="13.08"/>
    <n v="78.185372841397353"/>
    <n v="-3.1853728413973528"/>
    <n v="-4.0741288627721056E-2"/>
    <x v="1"/>
  </r>
  <r>
    <s v="aa74ebe862c9061d4272681810675a01"/>
    <x v="139"/>
    <n v="97"/>
    <n v="17.93"/>
    <n v="97.859741117579688"/>
    <n v="-0.85974111757968785"/>
    <n v="-8.7854423868411659E-3"/>
    <x v="1"/>
  </r>
  <r>
    <s v="4c1e109ecdf58453de365d217cefa64c"/>
    <x v="112"/>
    <n v="120"/>
    <n v="16.600000000000001"/>
    <n v="127.1101283993915"/>
    <n v="-7.110128399391499"/>
    <n v="-5.5936757274375755E-2"/>
    <x v="0"/>
  </r>
  <r>
    <s v="200b6dfc80a2ec5fee97a72da6589698"/>
    <x v="501"/>
    <n v="30.9"/>
    <n v="8.7200000000000006"/>
    <n v="29.035061046989433"/>
    <n v="1.8649389530105651"/>
    <n v="6.4230584877793317E-2"/>
    <x v="2"/>
  </r>
  <r>
    <s v="be764855458cd43b36c334faa773f7d5"/>
    <x v="502"/>
    <n v="126.79"/>
    <n v="33.75"/>
    <n v="121.86096553764372"/>
    <n v="4.9290344623562845"/>
    <n v="4.0448017464900773E-2"/>
    <x v="1"/>
  </r>
  <r>
    <s v="9ea1152d6d52dc57ab2ea49aa626adc1"/>
    <x v="174"/>
    <n v="54"/>
    <n v="23.18"/>
    <n v="52.327262678929451"/>
    <n v="1.6727373210705494"/>
    <n v="3.1966841669784272E-2"/>
    <x v="1"/>
  </r>
  <r>
    <s v="79a8800eb81425242b64f54f687f9af3"/>
    <x v="104"/>
    <n v="59.9"/>
    <n v="25.7"/>
    <n v="65.788714142275111"/>
    <n v="-5.8887141422751128"/>
    <n v="-8.9509488352974037E-2"/>
    <x v="0"/>
  </r>
  <r>
    <s v="4b5e26931a0b0d3a690a3f520329a975"/>
    <x v="52"/>
    <n v="210"/>
    <n v="50"/>
    <n v="221.57710583505545"/>
    <n v="-11.577105835055448"/>
    <n v="-5.2248655344715893E-2"/>
    <x v="0"/>
  </r>
  <r>
    <s v="566f6035da0eb2a5d974ac66ae6d148c"/>
    <x v="503"/>
    <n v="21.99"/>
    <n v="26.84"/>
    <n v="19.952501599755415"/>
    <n v="2.0374984002445835"/>
    <n v="0.10211744076590175"/>
    <x v="2"/>
  </r>
  <r>
    <s v="3516632e8f52b679ff83d1665ecc990e"/>
    <x v="116"/>
    <n v="75.900000000000006"/>
    <n v="1.8"/>
    <n v="70.110545573681009"/>
    <n v="5.7894544263189971"/>
    <n v="8.2576085793466092E-2"/>
    <x v="2"/>
  </r>
  <r>
    <s v="0b6a32b32a7dc68b12e8a0e0805c44d5"/>
    <x v="259"/>
    <n v="195.9"/>
    <n v="8.6300000000000008"/>
    <n v="192.18338745695544"/>
    <n v="3.7166125430445618"/>
    <n v="1.9338885593724875E-2"/>
    <x v="1"/>
  </r>
  <r>
    <s v="a7ca7fd9bf5015bfeecc4010e8fa4ce7"/>
    <x v="504"/>
    <n v="130"/>
    <n v="67.44"/>
    <n v="138.35854259323813"/>
    <n v="-8.358542593238127"/>
    <n v="-6.0412190216627984E-2"/>
    <x v="0"/>
  </r>
  <r>
    <s v="625dac8156b3157351e7257305148f3f"/>
    <x v="38"/>
    <n v="39.89"/>
    <n v="51"/>
    <n v="43.643645344733741"/>
    <n v="-3.7536453447337408"/>
    <n v="-8.6006687000692403E-2"/>
    <x v="0"/>
  </r>
  <r>
    <s v="99f265229d46f700208ad7cb1ff48aae"/>
    <x v="20"/>
    <n v="29.99"/>
    <n v="14.1"/>
    <n v="28.0148796792413"/>
    <n v="1.9751203207586983"/>
    <n v="7.0502545196445707E-2"/>
    <x v="2"/>
  </r>
  <r>
    <s v="180fbb426ea5ab0708d43ad3f3839bb9"/>
    <x v="462"/>
    <n v="99"/>
    <n v="64.06"/>
    <n v="95.879568776623927"/>
    <n v="3.1204312233760731"/>
    <n v="3.2545319750508256E-2"/>
    <x v="1"/>
  </r>
  <r>
    <s v="78b7b1ff2d3f06a589354ddf2f4f9db3"/>
    <x v="104"/>
    <n v="292.89999999999998"/>
    <n v="16.22"/>
    <n v="297.30750148167283"/>
    <n v="-4.4075014816728526"/>
    <n v="-1.4824723425098468E-2"/>
    <x v="1"/>
  </r>
  <r>
    <s v="3104dbf304c25fa1812a11ad924f8b57"/>
    <x v="505"/>
    <n v="49.9"/>
    <n v="9.34"/>
    <n v="45.276169509576164"/>
    <n v="4.6238304904238348"/>
    <n v="0.1021250370892323"/>
    <x v="2"/>
  </r>
  <r>
    <s v="e5178e8bcef1146c07bf05c267ed1729"/>
    <x v="278"/>
    <n v="45.99"/>
    <n v="11.86"/>
    <n v="47.865449397615102"/>
    <n v="-1.8754493976150997"/>
    <n v="-3.9181694128386145E-2"/>
    <x v="1"/>
  </r>
  <r>
    <s v="2ec8497962cc5f7730756635a5cbbf16"/>
    <x v="145"/>
    <n v="32.9"/>
    <n v="17.600000000000001"/>
    <n v="34.068093377155918"/>
    <n v="-1.1680933771559197"/>
    <n v="-3.4287019359268728E-2"/>
    <x v="1"/>
  </r>
  <r>
    <s v="ed7090839f8e749840a20f1c1cc78717"/>
    <x v="40"/>
    <n v="189.89"/>
    <n v="17.09"/>
    <n v="200.98277658463016"/>
    <n v="-11.092776584630172"/>
    <n v="-5.519267259181887E-2"/>
    <x v="0"/>
  </r>
  <r>
    <s v="ed7090839f8e749840a20f1c1cc78717"/>
    <x v="40"/>
    <n v="189.89"/>
    <n v="17.09"/>
    <n v="197.97959318743645"/>
    <n v="-8.0895931874364635"/>
    <n v="-4.086074255025704E-2"/>
    <x v="1"/>
  </r>
  <r>
    <s v="ce8a29973a1fed3f8d22ea5514d9ea07"/>
    <x v="33"/>
    <n v="18.899999999999999"/>
    <n v="15.1"/>
    <n v="20.694006343539385"/>
    <n v="-1.7940063435393867"/>
    <n v="-8.6692074688547241E-2"/>
    <x v="0"/>
  </r>
  <r>
    <s v="a76d6212f99d1253fb7bcfe02ce87d8a"/>
    <x v="33"/>
    <n v="9"/>
    <n v="7.78"/>
    <n v="9.6549443683307228"/>
    <n v="-0.65494436833072278"/>
    <n v="-6.7835126060281845E-2"/>
    <x v="0"/>
  </r>
  <r>
    <s v="17823ffd2de8234f0e885a71109613a4"/>
    <x v="81"/>
    <n v="279.99"/>
    <n v="15.55"/>
    <n v="283.13637375977214"/>
    <n v="-3.146373759772132"/>
    <n v="-1.1112573485318709E-2"/>
    <x v="1"/>
  </r>
  <r>
    <s v="2ea92fab7565c4fe9f91a5e4e1756258"/>
    <x v="105"/>
    <n v="79"/>
    <n v="13.57"/>
    <n v="78.460097437943631"/>
    <n v="0.53990256205636911"/>
    <n v="6.8812374657499465E-3"/>
    <x v="1"/>
  </r>
  <r>
    <s v="c3c075d20bbf03a458eb5c4458d82380"/>
    <x v="368"/>
    <n v="109.9"/>
    <n v="43.91"/>
    <n v="103.64855916202322"/>
    <n v="6.2514408379767872"/>
    <n v="6.0313822869496408E-2"/>
    <x v="2"/>
  </r>
  <r>
    <s v="294d41c2e68c3452a16c269c5a969537"/>
    <x v="166"/>
    <n v="194.99"/>
    <n v="23.29"/>
    <n v="198.66252760558581"/>
    <n v="-3.6725276055857989"/>
    <n v="-1.8486262355812987E-2"/>
    <x v="1"/>
  </r>
  <r>
    <s v="f63e5eb82736ac58d9d286f64fe5c44f"/>
    <x v="506"/>
    <n v="25.99"/>
    <n v="18.25"/>
    <n v="25.585022211262178"/>
    <n v="0.40497778873782053"/>
    <n v="1.5828705771439779E-2"/>
    <x v="1"/>
  </r>
  <r>
    <s v="caa526308abc9a77d0c56869139dbae9"/>
    <x v="414"/>
    <n v="19"/>
    <n v="18.25"/>
    <n v="19.731175075862232"/>
    <n v="-0.7311750758622324"/>
    <n v="-3.7056843956379565E-2"/>
    <x v="1"/>
  </r>
  <r>
    <s v="39f9ab5ea27485a4c3d32ee4c45630d8"/>
    <x v="12"/>
    <n v="126"/>
    <n v="18.760000000000002"/>
    <n v="125.635879229921"/>
    <n v="0.36412077007899768"/>
    <n v="2.8982228031582871E-3"/>
    <x v="1"/>
  </r>
  <r>
    <s v="8016b7670842c9e99086f95ca96d7356"/>
    <x v="507"/>
    <n v="319"/>
    <n v="20.77"/>
    <n v="298.98174573531008"/>
    <n v="20.018254264689915"/>
    <n v="6.6954770818724724E-2"/>
    <x v="2"/>
  </r>
  <r>
    <s v="a8b0dd2c57b49b649373ff5a495a697e"/>
    <x v="508"/>
    <n v="135"/>
    <n v="15.83"/>
    <n v="141.12039979891782"/>
    <n v="-6.1203997989178163"/>
    <n v="-4.3370057111790795E-2"/>
    <x v="1"/>
  </r>
  <r>
    <s v="6b7de889f456ee35f031172d358b2cd2"/>
    <x v="406"/>
    <n v="135.9"/>
    <n v="23.67"/>
    <n v="135.57726425267208"/>
    <n v="0.32273574732792554"/>
    <n v="2.3804562594392721E-3"/>
    <x v="1"/>
  </r>
  <r>
    <s v="84d2057bc1f88332d0892eea0e997d28"/>
    <x v="20"/>
    <n v="27.99"/>
    <n v="7.46"/>
    <n v="28.883413645811935"/>
    <n v="-0.89341364581193616"/>
    <n v="-3.0931719386343388E-2"/>
    <x v="1"/>
  </r>
  <r>
    <s v="31b8c37adb9572ed34757d9368d987ac"/>
    <x v="22"/>
    <n v="49"/>
    <n v="15.23"/>
    <n v="52.513376573679842"/>
    <n v="-3.5133765736798424"/>
    <n v="-6.6904411845434011E-2"/>
    <x v="0"/>
  </r>
  <r>
    <s v="056010e0e6196d99309275e1b2d12c80"/>
    <x v="509"/>
    <n v="44"/>
    <n v="9.99"/>
    <n v="47.819131335019563"/>
    <n v="-3.8191313350195628"/>
    <n v="-7.9866179673211343E-2"/>
    <x v="0"/>
  </r>
  <r>
    <s v="9fdc434e0c81bc6d990065c2a7efb4de"/>
    <x v="509"/>
    <n v="29.3"/>
    <n v="9.99"/>
    <n v="26.459160845072148"/>
    <n v="2.8408391549278527"/>
    <n v="0.10736694075681319"/>
    <x v="2"/>
  </r>
  <r>
    <s v="7b52ce3d6635ac7eb9d2bbb3dc931843"/>
    <x v="173"/>
    <n v="42.95"/>
    <n v="11.85"/>
    <n v="47.134561318006142"/>
    <n v="-4.1845613180061392"/>
    <n v="-8.8779044526878223E-2"/>
    <x v="0"/>
  </r>
  <r>
    <s v="2bb3e85f2a403543fdb64e266e70c792"/>
    <x v="510"/>
    <n v="329.9"/>
    <n v="57.59"/>
    <n v="314.02392930260362"/>
    <n v="15.876070697396358"/>
    <n v="5.0556881867743472E-2"/>
    <x v="2"/>
  </r>
  <r>
    <s v="77fa3381855b6763c52ca3b72824f508"/>
    <x v="22"/>
    <n v="49"/>
    <n v="37.04"/>
    <n v="53.004361280299321"/>
    <n v="-4.0043612802993209"/>
    <n v="-7.554776972263344E-2"/>
    <x v="0"/>
  </r>
  <r>
    <s v="65e3848513c9ab70bf542e5d694cf072"/>
    <x v="8"/>
    <n v="36.85"/>
    <n v="11.74"/>
    <n v="39.50700144549409"/>
    <n v="-2.6570014454940889"/>
    <n v="-6.7253938498972793E-2"/>
    <x v="0"/>
  </r>
  <r>
    <s v="9c0f79b9daf5436386477b4e17b94389"/>
    <x v="186"/>
    <n v="150"/>
    <n v="9.67"/>
    <n v="143.59359545055614"/>
    <n v="6.4064045494438631"/>
    <n v="4.4614834870193028E-2"/>
    <x v="1"/>
  </r>
  <r>
    <s v="09c3a2ea33f044aebffecd6681e00133"/>
    <x v="186"/>
    <n v="40"/>
    <n v="21.49"/>
    <n v="37.047585387487466"/>
    <n v="2.9524146125125341"/>
    <n v="7.9692497679206081E-2"/>
    <x v="2"/>
  </r>
  <r>
    <s v="5403528d987ad26e8d7cb25940411987"/>
    <x v="22"/>
    <n v="49"/>
    <n v="13"/>
    <n v="44.224433712572541"/>
    <n v="4.7755662874274591"/>
    <n v="0.10798479226359921"/>
    <x v="2"/>
  </r>
  <r>
    <s v="8c591ab0ca519558779df02023177f44"/>
    <x v="109"/>
    <n v="99.99"/>
    <n v="23.69"/>
    <n v="103.48073300886485"/>
    <n v="-3.4907330088648507"/>
    <n v="-3.3733168555791074E-2"/>
    <x v="1"/>
  </r>
  <r>
    <s v="e30d5b80f5e85b8f9e7c627b5d594b38"/>
    <x v="511"/>
    <n v="39"/>
    <n v="16.11"/>
    <n v="42.351814398074694"/>
    <n v="-3.3518143980746942"/>
    <n v="-7.9142167713765463E-2"/>
    <x v="0"/>
  </r>
  <r>
    <s v="879f3fcede3745f74eef673bf8d5805a"/>
    <x v="375"/>
    <n v="31"/>
    <n v="7.39"/>
    <n v="32.757396034459688"/>
    <n v="-1.7573960344596884"/>
    <n v="-5.3648831934350528E-2"/>
    <x v="0"/>
  </r>
  <r>
    <s v="ef66e63137bdd1b2e44aa968646fc1e3"/>
    <x v="186"/>
    <n v="38.4"/>
    <n v="9.34"/>
    <n v="40.885983311452875"/>
    <n v="-2.4859833114528769"/>
    <n v="-6.0802825567766394E-2"/>
    <x v="0"/>
  </r>
  <r>
    <s v="ef66e63137bdd1b2e44aa968646fc1e3"/>
    <x v="186"/>
    <n v="38.4"/>
    <n v="9.34"/>
    <n v="41.209254883879687"/>
    <n v="-2.8092548838796887"/>
    <n v="-6.8170484804825196E-2"/>
    <x v="0"/>
  </r>
  <r>
    <s v="d5b703c271f43f9c588a6f512a00f77e"/>
    <x v="67"/>
    <n v="34.9"/>
    <n v="16.79"/>
    <n v="34.767121069037572"/>
    <n v="0.13287893096242698"/>
    <n v="3.8219710714202473E-3"/>
    <x v="1"/>
  </r>
  <r>
    <s v="a7e03f1bcebad9ca43f8f4dbda9bc1b6"/>
    <x v="482"/>
    <n v="130"/>
    <n v="15.79"/>
    <n v="142.79808054445999"/>
    <n v="-12.798080544459992"/>
    <n v="-8.9623617458046478E-2"/>
    <x v="0"/>
  </r>
  <r>
    <s v="c19965667589410161de452ee07d33af"/>
    <x v="512"/>
    <n v="39.9"/>
    <n v="14.08"/>
    <n v="42.868238870852174"/>
    <n v="-2.9682388708521756"/>
    <n v="-6.9240980013069761E-2"/>
    <x v="0"/>
  </r>
  <r>
    <s v="bee2e070c39f3dd2f6883a17a5f0da45"/>
    <x v="112"/>
    <n v="180"/>
    <n v="10.01"/>
    <n v="186.33512127252988"/>
    <n v="-6.3351212725298751"/>
    <n v="-3.3998535698829734E-2"/>
    <x v="1"/>
  </r>
  <r>
    <s v="12fc9ab82dd45f3824881d94f79edb38"/>
    <x v="513"/>
    <n v="14"/>
    <n v="7.39"/>
    <n v="13.323508231104272"/>
    <n v="0.67649176889572793"/>
    <n v="5.0774297366847444E-2"/>
    <x v="2"/>
  </r>
  <r>
    <s v="f83a5f8708629c8efc042168299e8641"/>
    <x v="65"/>
    <n v="107.99"/>
    <n v="12.26"/>
    <n v="103.53155504582413"/>
    <n v="4.4584449541758602"/>
    <n v="4.3063633615881711E-2"/>
    <x v="1"/>
  </r>
  <r>
    <s v="26dbcaad027ebbead6bb387c7d68abca"/>
    <x v="81"/>
    <n v="249.99"/>
    <n v="18.32"/>
    <n v="236.8658129880028"/>
    <n v="13.124187011997208"/>
    <n v="5.5407687780853136E-2"/>
    <x v="2"/>
  </r>
  <r>
    <s v="5cde85235c4ae7747e9b48de95178a14"/>
    <x v="166"/>
    <n v="218.36"/>
    <n v="13.03"/>
    <n v="200.70143154173124"/>
    <n v="17.658568458268775"/>
    <n v="8.7984267589028539E-2"/>
    <x v="2"/>
  </r>
  <r>
    <s v="7c1bd920dbdf22470b68bde975dd3ccf"/>
    <x v="10"/>
    <n v="58.99"/>
    <n v="13.49"/>
    <n v="53.541095976456802"/>
    <n v="5.4489040235432"/>
    <n v="0.10177049842123521"/>
    <x v="2"/>
  </r>
  <r>
    <s v="c863f578eb77e9238bfc0db8d0ffa3c8"/>
    <x v="430"/>
    <n v="48.3"/>
    <n v="21.15"/>
    <n v="50.887191599929736"/>
    <n v="-2.5871915999297386"/>
    <n v="-5.0841705320859382E-2"/>
    <x v="0"/>
  </r>
  <r>
    <s v="431dc11c26a67c6a49e81cee84f35b28"/>
    <x v="514"/>
    <n v="454"/>
    <n v="15.52"/>
    <n v="477.18732888905879"/>
    <n v="-23.18732888905879"/>
    <n v="-4.8591669319973933E-2"/>
    <x v="1"/>
  </r>
  <r>
    <s v="44d097d59e8430f88a67517cd0c4f865"/>
    <x v="22"/>
    <n v="69"/>
    <n v="18.579999999999998"/>
    <n v="63.484913496700663"/>
    <n v="5.5150865032993366"/>
    <n v="8.6872395338239816E-2"/>
    <x v="2"/>
  </r>
  <r>
    <s v="fb05d01823da2c4e90924c5486134808"/>
    <x v="12"/>
    <n v="126"/>
    <n v="13.9"/>
    <n v="114.0260838084435"/>
    <n v="11.973916191556498"/>
    <n v="0.10501032563454435"/>
    <x v="2"/>
  </r>
  <r>
    <s v="bb7181410b4e02f93f3697f765db53c7"/>
    <x v="69"/>
    <n v="109.99"/>
    <n v="27.21"/>
    <n v="107.61490251601909"/>
    <n v="2.3750974839809089"/>
    <n v="2.2070339966412757E-2"/>
    <x v="1"/>
  </r>
  <r>
    <s v="2028bf1b01cafb2d2b1901fca4083222"/>
    <x v="10"/>
    <n v="56.99"/>
    <n v="11.9"/>
    <n v="59.148694153789329"/>
    <n v="-2.1586941537893267"/>
    <n v="-3.6496057684327274E-2"/>
    <x v="1"/>
  </r>
  <r>
    <s v="f4041d76285c2a34ad5013e8d287a400"/>
    <x v="65"/>
    <n v="39.99"/>
    <n v="12.79"/>
    <n v="40.540153286994169"/>
    <n v="-0.55015328699416699"/>
    <n v="-1.3570577375460089E-2"/>
    <x v="1"/>
  </r>
  <r>
    <s v="f4041d76285c2a34ad5013e8d287a400"/>
    <x v="65"/>
    <n v="39.99"/>
    <n v="12.79"/>
    <n v="43.688902571201261"/>
    <n v="-3.6989025712012591"/>
    <n v="-8.4664579641775942E-2"/>
    <x v="0"/>
  </r>
  <r>
    <s v="f4041d76285c2a34ad5013e8d287a400"/>
    <x v="65"/>
    <n v="39.99"/>
    <n v="12.79"/>
    <n v="40.809623863041388"/>
    <n v="-0.8196238630413859"/>
    <n v="-2.0084082759303883E-2"/>
    <x v="1"/>
  </r>
  <r>
    <s v="f4041d76285c2a34ad5013e8d287a400"/>
    <x v="65"/>
    <n v="39.99"/>
    <n v="12.79"/>
    <n v="37.385607635922966"/>
    <n v="2.6043923640770359"/>
    <n v="6.966296734935333E-2"/>
    <x v="2"/>
  </r>
  <r>
    <s v="f4041d76285c2a34ad5013e8d287a400"/>
    <x v="65"/>
    <n v="39.99"/>
    <n v="12.79"/>
    <n v="40.143886453530364"/>
    <n v="-0.15388645353036168"/>
    <n v="-3.8333720804162069E-3"/>
    <x v="1"/>
  </r>
  <r>
    <s v="b0961721fd839e9982420e807758a2a6"/>
    <x v="13"/>
    <n v="59.9"/>
    <n v="17.670000000000002"/>
    <n v="61.509488404406945"/>
    <n v="-1.609488404406946"/>
    <n v="-2.616650611406535E-2"/>
    <x v="1"/>
  </r>
  <r>
    <s v="b0961721fd839e9982420e807758a2a6"/>
    <x v="13"/>
    <n v="59.9"/>
    <n v="17.670000000000002"/>
    <n v="61.119605653773533"/>
    <n v="-1.2196056537735345"/>
    <n v="-1.9954409730361798E-2"/>
    <x v="1"/>
  </r>
  <r>
    <s v="cbd2c1ba72b7f4ce36a69fd430c019ae"/>
    <x v="48"/>
    <n v="149.99"/>
    <n v="23.93"/>
    <n v="137.82536696576753"/>
    <n v="12.16463303423248"/>
    <n v="8.8261205480801505E-2"/>
    <x v="2"/>
  </r>
  <r>
    <s v="cbd2c1ba72b7f4ce36a69fd430c019ae"/>
    <x v="48"/>
    <n v="149.99"/>
    <n v="23.93"/>
    <n v="162.50240545766408"/>
    <n v="-12.512405457664073"/>
    <n v="-7.6998278409631707E-2"/>
    <x v="0"/>
  </r>
  <r>
    <s v="5b8423dc7f23089c9c59c5d140eb5a1c"/>
    <x v="478"/>
    <n v="129.99"/>
    <n v="14.51"/>
    <n v="118.25955486843158"/>
    <n v="11.73044513156843"/>
    <n v="9.9192366693913347E-2"/>
    <x v="2"/>
  </r>
  <r>
    <s v="5c087f345e870429ec3ea20a49a79735"/>
    <x v="21"/>
    <n v="196.99"/>
    <n v="35.54"/>
    <n v="210.21939945917725"/>
    <n v="-13.229399459177245"/>
    <n v="-6.2931392122763039E-2"/>
    <x v="0"/>
  </r>
  <r>
    <s v="060c17562f97e5bb60bc0dfa4dd5b3f2"/>
    <x v="51"/>
    <n v="24.99"/>
    <n v="18.23"/>
    <n v="24.713644714881088"/>
    <n v="0.27635528511891039"/>
    <n v="1.1182295784664479E-2"/>
    <x v="1"/>
  </r>
  <r>
    <s v="013ee64977aaa6b2b25475095162e0e9"/>
    <x v="123"/>
    <n v="69.989999999999995"/>
    <n v="31.87"/>
    <n v="65.309199657180741"/>
    <n v="4.6808003428192535"/>
    <n v="7.167137811195945E-2"/>
    <x v="2"/>
  </r>
  <r>
    <s v="f6fa93875f4a7dac03e0a22143f4d815"/>
    <x v="171"/>
    <n v="49.95"/>
    <n v="10.52"/>
    <n v="45.231665809130604"/>
    <n v="4.718334190869399"/>
    <n v="0.10431484462190516"/>
    <x v="2"/>
  </r>
  <r>
    <s v="3e5201fe0d1ba474d9b90152c83c706c"/>
    <x v="391"/>
    <n v="116.9"/>
    <n v="13.16"/>
    <n v="119.85366189298387"/>
    <n v="-2.9536618929838596"/>
    <n v="-2.4643901957882228E-2"/>
    <x v="1"/>
  </r>
  <r>
    <s v="ca36223e14b83df526098afff99de992"/>
    <x v="370"/>
    <n v="19"/>
    <n v="8.8800000000000008"/>
    <n v="20.681253844553584"/>
    <n v="-1.6812538445535843"/>
    <n v="-8.1293612911015209E-2"/>
    <x v="0"/>
  </r>
  <r>
    <s v="ca36223e14b83df526098afff99de992"/>
    <x v="370"/>
    <n v="19"/>
    <n v="8.8800000000000008"/>
    <n v="19.667802110654712"/>
    <n v="-0.66780211065471207"/>
    <n v="-3.3954079205064866E-2"/>
    <x v="1"/>
  </r>
  <r>
    <s v="0a27cbaaeacef635e4aa37885a1e5e93"/>
    <x v="229"/>
    <n v="219"/>
    <n v="45.38"/>
    <n v="236.68534343512991"/>
    <n v="-17.685343435129909"/>
    <n v="-7.4720906577711521E-2"/>
    <x v="0"/>
  </r>
  <r>
    <s v="6fd3f7378cd65325e10cb21733778416"/>
    <x v="515"/>
    <n v="89.9"/>
    <n v="23.56"/>
    <n v="86.206253522764598"/>
    <n v="3.6937464772354076"/>
    <n v="4.2847778743336701E-2"/>
    <x v="1"/>
  </r>
  <r>
    <s v="009af1277432f1a05742df69cdf72d1e"/>
    <x v="491"/>
    <n v="59.9"/>
    <n v="7.78"/>
    <n v="56.783034944193268"/>
    <n v="3.1169650558067303"/>
    <n v="5.4892540683499989E-2"/>
    <x v="2"/>
  </r>
  <r>
    <s v="76f4d017416dbf316f05abe3a1aa04df"/>
    <x v="264"/>
    <n v="84.9"/>
    <n v="17.84"/>
    <n v="85.815692386089609"/>
    <n v="-0.91569238608960291"/>
    <n v="-1.0670453860231664E-2"/>
    <x v="1"/>
  </r>
  <r>
    <s v="b000447e24e31a4d7e628ca4d0622131"/>
    <x v="32"/>
    <n v="23.99"/>
    <n v="15.65"/>
    <n v="22.294372053443304"/>
    <n v="1.6956279465566944"/>
    <n v="7.6056322308248617E-2"/>
    <x v="2"/>
  </r>
  <r>
    <s v="601a360bd2a916ecef0e88de72a6531a"/>
    <x v="37"/>
    <n v="129.99"/>
    <n v="13.49"/>
    <n v="121.06506165851248"/>
    <n v="8.9249383414875325"/>
    <n v="7.3720181687612352E-2"/>
    <x v="2"/>
  </r>
  <r>
    <s v="e338f548cda0b52650b9acfd317a74db"/>
    <x v="131"/>
    <n v="54.9"/>
    <n v="15.13"/>
    <n v="59.682490498297973"/>
    <n v="-4.7824904982979746"/>
    <n v="-8.0132220662513437E-2"/>
    <x v="0"/>
  </r>
  <r>
    <s v="3dd2a17168ec895c781a9191c1e95ad7"/>
    <x v="454"/>
    <n v="149.9"/>
    <n v="23.37"/>
    <n v="159.22217143193359"/>
    <n v="-9.3221714319335831"/>
    <n v="-5.854819933741922E-2"/>
    <x v="0"/>
  </r>
  <r>
    <s v="4f823b57fbf2a359f9df38dc72ef0da6"/>
    <x v="516"/>
    <n v="24"/>
    <n v="8.8800000000000008"/>
    <n v="22.760714299870038"/>
    <n v="1.2392857001299618"/>
    <n v="5.4448453761270485E-2"/>
    <x v="2"/>
  </r>
  <r>
    <s v="a87567bdce60de6f901e3d7c6d8df820"/>
    <x v="517"/>
    <n v="85"/>
    <n v="20.079999999999998"/>
    <n v="84.533011011344527"/>
    <n v="0.46698898865547278"/>
    <n v="5.5243387532096988E-3"/>
    <x v="1"/>
  </r>
  <r>
    <s v="e7d5464b94c9a5963f7c686fc80145ad"/>
    <x v="518"/>
    <n v="139"/>
    <n v="14.31"/>
    <n v="131.13558321327395"/>
    <n v="7.8644167867260535"/>
    <n v="5.9971646093460874E-2"/>
    <x v="2"/>
  </r>
  <r>
    <s v="1becf32f9c527bad8d88e8e6aa99f021"/>
    <x v="44"/>
    <n v="89.9"/>
    <n v="9.36"/>
    <n v="87.44712599602255"/>
    <n v="2.4528740039774561"/>
    <n v="2.8049795531176439E-2"/>
    <x v="1"/>
  </r>
  <r>
    <s v="63888810573fd78e60644cdf803cd2fa"/>
    <x v="80"/>
    <n v="29.9"/>
    <n v="15.31"/>
    <n v="32.224655244430167"/>
    <n v="-2.3246552444301685"/>
    <n v="-7.2139026059308137E-2"/>
    <x v="0"/>
  </r>
  <r>
    <s v="e0cf79767c5b016251fe139915c59a26"/>
    <x v="293"/>
    <n v="29.9"/>
    <n v="7.47"/>
    <n v="29.177055450990206"/>
    <n v="0.72294454900979233"/>
    <n v="2.4777844708289684E-2"/>
    <x v="1"/>
  </r>
  <r>
    <s v="0a57f7d2c983bcf8188589a5fea4a8da"/>
    <x v="87"/>
    <n v="119"/>
    <n v="21.32"/>
    <n v="118.92195164601269"/>
    <n v="7.8048353987313135E-2"/>
    <n v="6.562989667343725E-4"/>
    <x v="1"/>
  </r>
  <r>
    <s v="0a57f7d2c983bcf8188589a5fea4a8da"/>
    <x v="87"/>
    <n v="119"/>
    <n v="21.32"/>
    <n v="114.44181256695435"/>
    <n v="4.5581874330456458"/>
    <n v="3.9829738194498372E-2"/>
    <x v="1"/>
  </r>
  <r>
    <s v="fddc61a36e83f12b665d068c07411aa7"/>
    <x v="519"/>
    <n v="74.989999999999995"/>
    <n v="19.72"/>
    <n v="68.003077786093101"/>
    <n v="6.9869222139068938"/>
    <n v="0.10274420572381426"/>
    <x v="2"/>
  </r>
  <r>
    <s v="02ce467092b184e71d3967d29110adc1"/>
    <x v="21"/>
    <n v="179.99"/>
    <n v="40.19"/>
    <n v="194.26447764748482"/>
    <n v="-14.274477647484815"/>
    <n v="-7.3479607905401478E-2"/>
    <x v="0"/>
  </r>
  <r>
    <s v="17a019676883dce326999c11a46a14f0"/>
    <x v="51"/>
    <n v="49"/>
    <n v="7.39"/>
    <n v="52.612065714251152"/>
    <n v="-3.6120657142511519"/>
    <n v="-6.865470239980985E-2"/>
    <x v="0"/>
  </r>
  <r>
    <s v="86b29e90cab127b7231caf9eb85d4353"/>
    <x v="161"/>
    <n v="69"/>
    <n v="11.73"/>
    <n v="67.022803324287253"/>
    <n v="1.9771966757127473"/>
    <n v="2.950035775355676E-2"/>
    <x v="1"/>
  </r>
  <r>
    <s v="a50acd33ba7a8da8e9db65094fa990a4"/>
    <x v="161"/>
    <n v="117.3"/>
    <n v="22.29"/>
    <n v="128.36306623635113"/>
    <n v="-11.063066236351133"/>
    <n v="-8.6185742992310854E-2"/>
    <x v="0"/>
  </r>
  <r>
    <s v="77a399638eca91f6fa1a508a30e01565"/>
    <x v="520"/>
    <n v="27.18"/>
    <n v="15.11"/>
    <n v="25.298488232887614"/>
    <n v="1.8815117671123858"/>
    <n v="7.4372498063597803E-2"/>
    <x v="2"/>
  </r>
  <r>
    <s v="f3c62fde9d2e2acf6c7c46648571c070"/>
    <x v="521"/>
    <n v="79.900000000000006"/>
    <n v="51.06"/>
    <n v="83.957312337228799"/>
    <n v="-4.0573123372287938"/>
    <n v="-4.8325895914008182E-2"/>
    <x v="1"/>
  </r>
  <r>
    <s v="3efd399c5d016b9e6a5ad3196eade44f"/>
    <x v="522"/>
    <n v="213"/>
    <n v="18.739999999999998"/>
    <n v="204.60242551848211"/>
    <n v="8.3975744815178928"/>
    <n v="4.1043376979708994E-2"/>
    <x v="1"/>
  </r>
  <r>
    <s v="42fd6f72ca3e6f53b25d7a19b0536630"/>
    <x v="292"/>
    <n v="128.25"/>
    <n v="15.21"/>
    <n v="115.76621158281833"/>
    <n v="12.483788417181671"/>
    <n v="0.10783620061930468"/>
    <x v="2"/>
  </r>
  <r>
    <s v="c234a60a994181f45605566bef8fe3b4"/>
    <x v="523"/>
    <n v="109.9"/>
    <n v="15.88"/>
    <n v="107.31865062621351"/>
    <n v="2.5813493737864945"/>
    <n v="2.4053129243836929E-2"/>
    <x v="1"/>
  </r>
  <r>
    <s v="e4985e03cd939f1a9f81c65e949f1688"/>
    <x v="189"/>
    <n v="97.65"/>
    <n v="8.42"/>
    <n v="102.73545671075567"/>
    <n v="-5.0854567107556647"/>
    <n v="-4.9500502295652456E-2"/>
    <x v="1"/>
  </r>
  <r>
    <s v="61963c77fd2c3db173915d9dc837ee12"/>
    <x v="76"/>
    <n v="69.900000000000006"/>
    <n v="54.24"/>
    <n v="72.315037633061749"/>
    <n v="-2.4150376330617433"/>
    <n v="-3.3396064112087405E-2"/>
    <x v="1"/>
  </r>
  <r>
    <s v="63c4a70e0a12b4bd9475fca9e9937e76"/>
    <x v="294"/>
    <n v="122.99"/>
    <n v="164.98"/>
    <n v="113.3412387149971"/>
    <n v="9.648761285002891"/>
    <n v="8.5130190867820338E-2"/>
    <x v="2"/>
  </r>
  <r>
    <s v="50063fba038aabf31446889396187973"/>
    <x v="524"/>
    <n v="301"/>
    <n v="17.87"/>
    <n v="287.95953272589196"/>
    <n v="13.040467274108039"/>
    <n v="4.5285763421908418E-2"/>
    <x v="1"/>
  </r>
  <r>
    <s v="9446c80fe62e667a43387750f8a8f6d0"/>
    <x v="335"/>
    <n v="119"/>
    <n v="29.19"/>
    <n v="113.24259723005019"/>
    <n v="5.757402769949806"/>
    <n v="5.0841316878786798E-2"/>
    <x v="2"/>
  </r>
  <r>
    <s v="c4101d1b4e0fabda6c62a8074e92cbbc"/>
    <x v="525"/>
    <n v="26.9"/>
    <n v="7.78"/>
    <n v="29.111062466320604"/>
    <n v="-2.2110624663206053"/>
    <n v="-7.5952654386237009E-2"/>
    <x v="0"/>
  </r>
  <r>
    <s v="8fc31e1c7f966b5262cfcc89e159d9a7"/>
    <x v="526"/>
    <n v="50"/>
    <n v="18.45"/>
    <n v="46.072600107987213"/>
    <n v="3.9273998920127866"/>
    <n v="8.5243721491896587E-2"/>
    <x v="2"/>
  </r>
  <r>
    <s v="89b121bee266dcd25688a1ba72eefb61"/>
    <x v="471"/>
    <n v="79.900000000000006"/>
    <n v="15.44"/>
    <n v="77.781620559267921"/>
    <n v="2.1183794407320846"/>
    <n v="2.7234961492193711E-2"/>
    <x v="1"/>
  </r>
  <r>
    <s v="d465fef4e52e46bc9e04996b37789bbd"/>
    <x v="317"/>
    <n v="53.95"/>
    <n v="15.59"/>
    <n v="48.632563821325341"/>
    <n v="5.3174361786746616"/>
    <n v="0.10933900581944993"/>
    <x v="2"/>
  </r>
  <r>
    <s v="59f17be62604541797d4df87ae80cf73"/>
    <x v="112"/>
    <n v="89"/>
    <n v="9.93"/>
    <n v="84.494940567199308"/>
    <n v="4.5050594328006923"/>
    <n v="5.3317505196867884E-2"/>
    <x v="2"/>
  </r>
  <r>
    <s v="34282a40b7d2b7aae8762762cb6ebcad"/>
    <x v="28"/>
    <n v="139.9"/>
    <n v="39.97"/>
    <n v="141.65954561405621"/>
    <n v="-1.7595456140562078"/>
    <n v="-1.2420946336013211E-2"/>
    <x v="1"/>
  </r>
  <r>
    <s v="cd48f265a63e13b762601f5f794c5fca"/>
    <x v="174"/>
    <n v="57.49"/>
    <n v="16.16"/>
    <n v="60.863272558376366"/>
    <n v="-3.3732725583763639"/>
    <n v="-5.5423778850224086E-2"/>
    <x v="0"/>
  </r>
  <r>
    <s v="6cdd53843498f92890544667809f1595"/>
    <x v="225"/>
    <n v="349.9"/>
    <n v="29.3"/>
    <n v="329.32591354711485"/>
    <n v="20.574086452885126"/>
    <n v="6.2473329934122246E-2"/>
    <x v="2"/>
  </r>
  <r>
    <s v="1d373b3e02a3212aff33054cbf30abf1"/>
    <x v="492"/>
    <n v="44.9"/>
    <n v="12.79"/>
    <n v="45.259090376129308"/>
    <n v="-0.35909037612930916"/>
    <n v="-7.9341050194570804E-3"/>
    <x v="1"/>
  </r>
  <r>
    <s v="3918bb60ff48662029ca9f1e1f7b9842"/>
    <x v="527"/>
    <n v="37.9"/>
    <n v="16.11"/>
    <n v="37.942116974966169"/>
    <n v="-4.2116974966170062E-2"/>
    <n v="-1.1100322892884026E-3"/>
    <x v="1"/>
  </r>
  <r>
    <s v="3e31fd1419cc4cd6adad1925e72e3a03"/>
    <x v="0"/>
    <n v="58.9"/>
    <n v="15.16"/>
    <n v="61.533279555482153"/>
    <n v="-2.6332795554821544"/>
    <n v="-4.2794396373881376E-2"/>
    <x v="1"/>
  </r>
  <r>
    <s v="49ae25c5f82cd4bc8057d0b16d45af3a"/>
    <x v="528"/>
    <n v="39.9"/>
    <n v="19.04"/>
    <n v="38.840433307672065"/>
    <n v="1.0595666923279339"/>
    <n v="2.727999154733014E-2"/>
    <x v="1"/>
  </r>
  <r>
    <s v="72ef87b1953a2844ed089bd6dcf73913"/>
    <x v="113"/>
    <n v="61.5"/>
    <n v="13.58"/>
    <n v="59.45343785961046"/>
    <n v="2.0465621403895398"/>
    <n v="3.4422940271715836E-2"/>
    <x v="1"/>
  </r>
  <r>
    <s v="fb00f51d564e36645bf7eab56ce5fd43"/>
    <x v="529"/>
    <n v="80"/>
    <n v="9.57"/>
    <n v="74.331081024403943"/>
    <n v="5.668918975596057"/>
    <n v="7.6265794839373735E-2"/>
    <x v="2"/>
  </r>
  <r>
    <s v="810cb3c5af006624fa32d362077af85f"/>
    <x v="529"/>
    <n v="50"/>
    <n v="12.9"/>
    <n v="46.659332791069005"/>
    <n v="3.340667208930995"/>
    <n v="7.1596977691254671E-2"/>
    <x v="2"/>
  </r>
  <r>
    <s v="f497ba62f1d6b4f6a3a3266fa8623ad3"/>
    <x v="530"/>
    <n v="58.2"/>
    <n v="15.16"/>
    <n v="55.836751531330357"/>
    <n v="2.3632484686696458"/>
    <n v="4.2324247092770287E-2"/>
    <x v="1"/>
  </r>
  <r>
    <s v="6d85d9d5f551adaa92a276918f462fbe"/>
    <x v="531"/>
    <n v="699"/>
    <n v="19.95"/>
    <n v="706.44652776209205"/>
    <n v="-7.446527762092046"/>
    <n v="-1.0540822934867324E-2"/>
    <x v="1"/>
  </r>
  <r>
    <s v="87ceed33e1f7fe39fa06b69c9fdf9e53"/>
    <x v="532"/>
    <n v="41.9"/>
    <n v="7.39"/>
    <n v="44.528981660512947"/>
    <n v="-2.6289816605129488"/>
    <n v="-5.9039788525958051E-2"/>
    <x v="0"/>
  </r>
  <r>
    <s v="560ed840b584c6aef5c8959366dfd41e"/>
    <x v="353"/>
    <n v="388"/>
    <n v="50.22"/>
    <n v="408.86080224982004"/>
    <n v="-20.86080224982004"/>
    <n v="-5.1021771064944932E-2"/>
    <x v="0"/>
  </r>
  <r>
    <s v="d1c427060a0f73f6b889a5c7c61f2ac4"/>
    <x v="109"/>
    <n v="149"/>
    <n v="40.369999999999997"/>
    <n v="162.98844606015871"/>
    <n v="-13.988446060158708"/>
    <n v="-8.5824771008587944E-2"/>
    <x v="0"/>
  </r>
  <r>
    <s v="d1c427060a0f73f6b889a5c7c61f2ac4"/>
    <x v="109"/>
    <n v="149"/>
    <n v="40.369999999999997"/>
    <n v="150.22598220437044"/>
    <n v="-1.2259822043704389"/>
    <n v="-8.1609198780447194E-3"/>
    <x v="1"/>
  </r>
  <r>
    <s v="368c6c730842d78016ad823897a372db"/>
    <x v="13"/>
    <n v="53.9"/>
    <n v="10.130000000000001"/>
    <n v="50.696146482976204"/>
    <n v="3.203853517023795"/>
    <n v="6.3197180442494796E-2"/>
    <x v="2"/>
  </r>
  <r>
    <s v="b44076f8988fe82b676a754e798ab0f9"/>
    <x v="105"/>
    <n v="69.900000000000006"/>
    <n v="13.51"/>
    <n v="64.27183780699005"/>
    <n v="5.6281621930099561"/>
    <n v="8.756809179646409E-2"/>
    <x v="2"/>
  </r>
  <r>
    <s v="60495adb1f1a49c8aea75e5e56a47a48"/>
    <x v="482"/>
    <n v="89.9"/>
    <n v="15.39"/>
    <n v="87.464421742031007"/>
    <n v="2.4355782579689986"/>
    <n v="2.7846502720300752E-2"/>
    <x v="1"/>
  </r>
  <r>
    <s v="e38bfda757257dee1985af625f8911fc"/>
    <x v="81"/>
    <n v="399.99"/>
    <n v="15.63"/>
    <n v="437.38852288219709"/>
    <n v="-37.398522882197085"/>
    <n v="-8.5504124881369423E-2"/>
    <x v="0"/>
  </r>
  <r>
    <s v="8d7654102992872ef4342f91f9997e64"/>
    <x v="533"/>
    <n v="44.9"/>
    <n v="20.8"/>
    <n v="43.41001323507998"/>
    <n v="1.4899867649200189"/>
    <n v="3.432357315468286E-2"/>
    <x v="1"/>
  </r>
  <r>
    <s v="5b3b5f9ae84ca9ead3138b199420cc94"/>
    <x v="534"/>
    <n v="139"/>
    <n v="20.21"/>
    <n v="143.69355514175038"/>
    <n v="-4.6935551417503802"/>
    <n v="-3.2663644080072322E-2"/>
    <x v="1"/>
  </r>
  <r>
    <s v="7c1bd920dbdf22470b68bde975dd3ccf"/>
    <x v="10"/>
    <n v="64.989999999999995"/>
    <n v="11.95"/>
    <n v="60.357222799061198"/>
    <n v="4.6327772009387971"/>
    <n v="7.6755970306355045E-2"/>
    <x v="2"/>
  </r>
  <r>
    <s v="6d1befe53a3d28e0d0d8b3bfcce11195"/>
    <x v="535"/>
    <n v="399.99"/>
    <n v="19.05"/>
    <n v="391.84163884585138"/>
    <n v="8.1483611541486312"/>
    <n v="2.0795036428872628E-2"/>
    <x v="1"/>
  </r>
  <r>
    <s v="04574f4bc055655311e798b4e277b9af"/>
    <x v="160"/>
    <n v="45"/>
    <n v="15.42"/>
    <n v="49.177787039866239"/>
    <n v="-4.1777870398662387"/>
    <n v="-8.4952725434340778E-2"/>
    <x v="0"/>
  </r>
  <r>
    <s v="fe7ad3e3828f32193dfbe6359f733a8f"/>
    <x v="81"/>
    <n v="159.99"/>
    <n v="10.130000000000001"/>
    <n v="169.40669051452116"/>
    <n v="-9.4166905145211501"/>
    <n v="-5.5586296420293821E-2"/>
    <x v="0"/>
  </r>
  <r>
    <s v="b9d2933371226d828303d9235b89369c"/>
    <x v="444"/>
    <n v="24.9"/>
    <n v="18.23"/>
    <n v="25.79540780839897"/>
    <n v="-0.89540780839897138"/>
    <n v="-3.4711907446852888E-2"/>
    <x v="1"/>
  </r>
  <r>
    <s v="b9d2933371226d828303d9235b89369c"/>
    <x v="444"/>
    <n v="24.9"/>
    <n v="18.23"/>
    <n v="26.217061521150306"/>
    <n v="-1.3170615211503076"/>
    <n v="-5.02368093421829E-2"/>
    <x v="0"/>
  </r>
  <r>
    <s v="b9d2933371226d828303d9235b89369c"/>
    <x v="444"/>
    <n v="24.9"/>
    <n v="18.23"/>
    <n v="25.152146470354829"/>
    <n v="-0.2521464703548304"/>
    <n v="-1.0024848998554409E-2"/>
    <x v="1"/>
  </r>
  <r>
    <s v="0030e635639c898b323826589761cf23"/>
    <x v="536"/>
    <n v="153"/>
    <n v="21.56"/>
    <n v="139.16874161934521"/>
    <n v="13.831258380654788"/>
    <n v="9.9384805953668026E-2"/>
    <x v="2"/>
  </r>
  <r>
    <s v="3cacd5299c846cb08ae1e445fd78392b"/>
    <x v="537"/>
    <n v="57.9"/>
    <n v="14.61"/>
    <n v="54.419363298029225"/>
    <n v="3.4806367019707736"/>
    <n v="6.3959526371320546E-2"/>
    <x v="2"/>
  </r>
  <r>
    <s v="f908d3bf313a1308bfb2a46ea2685347"/>
    <x v="538"/>
    <n v="35"/>
    <n v="7.78"/>
    <n v="38.011448912822679"/>
    <n v="-3.0114489128226793"/>
    <n v="-7.9224786188216184E-2"/>
    <x v="0"/>
  </r>
  <r>
    <s v="fb2f2ec90b4ee90ad257bbf89d01247e"/>
    <x v="65"/>
    <n v="40"/>
    <n v="19.47"/>
    <n v="38.914155091093058"/>
    <n v="1.0858449089069424"/>
    <n v="2.7903597196575858E-2"/>
    <x v="1"/>
  </r>
  <r>
    <s v="7ce94ab189134e2d3c05f496d635419c"/>
    <x v="33"/>
    <n v="13.65"/>
    <n v="15.1"/>
    <n v="14.274026867222432"/>
    <n v="-0.62402686722243139"/>
    <n v="-4.3717646956052014E-2"/>
    <x v="1"/>
  </r>
  <r>
    <s v="db6677c6f890ba1730c0b75bd8132579"/>
    <x v="10"/>
    <n v="59.99"/>
    <n v="16.670000000000002"/>
    <n v="63.116634163116842"/>
    <n v="-3.1266341631168402"/>
    <n v="-4.9537403325983061E-2"/>
    <x v="1"/>
  </r>
  <r>
    <s v="2b4609f8948be18874494203496bc318"/>
    <x v="10"/>
    <n v="89.99"/>
    <n v="9.44"/>
    <n v="81.352416354110332"/>
    <n v="8.6375836458896629"/>
    <n v="0.10617488739722294"/>
    <x v="2"/>
  </r>
  <r>
    <s v="72602b08ac8b5e5664b105ce8e0ce5b9"/>
    <x v="150"/>
    <n v="38.9"/>
    <n v="14.1"/>
    <n v="42.432594155514309"/>
    <n v="-3.5325941555143103"/>
    <n v="-8.3251901652947463E-2"/>
    <x v="0"/>
  </r>
  <r>
    <s v="b9b44a9826ac288d8d3caf327f709007"/>
    <x v="539"/>
    <n v="144"/>
    <n v="14.74"/>
    <n v="146.43191615924843"/>
    <n v="-2.4319161592484306"/>
    <n v="-1.6607828559749637E-2"/>
    <x v="1"/>
  </r>
  <r>
    <s v="f60e19fc3b0ee38735e6a6fefe937bdf"/>
    <x v="397"/>
    <n v="7.9"/>
    <n v="7.87"/>
    <n v="7.8806269896086834"/>
    <n v="1.9373010391317003E-2"/>
    <n v="2.4583082560387724E-3"/>
    <x v="1"/>
  </r>
  <r>
    <s v="99f265229d46f700208ad7cb1ff48aae"/>
    <x v="20"/>
    <n v="39.99"/>
    <n v="14.1"/>
    <n v="40.104882339344691"/>
    <n v="-0.11488233934468894"/>
    <n v="-2.8645474726149292E-3"/>
    <x v="1"/>
  </r>
  <r>
    <s v="18fa9cc25ea8b54f32d029f261673c0f"/>
    <x v="540"/>
    <n v="109.9"/>
    <n v="18.82"/>
    <n v="104.08454379523867"/>
    <n v="5.8154562047613325"/>
    <n v="5.5872428246424799E-2"/>
    <x v="2"/>
  </r>
  <r>
    <s v="22c5ddc22ea8cae84fc9917def682dc6"/>
    <x v="10"/>
    <n v="56.99"/>
    <n v="8.7200000000000006"/>
    <n v="56.139389016337603"/>
    <n v="0.85061098366239918"/>
    <n v="1.515176774394277E-2"/>
    <x v="1"/>
  </r>
  <r>
    <s v="87d780fa7d2cf3710aa02dc4ca8db985"/>
    <x v="293"/>
    <n v="99.9"/>
    <n v="12.4"/>
    <n v="103.77461188381436"/>
    <n v="-3.8746118838143531"/>
    <n v="-3.7336799564737018E-2"/>
    <x v="1"/>
  </r>
  <r>
    <s v="bf35317e81a1e1477a2256328bce9e9f"/>
    <x v="10"/>
    <n v="56.99"/>
    <n v="24.89"/>
    <n v="58.402560450045797"/>
    <n v="-1.4125604500457953"/>
    <n v="-2.41866185174196E-2"/>
    <x v="1"/>
  </r>
  <r>
    <s v="3fc18e3aefe7b9346bd15de863fa0365"/>
    <x v="85"/>
    <n v="71"/>
    <n v="19.989999999999998"/>
    <n v="64.354776286660396"/>
    <n v="6.6452237133396039"/>
    <n v="0.10325921550467795"/>
    <x v="2"/>
  </r>
  <r>
    <s v="fb1f078a066428f00c1d71d6b9df3ff8"/>
    <x v="541"/>
    <n v="73.989999999999995"/>
    <n v="24.52"/>
    <n v="79.090412209570843"/>
    <n v="-5.1004122095708482"/>
    <n v="-6.4488375608107398E-2"/>
    <x v="0"/>
  </r>
  <r>
    <s v="49b624365d1b55a1747aedf255a15e62"/>
    <x v="98"/>
    <n v="179.9"/>
    <n v="39.770000000000003"/>
    <n v="173.27659639472597"/>
    <n v="6.623403605274035"/>
    <n v="3.8224455830064029E-2"/>
    <x v="1"/>
  </r>
  <r>
    <s v="1ee03eca6034b77b25d08c004bc79dd8"/>
    <x v="110"/>
    <n v="41.3"/>
    <n v="8.27"/>
    <n v="44.917491027349762"/>
    <n v="-3.6174910273497645"/>
    <n v="-8.0536355540141685E-2"/>
    <x v="0"/>
  </r>
  <r>
    <s v="51e8feeedd83467b86a79aa2769367c5"/>
    <x v="155"/>
    <n v="17.989999999999998"/>
    <n v="7.39"/>
    <n v="17.981151866688798"/>
    <n v="8.8481333112007121E-3"/>
    <n v="4.9207822595572588E-4"/>
    <x v="1"/>
  </r>
  <r>
    <s v="6413f7a28e149a324c4a914000399fb2"/>
    <x v="37"/>
    <n v="144.99"/>
    <n v="17.260000000000002"/>
    <n v="158.7345438487045"/>
    <n v="-13.744543848704495"/>
    <n v="-8.6588234138908704E-2"/>
    <x v="0"/>
  </r>
  <r>
    <s v="422879e10f46682990de24d770e7f83d"/>
    <x v="13"/>
    <n v="49.91"/>
    <n v="20.99"/>
    <n v="51.773365026693831"/>
    <n v="-1.8633650266938346"/>
    <n v="-3.5990803876338774E-2"/>
    <x v="1"/>
  </r>
  <r>
    <s v="423a6644f0aa529e8828ff1f91003690"/>
    <x v="29"/>
    <n v="479"/>
    <n v="38.700000000000003"/>
    <n v="456.0586456559671"/>
    <n v="22.941354344032902"/>
    <n v="5.0303518116700648E-2"/>
    <x v="2"/>
  </r>
  <r>
    <s v="61fef484fda8aa0f5bad54aa9c640d3f"/>
    <x v="542"/>
    <n v="98.9"/>
    <n v="18.79"/>
    <n v="98.933982718678578"/>
    <n v="-3.398271867857261E-2"/>
    <n v="-3.4348883714914599E-4"/>
    <x v="1"/>
  </r>
  <r>
    <s v="7cd29da0653abeb444703cc5a957f479"/>
    <x v="104"/>
    <n v="37.9"/>
    <n v="15.1"/>
    <n v="35.547062020583695"/>
    <n v="2.3529379794163034"/>
    <n v="6.619219270649776E-2"/>
    <x v="2"/>
  </r>
  <r>
    <s v="472e6464088101bf2ec351d222c415ab"/>
    <x v="53"/>
    <n v="69.900000000000006"/>
    <n v="18.420000000000002"/>
    <n v="73.626560500873893"/>
    <n v="-3.7265605008738873"/>
    <n v="-5.0614349978085095E-2"/>
    <x v="0"/>
  </r>
  <r>
    <s v="f043e249c55c1ab30bd9761c2294911f"/>
    <x v="543"/>
    <n v="87"/>
    <n v="27.67"/>
    <n v="93.632654350800351"/>
    <n v="-6.632654350800351"/>
    <n v="-7.0836978795353958E-2"/>
    <x v="0"/>
  </r>
  <r>
    <s v="61eee7a9f1884caed59c316047c5832f"/>
    <x v="145"/>
    <n v="129.9"/>
    <n v="12.41"/>
    <n v="123.10808877163767"/>
    <n v="6.7919112283623377"/>
    <n v="5.5170308434900311E-2"/>
    <x v="2"/>
  </r>
  <r>
    <s v="8f79239910bb0bf15488ef9abd9e6593"/>
    <x v="55"/>
    <n v="199"/>
    <n v="18.64"/>
    <n v="215.83257124937884"/>
    <n v="-16.832571249378844"/>
    <n v="-7.7989022472099601E-2"/>
    <x v="0"/>
  </r>
  <r>
    <s v="30360c8b0b2ac6918f53ab66bc3c306f"/>
    <x v="544"/>
    <n v="189.9"/>
    <n v="19.43"/>
    <n v="177.42474892750269"/>
    <n v="12.475251072497315"/>
    <n v="7.0312913772783814E-2"/>
    <x v="2"/>
  </r>
  <r>
    <s v="192d363be840c4c307c77a1880c1d8d6"/>
    <x v="324"/>
    <n v="59"/>
    <n v="7.71"/>
    <n v="56.56453588225132"/>
    <n v="2.4354641177486798"/>
    <n v="4.3056379403846108E-2"/>
    <x v="1"/>
  </r>
  <r>
    <s v="32bb152336c896d906a6344cdbe1993c"/>
    <x v="186"/>
    <n v="230"/>
    <n v="18.52"/>
    <n v="249.95360841043919"/>
    <n v="-19.953608410439188"/>
    <n v="-7.982924726445291E-2"/>
    <x v="0"/>
  </r>
  <r>
    <s v="ee14580a079d31644603ec91e37c7ed2"/>
    <x v="545"/>
    <n v="98"/>
    <n v="16.13"/>
    <n v="93.617199468155647"/>
    <n v="4.382800531844353"/>
    <n v="4.6816189297941818E-2"/>
    <x v="1"/>
  </r>
  <r>
    <s v="782447ddd6d2ba5b64cb23ef7a8db626"/>
    <x v="546"/>
    <n v="48.98"/>
    <n v="23.1"/>
    <n v="53.199174282795155"/>
    <n v="-4.2191742827951586"/>
    <n v="-7.9309018225864794E-2"/>
    <x v="0"/>
  </r>
  <r>
    <s v="1906cb28cdc0781f04a95d4d3d0d980d"/>
    <x v="110"/>
    <n v="27.3"/>
    <n v="15.1"/>
    <n v="27.657859623713275"/>
    <n v="-0.35785962371327429"/>
    <n v="-1.2938803963212427E-2"/>
    <x v="1"/>
  </r>
  <r>
    <s v="154f1553226255086ce3e22b1b013415"/>
    <x v="13"/>
    <n v="38.9"/>
    <n v="13.71"/>
    <n v="41.660683109819921"/>
    <n v="-2.7606831098199223"/>
    <n v="-6.6265910775937228E-2"/>
    <x v="0"/>
  </r>
  <r>
    <s v="154f1553226255086ce3e22b1b013415"/>
    <x v="13"/>
    <n v="38.9"/>
    <n v="13.71"/>
    <n v="41.284388098544149"/>
    <n v="-2.3843880985441501"/>
    <n v="-5.775520017040614E-2"/>
    <x v="0"/>
  </r>
  <r>
    <s v="154f1553226255086ce3e22b1b013415"/>
    <x v="13"/>
    <n v="38.9"/>
    <n v="13.71"/>
    <n v="35.385552012074228"/>
    <n v="3.5144479879257702"/>
    <n v="9.9318727223093012E-2"/>
    <x v="2"/>
  </r>
  <r>
    <s v="0127db1f4effcf8f5b88d80588bc5624"/>
    <x v="337"/>
    <n v="49"/>
    <n v="13"/>
    <n v="44.545554374554975"/>
    <n v="4.4544456254450253"/>
    <n v="9.9997534837942548E-2"/>
    <x v="2"/>
  </r>
  <r>
    <s v="4e064cdbe4079c84a33181a96cf5609b"/>
    <x v="22"/>
    <n v="49"/>
    <n v="15.23"/>
    <n v="50.742781548424595"/>
    <n v="-1.7427815484245954"/>
    <n v="-3.4345408257949614E-2"/>
    <x v="1"/>
  </r>
  <r>
    <s v="1f50c7757334d6acef5e3c5fa64eb3c7"/>
    <x v="547"/>
    <n v="39.9"/>
    <n v="11.74"/>
    <n v="42.750042797044244"/>
    <n v="-2.8500427970442459"/>
    <n v="-6.6667601026151463E-2"/>
    <x v="0"/>
  </r>
  <r>
    <s v="88dd63919fc9ab693803578a04a20209"/>
    <x v="447"/>
    <n v="34.99"/>
    <n v="15.1"/>
    <n v="35.338014069327471"/>
    <n v="-0.34801406932746914"/>
    <n v="-9.8481501717872944E-3"/>
    <x v="1"/>
  </r>
  <r>
    <s v="965ab297b516455ba5bae37d17bc51f8"/>
    <x v="548"/>
    <n v="129.78"/>
    <n v="12.11"/>
    <n v="124.98547114009592"/>
    <n v="4.7945288599040765"/>
    <n v="3.836068957590999E-2"/>
    <x v="1"/>
  </r>
  <r>
    <s v="d011223de539cd224b5c5c8082313d46"/>
    <x v="186"/>
    <n v="196.8"/>
    <n v="13.68"/>
    <n v="181.90508166010019"/>
    <n v="14.894918339899817"/>
    <n v="8.1882915001417075E-2"/>
    <x v="2"/>
  </r>
  <r>
    <s v="774ea72f37a7fbf1fb32b973a18f2348"/>
    <x v="84"/>
    <n v="144.9"/>
    <n v="21.65"/>
    <n v="133.61351850328225"/>
    <n v="11.286481496717755"/>
    <n v="8.4471104594408986E-2"/>
    <x v="2"/>
  </r>
  <r>
    <s v="1164c17af70425821f88bfbdc9e907a3"/>
    <x v="170"/>
    <n v="50"/>
    <n v="15.1"/>
    <n v="50.962127938138657"/>
    <n v="-0.96212793813865716"/>
    <n v="-1.8879273238090733E-2"/>
    <x v="1"/>
  </r>
  <r>
    <s v="43cb1d661a38ba864fc53fe1b6edb0ed"/>
    <x v="549"/>
    <n v="39.9"/>
    <n v="13.37"/>
    <n v="39.429636099663696"/>
    <n v="0.47036390033630227"/>
    <n v="1.1929197092952986E-2"/>
    <x v="1"/>
  </r>
  <r>
    <s v="03c14a3d479e334e87ee5baf2563811d"/>
    <x v="550"/>
    <n v="779"/>
    <n v="33.85"/>
    <n v="747.4717859343865"/>
    <n v="31.528214065613497"/>
    <n v="4.2179804855378263E-2"/>
    <x v="1"/>
  </r>
  <r>
    <s v="03bb24d19ea7449ce170e0888d830707"/>
    <x v="116"/>
    <n v="199.1"/>
    <n v="17.149999999999999"/>
    <n v="194.79611144819225"/>
    <n v="4.303888551807745"/>
    <n v="2.2094324777896822E-2"/>
    <x v="1"/>
  </r>
  <r>
    <s v="f89caa3ea4fb5f7b6e7fb2bb4ba61881"/>
    <x v="382"/>
    <n v="45.9"/>
    <n v="12.79"/>
    <n v="49.451877752013964"/>
    <n v="-3.5518777520139651"/>
    <n v="-7.182493190300164E-2"/>
    <x v="0"/>
  </r>
  <r>
    <s v="b781cf30a200b5eff2787c2074d67045"/>
    <x v="21"/>
    <n v="159.99"/>
    <n v="31.18"/>
    <n v="162.75575283446085"/>
    <n v="-2.7657528344608409"/>
    <n v="-1.6993272350095623E-2"/>
    <x v="1"/>
  </r>
  <r>
    <s v="331e79a28ee5afbb321a3146653085f2"/>
    <x v="21"/>
    <n v="149.99"/>
    <n v="27.71"/>
    <n v="138.20296018709027"/>
    <n v="11.78703981290974"/>
    <n v="8.5287896850785277E-2"/>
    <x v="2"/>
  </r>
  <r>
    <s v="3eef0cb94ba82de806bb30ab743c7655"/>
    <x v="21"/>
    <n v="79.989999999999995"/>
    <n v="26.88"/>
    <n v="79.056094117640413"/>
    <n v="0.93390588235958205"/>
    <n v="1.181320545598764E-2"/>
    <x v="1"/>
  </r>
  <r>
    <s v="3eef0cb94ba82de806bb30ab743c7655"/>
    <x v="21"/>
    <n v="79.989999999999995"/>
    <n v="26.88"/>
    <n v="76.561424458887132"/>
    <n v="3.4285755411128633"/>
    <n v="4.4782023915372435E-2"/>
    <x v="1"/>
  </r>
  <r>
    <s v="f40876e0ef3cd5f9132b1f16b04b1346"/>
    <x v="104"/>
    <n v="119.9"/>
    <n v="13.31"/>
    <n v="109.05226642258253"/>
    <n v="10.847733577417472"/>
    <n v="9.9472793489518194E-2"/>
    <x v="2"/>
  </r>
  <r>
    <s v="8203048d6e95e42c60a24edf3425ab90"/>
    <x v="141"/>
    <n v="52.64"/>
    <n v="15.12"/>
    <n v="48.591528335897628"/>
    <n v="4.0484716641023724"/>
    <n v="8.3316409315561918E-2"/>
    <x v="2"/>
  </r>
  <r>
    <s v="b36f3c918c91478c4559160022d3f14e"/>
    <x v="326"/>
    <n v="150"/>
    <n v="8.3000000000000007"/>
    <n v="136.7157447366979"/>
    <n v="13.2842552633021"/>
    <n v="9.7166974358998431E-2"/>
    <x v="2"/>
  </r>
  <r>
    <s v="441d3f638e532d223ae9a0661abb6de6"/>
    <x v="137"/>
    <n v="139"/>
    <n v="9.33"/>
    <n v="141.26847205757718"/>
    <n v="-2.2684720575771848"/>
    <n v="-1.6057879189438795E-2"/>
    <x v="1"/>
  </r>
  <r>
    <s v="ab37272e0676ac205aba0db310cfaaa0"/>
    <x v="139"/>
    <n v="260"/>
    <n v="35.18"/>
    <n v="249.94013694072362"/>
    <n v="10.059863059276381"/>
    <n v="4.0249089971740717E-2"/>
    <x v="1"/>
  </r>
  <r>
    <s v="2a217b8a9a09c938d8db704d99d7f053"/>
    <x v="105"/>
    <n v="55"/>
    <n v="16.149999999999999"/>
    <n v="49.9732258055515"/>
    <n v="5.0267741944484996"/>
    <n v="0.10058934786415324"/>
    <x v="2"/>
  </r>
  <r>
    <s v="06f756df8d80309915285f3ee6ea1059"/>
    <x v="62"/>
    <n v="129.9"/>
    <n v="24.06"/>
    <n v="119.15013214769218"/>
    <n v="10.74986785230783"/>
    <n v="9.0221199578552416E-2"/>
    <x v="2"/>
  </r>
  <r>
    <s v="3138a5168026c06238f332528ec8e0ee"/>
    <x v="551"/>
    <n v="102.5"/>
    <n v="23.52"/>
    <n v="99.795076900810329"/>
    <n v="2.7049230991896707"/>
    <n v="2.7104774936725428E-2"/>
    <x v="1"/>
  </r>
  <r>
    <s v="331a9e69c95aad991177b0f1ef85a261"/>
    <x v="217"/>
    <n v="98"/>
    <n v="13.03"/>
    <n v="106.46938881652214"/>
    <n v="-8.4693888165221409"/>
    <n v="-7.9547641915343123E-2"/>
    <x v="0"/>
  </r>
  <r>
    <s v="161c9558fccfbf0a9ed72b42285635ec"/>
    <x v="397"/>
    <n v="18.5"/>
    <n v="18.23"/>
    <n v="18.510901503491976"/>
    <n v="-1.0901503491975717E-2"/>
    <n v="-5.8892342384941172E-4"/>
    <x v="1"/>
  </r>
  <r>
    <s v="5a848e4ab52fd5445cdc07aab1c40e48"/>
    <x v="107"/>
    <n v="122.99"/>
    <n v="9.06"/>
    <n v="120.6143575586139"/>
    <n v="2.3756424413860913"/>
    <n v="1.969618285477847E-2"/>
    <x v="1"/>
  </r>
  <r>
    <s v="9fe172fa8e662ca8572cf12abf8bce23"/>
    <x v="131"/>
    <n v="49.9"/>
    <n v="13.01"/>
    <n v="49.816052457114573"/>
    <n v="8.3947542885425719E-2"/>
    <n v="1.6851504433775461E-3"/>
    <x v="1"/>
  </r>
  <r>
    <s v="a2bd7f16312b272bf77b7e1464ef7638"/>
    <x v="552"/>
    <n v="67.900000000000006"/>
    <n v="11.73"/>
    <n v="71.723629408713194"/>
    <n v="-3.8236294087131881"/>
    <n v="-5.3310595688408964E-2"/>
    <x v="0"/>
  </r>
  <r>
    <s v="8fd009f43c970fdd7db487475a59cc7a"/>
    <x v="553"/>
    <n v="35"/>
    <n v="24.35"/>
    <n v="37.96457219888557"/>
    <n v="-2.9645721988855698"/>
    <n v="-7.808786000155675E-2"/>
    <x v="0"/>
  </r>
  <r>
    <s v="b94d4eb757243e4bb42453bd0be1958d"/>
    <x v="554"/>
    <n v="117"/>
    <n v="21.26"/>
    <n v="118.95562432373745"/>
    <n v="-1.9556243237374531"/>
    <n v="-1.6439948382896349E-2"/>
    <x v="1"/>
  </r>
  <r>
    <s v="9a2e821cfc513051382e27606ab3325c"/>
    <x v="105"/>
    <n v="79"/>
    <n v="23.13"/>
    <n v="80.007680653359799"/>
    <n v="-1.0076806533597988"/>
    <n v="-1.2594798963435305E-2"/>
    <x v="1"/>
  </r>
  <r>
    <s v="43423cdffde7fda63d0414ed38c11a73"/>
    <x v="555"/>
    <n v="55"/>
    <n v="34.19"/>
    <n v="53.770271041999202"/>
    <n v="1.2297289580007984"/>
    <n v="2.2870053175671635E-2"/>
    <x v="1"/>
  </r>
  <r>
    <s v="8ce0b48cdcc4b753ae4de64497998338"/>
    <x v="556"/>
    <n v="131.99"/>
    <n v="11.66"/>
    <n v="129.57946454732317"/>
    <n v="2.4105354526768394"/>
    <n v="1.8602758246438793E-2"/>
    <x v="1"/>
  </r>
  <r>
    <s v="0e687d00ba3214b4aca6397a14d49373"/>
    <x v="557"/>
    <n v="159"/>
    <n v="27.43"/>
    <n v="145.47077294647528"/>
    <n v="13.529227053524721"/>
    <n v="9.3003060198921766E-2"/>
    <x v="2"/>
  </r>
  <r>
    <s v="10714d6a49c0af9ccdab2d806887c5f5"/>
    <x v="384"/>
    <n v="59.9"/>
    <n v="16.18"/>
    <n v="60.13181665533439"/>
    <n v="-0.23181665533439144"/>
    <n v="-3.8551413915053675E-3"/>
    <x v="1"/>
  </r>
  <r>
    <s v="2ed52188df2df50745b4f6a9b0fa1c06"/>
    <x v="202"/>
    <n v="179"/>
    <n v="44.83"/>
    <n v="184.70054416841236"/>
    <n v="-5.7005441684123639"/>
    <n v="-3.0863710738256046E-2"/>
    <x v="1"/>
  </r>
  <r>
    <s v="8c5876b1c7768217964f353bc7e64393"/>
    <x v="103"/>
    <n v="49"/>
    <n v="10.96"/>
    <n v="46.703910638185448"/>
    <n v="2.2960893618145519"/>
    <n v="4.9162678894329098E-2"/>
    <x v="1"/>
  </r>
  <r>
    <s v="1b8ee158f59c098470fad33f39660964"/>
    <x v="28"/>
    <n v="139.9"/>
    <n v="25.63"/>
    <n v="146.54394410132247"/>
    <n v="-6.6439441013224609"/>
    <n v="-4.5337554834260142E-2"/>
    <x v="1"/>
  </r>
  <r>
    <s v="27535386be7362e36d9e78c2afb8c0e5"/>
    <x v="558"/>
    <n v="1199.9000000000001"/>
    <n v="26.94"/>
    <n v="1113.2924897407399"/>
    <n v="86.607510259260152"/>
    <n v="7.7794030820623819E-2"/>
    <x v="2"/>
  </r>
  <r>
    <s v="da2cfe68ae3f2f454b5aba2ee09ab5c4"/>
    <x v="110"/>
    <n v="27.3"/>
    <n v="8.11"/>
    <n v="27.134883109333721"/>
    <n v="0.16511689066627966"/>
    <n v="6.0850415312636297E-3"/>
    <x v="1"/>
  </r>
  <r>
    <s v="c5944369a5cc96d600713f640e46ab5e"/>
    <x v="130"/>
    <n v="49"/>
    <n v="14.1"/>
    <n v="47.254354558561829"/>
    <n v="1.745645441438171"/>
    <n v="3.6941472542489411E-2"/>
    <x v="1"/>
  </r>
  <r>
    <s v="de70c9ebe399d6ff687b4b64fd51aa29"/>
    <x v="259"/>
    <n v="259.89999999999998"/>
    <n v="20.73"/>
    <n v="260.26417927998995"/>
    <n v="-0.36417927998996902"/>
    <n v="-1.3992677785988679E-3"/>
    <x v="1"/>
  </r>
  <r>
    <s v="29427de7f8a9ee983d9dbc51cec569b4"/>
    <x v="37"/>
    <n v="89.8"/>
    <n v="14.21"/>
    <n v="88.163429328723026"/>
    <n v="1.6365706712769708"/>
    <n v="1.8562919838053391E-2"/>
    <x v="1"/>
  </r>
  <r>
    <s v="3354a4e684f5e7199f9407db70ccd92b"/>
    <x v="37"/>
    <n v="89.99"/>
    <n v="14.2"/>
    <n v="86.503781762998869"/>
    <n v="3.4862182370011254"/>
    <n v="4.0301339039171588E-2"/>
    <x v="1"/>
  </r>
  <r>
    <s v="04ea859686940874c6f624314a14070a"/>
    <x v="559"/>
    <n v="129.9"/>
    <n v="15.67"/>
    <n v="141.8858382312518"/>
    <n v="-11.98583823125179"/>
    <n v="-8.4475225862335482E-2"/>
    <x v="0"/>
  </r>
  <r>
    <s v="e7cc48a9daff5436f63d3aad9426f28b"/>
    <x v="196"/>
    <n v="170"/>
    <n v="25.54"/>
    <n v="162.54664962485231"/>
    <n v="7.4533503751476928"/>
    <n v="4.5853608132493458E-2"/>
    <x v="1"/>
  </r>
  <r>
    <s v="e7cc48a9daff5436f63d3aad9426f28b"/>
    <x v="196"/>
    <n v="170"/>
    <n v="25.54"/>
    <n v="165.44395732707127"/>
    <n v="4.5560426729287258"/>
    <n v="2.7538283939387065E-2"/>
    <x v="1"/>
  </r>
  <r>
    <s v="7564c1759c04fc0a38f2aa84f7a370ee"/>
    <x v="440"/>
    <n v="42.97"/>
    <n v="14.61"/>
    <n v="40.270214468986019"/>
    <n v="2.6997855310139798"/>
    <n v="6.7041747023552881E-2"/>
    <x v="2"/>
  </r>
  <r>
    <s v="5d345f462eb17adfd93612708672afb7"/>
    <x v="328"/>
    <n v="184.9"/>
    <n v="21.78"/>
    <n v="195.14496462509175"/>
    <n v="-10.24496462509174"/>
    <n v="-5.2499251747408097E-2"/>
    <x v="0"/>
  </r>
  <r>
    <s v="fd4a96848f84ddaabcdc5bdbf831a194"/>
    <x v="560"/>
    <n v="89"/>
    <n v="12.75"/>
    <n v="95.977531124247704"/>
    <n v="-6.9775311242477045"/>
    <n v="-7.269963128364848E-2"/>
    <x v="0"/>
  </r>
  <r>
    <s v="41c24b8ce92d1a2cac62db5edfd088b2"/>
    <x v="87"/>
    <n v="102.9"/>
    <n v="22.43"/>
    <n v="101.32159172632576"/>
    <n v="1.578408273674242"/>
    <n v="1.5578202501373989E-2"/>
    <x v="1"/>
  </r>
  <r>
    <s v="1b7384e0f9f5e4cb914cd3f5535a4cab"/>
    <x v="305"/>
    <n v="23.8"/>
    <n v="7.78"/>
    <n v="24.392908198119152"/>
    <n v="-0.59290819811915085"/>
    <n v="-2.4306580966219838E-2"/>
    <x v="1"/>
  </r>
  <r>
    <s v="1b7384e0f9f5e4cb914cd3f5535a4cab"/>
    <x v="305"/>
    <n v="23.8"/>
    <n v="7.78"/>
    <n v="26.147039465111202"/>
    <n v="-2.3470394651112017"/>
    <n v="-8.9763105618245173E-2"/>
    <x v="0"/>
  </r>
  <r>
    <s v="dd12801e4d1919e84bf6f90167f22fb5"/>
    <x v="319"/>
    <n v="44.99"/>
    <n v="8.49"/>
    <n v="46.212006836391325"/>
    <n v="-1.2220068363913228"/>
    <n v="-2.644349207161047E-2"/>
    <x v="1"/>
  </r>
  <r>
    <s v="bc0d2d816d425e6ce3e80d8b9887d324"/>
    <x v="319"/>
    <n v="49.99"/>
    <n v="8.49"/>
    <n v="47.839881828400664"/>
    <n v="2.1501181715993383"/>
    <n v="4.4944052732230982E-2"/>
    <x v="1"/>
  </r>
  <r>
    <s v="2e7980421ad7946eab8a71b637955704"/>
    <x v="68"/>
    <n v="60.08"/>
    <n v="17.670000000000002"/>
    <n v="56.026016362354028"/>
    <n v="4.0539836376459704"/>
    <n v="7.2358948589641175E-2"/>
    <x v="2"/>
  </r>
  <r>
    <s v="8b50a72d52d7a91fb19d19fbe069e2f2"/>
    <x v="51"/>
    <n v="44.99"/>
    <n v="7.39"/>
    <n v="47.073333076737363"/>
    <n v="-2.083333076737361"/>
    <n v="-4.4257182157489923E-2"/>
    <x v="1"/>
  </r>
  <r>
    <s v="8b50a72d52d7a91fb19d19fbe069e2f2"/>
    <x v="51"/>
    <n v="44.99"/>
    <n v="7.39"/>
    <n v="41.142962416579508"/>
    <n v="3.8470375834204944"/>
    <n v="9.3504146455682585E-2"/>
    <x v="2"/>
  </r>
  <r>
    <s v="22594ba8fd9a72ad95d352929c821560"/>
    <x v="21"/>
    <n v="99.99"/>
    <n v="20"/>
    <n v="96.909545987335122"/>
    <n v="3.0804540126648732"/>
    <n v="3.1786899642141035E-2"/>
    <x v="1"/>
  </r>
  <r>
    <s v="8c81b8075a4b824afebae3dc276889eb"/>
    <x v="81"/>
    <n v="69.989999999999995"/>
    <n v="15.93"/>
    <n v="75.790871751936592"/>
    <n v="-5.8008717519365973"/>
    <n v="-7.653786818711944E-2"/>
    <x v="0"/>
  </r>
  <r>
    <s v="cb81df0e3ccece253557f2a07df4727e"/>
    <x v="297"/>
    <n v="45"/>
    <n v="22.06"/>
    <n v="48.152978533594975"/>
    <n v="-3.1529785335949754"/>
    <n v="-6.5478369762635366E-2"/>
    <x v="0"/>
  </r>
  <r>
    <s v="70906e04da1eebf3d1b8791bd09ffe85"/>
    <x v="93"/>
    <n v="69.900000000000006"/>
    <n v="12.62"/>
    <n v="76.336292387544489"/>
    <n v="-6.4362923875444835"/>
    <n v="-8.4314972423191331E-2"/>
    <x v="0"/>
  </r>
  <r>
    <s v="70906e04da1eebf3d1b8791bd09ffe85"/>
    <x v="93"/>
    <n v="69.900000000000006"/>
    <n v="12.62"/>
    <n v="66.968382301472829"/>
    <n v="2.9316176985271767"/>
    <n v="4.3776146261527683E-2"/>
    <x v="1"/>
  </r>
  <r>
    <s v="6722735e7b6ea43bbd86b1c9074c3057"/>
    <x v="561"/>
    <n v="62.49"/>
    <n v="57.21"/>
    <n v="56.54381238969485"/>
    <n v="5.9461876103051523"/>
    <n v="0.10516071271113742"/>
    <x v="2"/>
  </r>
  <r>
    <s v="054515fd15bc1a2029f10de97ffa9120"/>
    <x v="174"/>
    <n v="35"/>
    <n v="8.27"/>
    <n v="37.237151664259173"/>
    <n v="-2.2371516642591729"/>
    <n v="-6.0078485176040669E-2"/>
    <x v="0"/>
  </r>
  <r>
    <s v="3b09eb8e2d6bb856f77327ebf539e959"/>
    <x v="85"/>
    <n v="109"/>
    <n v="18.010000000000002"/>
    <n v="98.286244804128458"/>
    <n v="10.713755195871542"/>
    <n v="0.10900564180901046"/>
    <x v="2"/>
  </r>
  <r>
    <s v="7c1bd920dbdf22470b68bde975dd3ccf"/>
    <x v="10"/>
    <n v="58.99"/>
    <n v="11.73"/>
    <n v="63.098853822956961"/>
    <n v="-4.1088538229569593"/>
    <n v="-6.5117725188568384E-2"/>
    <x v="0"/>
  </r>
  <r>
    <s v="19421075ae0b585f2dc13ff149e2119d"/>
    <x v="142"/>
    <n v="49.9"/>
    <n v="16.95"/>
    <n v="54.702440571805944"/>
    <n v="-4.8024405718059455"/>
    <n v="-8.7792071461637131E-2"/>
    <x v="0"/>
  </r>
  <r>
    <s v="186fe07c8b8005ec6a498587ffbc1352"/>
    <x v="22"/>
    <n v="29"/>
    <n v="7.78"/>
    <n v="27.70828333397877"/>
    <n v="1.2917166660212303"/>
    <n v="4.6618429963764425E-2"/>
    <x v="1"/>
  </r>
  <r>
    <s v="87cb507e0daa37bbf34956fd59eba832"/>
    <x v="22"/>
    <n v="29"/>
    <n v="7.78"/>
    <n v="30.093308921169463"/>
    <n v="-1.0933089211694629"/>
    <n v="-3.6330631637531988E-2"/>
    <x v="1"/>
  </r>
  <r>
    <s v="555cdc8ae3abc9870afa02367539b799"/>
    <x v="22"/>
    <n v="49"/>
    <n v="7.78"/>
    <n v="50.123075831099115"/>
    <n v="-1.1230758310991149"/>
    <n v="-2.2406362987051502E-2"/>
    <x v="1"/>
  </r>
  <r>
    <s v="683487a7a9ad71b5776c9b9bcad37eed"/>
    <x v="110"/>
    <n v="10.5"/>
    <n v="15.1"/>
    <n v="11.080321104824957"/>
    <n v="-0.58032110482495725"/>
    <n v="-5.2374033147130974E-2"/>
    <x v="0"/>
  </r>
  <r>
    <s v="30b159b653b87754d7a38446c7ef4669"/>
    <x v="110"/>
    <n v="13.3"/>
    <n v="15.1"/>
    <n v="12.063734487692203"/>
    <n v="1.2362655123077975"/>
    <n v="0.10247784494669325"/>
    <x v="2"/>
  </r>
  <r>
    <s v="422879e10f46682990de24d770e7f83d"/>
    <x v="13"/>
    <n v="49.91"/>
    <n v="20.99"/>
    <n v="54.80367484691488"/>
    <n v="-4.8936748469148839"/>
    <n v="-8.929464786046859E-2"/>
    <x v="0"/>
  </r>
  <r>
    <s v="595fac2a385ac33a80bd5114aec74eb8"/>
    <x v="172"/>
    <n v="119.9"/>
    <n v="17.55"/>
    <n v="109.4686056859348"/>
    <n v="10.431394314065201"/>
    <n v="9.5291195577961868E-2"/>
    <x v="2"/>
  </r>
  <r>
    <s v="29fd9022374ff3fef2e8f82c39b4133e"/>
    <x v="12"/>
    <n v="69.900000000000006"/>
    <n v="12.83"/>
    <n v="71.452074704871109"/>
    <n v="-1.552074704871103"/>
    <n v="-2.1721898367288321E-2"/>
    <x v="1"/>
  </r>
  <r>
    <s v="ba2fafdf0c3e7418202575a48d00bd15"/>
    <x v="277"/>
    <n v="86.99"/>
    <n v="17.04"/>
    <n v="94.768026268974793"/>
    <n v="-7.7780262689747985"/>
    <n v="-8.2074372287746722E-2"/>
    <x v="0"/>
  </r>
  <r>
    <s v="e87093a08e761c9fbf7dd461227f66c1"/>
    <x v="277"/>
    <n v="63.99"/>
    <n v="17.03"/>
    <n v="61.444360121140491"/>
    <n v="2.5456398788595109"/>
    <n v="4.1430000635382325E-2"/>
    <x v="1"/>
  </r>
  <r>
    <s v="5fda5f5969ed8a446022953a89e1c81a"/>
    <x v="449"/>
    <n v="52.99"/>
    <n v="11.76"/>
    <n v="51.315871700738299"/>
    <n v="1.674128299261703"/>
    <n v="3.2623986376472618E-2"/>
    <x v="1"/>
  </r>
  <r>
    <s v="20fb650ad1615624d7e202031400f695"/>
    <x v="9"/>
    <n v="37.5"/>
    <n v="16.32"/>
    <n v="35.088007345424494"/>
    <n v="2.4119926545755064"/>
    <n v="6.874122633498686E-2"/>
    <x v="2"/>
  </r>
  <r>
    <s v="3b0f7951038b105522c2d566b54421f7"/>
    <x v="20"/>
    <n v="29.98"/>
    <n v="7.78"/>
    <n v="31.696323274172443"/>
    <n v="-1.7163232741724421"/>
    <n v="-5.4148970507597573E-2"/>
    <x v="0"/>
  </r>
  <r>
    <s v="f20e2a3811156fe0a12b4cd5c3638195"/>
    <x v="562"/>
    <n v="29"/>
    <n v="15.79"/>
    <n v="27.501692216411136"/>
    <n v="1.4983077835888636"/>
    <n v="5.4480566933796735E-2"/>
    <x v="2"/>
  </r>
  <r>
    <s v="f20e2a3811156fe0a12b4cd5c3638195"/>
    <x v="562"/>
    <n v="29"/>
    <n v="15.79"/>
    <n v="29.629428326650928"/>
    <n v="-0.62942832665092752"/>
    <n v="-2.1243350351271291E-2"/>
    <x v="1"/>
  </r>
  <r>
    <s v="2b4609f8948be18874494203496bc318"/>
    <x v="10"/>
    <n v="89.99"/>
    <n v="16.39"/>
    <n v="93.939146084827513"/>
    <n v="-3.9491460848275182"/>
    <n v="-4.203940795098797E-2"/>
    <x v="1"/>
  </r>
  <r>
    <s v="ee6540b34ea60c885c775fa9b52e81e3"/>
    <x v="166"/>
    <n v="62.34"/>
    <n v="15.19"/>
    <n v="59.502725591384767"/>
    <n v="2.8372744086152366"/>
    <n v="4.7683099898637879E-2"/>
    <x v="1"/>
  </r>
  <r>
    <s v="1c36a5285f7f3b1ed2637d7c528ce5ff"/>
    <x v="563"/>
    <n v="89.99"/>
    <n v="45.09"/>
    <n v="98.447578775160494"/>
    <n v="-8.4575787751604992"/>
    <n v="-8.5909464512848407E-2"/>
    <x v="0"/>
  </r>
  <r>
    <s v="ccadfeab525a9eb1569983b66e5075c4"/>
    <x v="339"/>
    <n v="89"/>
    <n v="15.37"/>
    <n v="94.993823781340538"/>
    <n v="-5.9938237813405379"/>
    <n v="-6.3096984022216959E-2"/>
    <x v="0"/>
  </r>
  <r>
    <s v="446f791c0261ad0a93d4dced49d5d0bc"/>
    <x v="319"/>
    <n v="139.99"/>
    <n v="17.37"/>
    <n v="144.05763264168235"/>
    <n v="-4.0676326416823372"/>
    <n v="-2.8236148040832014E-2"/>
    <x v="1"/>
  </r>
  <r>
    <s v="97de9cc5ef2b385440117d854522881d"/>
    <x v="337"/>
    <n v="69.5"/>
    <n v="18.59"/>
    <n v="63.465796982286342"/>
    <n v="6.0342030177136579"/>
    <n v="9.5078031075507288E-2"/>
    <x v="2"/>
  </r>
  <r>
    <s v="4cb922d064b9a86b25b900350108771e"/>
    <x v="424"/>
    <n v="89.99"/>
    <n v="13.65"/>
    <n v="97.301401872481648"/>
    <n v="-7.3114018724816532"/>
    <n v="-7.5141793764324283E-2"/>
    <x v="0"/>
  </r>
  <r>
    <s v="bbaef2eadf31fe3ea6702077398be06c"/>
    <x v="10"/>
    <n v="56.99"/>
    <n v="15.15"/>
    <n v="57.281397049654373"/>
    <n v="-0.29139704965437119"/>
    <n v="-5.087114921477451E-3"/>
    <x v="1"/>
  </r>
  <r>
    <s v="6f33a4a09ae1180a0ee1ff4682b2d21f"/>
    <x v="564"/>
    <n v="139.99"/>
    <n v="15.74"/>
    <n v="139.9456861469412"/>
    <n v="4.4313853058810082E-2"/>
    <n v="3.1665036828845938E-4"/>
    <x v="1"/>
  </r>
  <r>
    <s v="d12ad7f92749db41296a64e02c0bd5c8"/>
    <x v="33"/>
    <n v="12.95"/>
    <n v="7.39"/>
    <n v="12.255878299285659"/>
    <n v="0.69412170071434076"/>
    <n v="5.6635818646697728E-2"/>
    <x v="2"/>
  </r>
  <r>
    <s v="557484a8965bdc4e548658239f7663fd"/>
    <x v="565"/>
    <n v="179.99"/>
    <n v="23.58"/>
    <n v="189.39499549097633"/>
    <n v="-9.4049954909763187"/>
    <n v="-4.9658099289241343E-2"/>
    <x v="1"/>
  </r>
  <r>
    <s v="bc1771eea502c7888f4fa3d568a69111"/>
    <x v="566"/>
    <n v="39.99"/>
    <n v="18.23"/>
    <n v="42.958415121370685"/>
    <n v="-2.9684151213706826"/>
    <n v="-6.9099735476367094E-2"/>
    <x v="0"/>
  </r>
  <r>
    <s v="e303dfa61ada1f0823b4775f192606b3"/>
    <x v="567"/>
    <n v="148.5"/>
    <n v="165.32"/>
    <n v="145.06550290421686"/>
    <n v="3.4344970957831435"/>
    <n v="2.3675491602237485E-2"/>
    <x v="1"/>
  </r>
  <r>
    <s v="a237de12bdf0bfe4fe220bae65a89731"/>
    <x v="61"/>
    <n v="45.91"/>
    <n v="17.600000000000001"/>
    <n v="42.417786561536168"/>
    <n v="3.4922134384638284"/>
    <n v="8.2328987944658968E-2"/>
    <x v="2"/>
  </r>
  <r>
    <s v="f9259c9e7c0f12c70f7a81409680a5ff"/>
    <x v="98"/>
    <n v="69.900000000000006"/>
    <n v="19.190000000000001"/>
    <n v="63.544194184773424"/>
    <n v="6.3558058152265815"/>
    <n v="0.10002181783508353"/>
    <x v="2"/>
  </r>
  <r>
    <s v="3e49ed0eb3b0fd7c15032a2e250d43d5"/>
    <x v="568"/>
    <n v="239.99"/>
    <n v="70.540000000000006"/>
    <n v="253.49772503358056"/>
    <n v="-13.507725033580556"/>
    <n v="-5.3285389570226722E-2"/>
    <x v="0"/>
  </r>
  <r>
    <s v="7416f209ecc901d8c6c64377f12cd1d5"/>
    <x v="267"/>
    <n v="159"/>
    <n v="64.48"/>
    <n v="143.42477277536864"/>
    <n v="15.575227224631362"/>
    <n v="0.10859509778708332"/>
    <x v="2"/>
  </r>
  <r>
    <s v="7ea3919d7abd2b09549543a2508e7b26"/>
    <x v="38"/>
    <n v="99.89"/>
    <n v="8.2799999999999994"/>
    <n v="102.84758304811174"/>
    <n v="-2.9575830481117436"/>
    <n v="-2.8756952379991239E-2"/>
    <x v="1"/>
  </r>
  <r>
    <s v="9117307cf75efa6e964d697f0d1297f9"/>
    <x v="569"/>
    <n v="19.899999999999999"/>
    <n v="24.84"/>
    <n v="19.679727440881813"/>
    <n v="0.220272559118186"/>
    <n v="1.1192866353453724E-2"/>
    <x v="1"/>
  </r>
  <r>
    <s v="cf18e908cb8600dcd21a719db24c48d8"/>
    <x v="447"/>
    <n v="63.99"/>
    <n v="8.2899999999999991"/>
    <n v="59.146230934623389"/>
    <n v="4.8437690653766126"/>
    <n v="8.1894805278980798E-2"/>
    <x v="2"/>
  </r>
  <r>
    <s v="9bb8ca338e5588c361e34eae02e8fad6"/>
    <x v="104"/>
    <n v="69.900000000000006"/>
    <n v="38.04"/>
    <n v="70.566636635545066"/>
    <n v="-0.66663663554506059"/>
    <n v="-9.4469095783611366E-3"/>
    <x v="1"/>
  </r>
  <r>
    <s v="656e0eca68dcecf6a31b8ececfabe3e8"/>
    <x v="570"/>
    <n v="79.900000000000006"/>
    <n v="13.9"/>
    <n v="80.829234417665958"/>
    <n v="-0.92923441766595261"/>
    <n v="-1.1496266472899563E-2"/>
    <x v="1"/>
  </r>
  <r>
    <s v="71d22271ee986bf5a46a2c199da0265b"/>
    <x v="480"/>
    <n v="39.9"/>
    <n v="11.15"/>
    <n v="37.879836985892766"/>
    <n v="2.0201630141072329"/>
    <n v="5.3330826499057619E-2"/>
    <x v="2"/>
  </r>
  <r>
    <s v="1191e61a83c807323c6c1cb5eac9ff3c"/>
    <x v="20"/>
    <n v="24.99"/>
    <n v="7.78"/>
    <n v="26.206918040355227"/>
    <n v="-1.2169180403552282"/>
    <n v="-4.6434992412359731E-2"/>
    <x v="1"/>
  </r>
  <r>
    <s v="8983a3b149303c013fceabef902e835a"/>
    <x v="51"/>
    <n v="99"/>
    <n v="15.57"/>
    <n v="107.05414358128039"/>
    <n v="-8.0541435812803854"/>
    <n v="-7.5234300250744734E-2"/>
    <x v="0"/>
  </r>
  <r>
    <s v="a00a22560435cc439faf6163eabc1ef8"/>
    <x v="179"/>
    <n v="18.989999999999998"/>
    <n v="14.52"/>
    <n v="19.503747557708383"/>
    <n v="-0.51374755770838476"/>
    <n v="-2.6340966329075486E-2"/>
    <x v="1"/>
  </r>
  <r>
    <s v="951cb45d30e716a846d8cf5874034e56"/>
    <x v="179"/>
    <n v="18.989999999999998"/>
    <n v="14.52"/>
    <n v="19.948609520994545"/>
    <n v="-0.95860952099454622"/>
    <n v="-4.8053951829859387E-2"/>
    <x v="1"/>
  </r>
  <r>
    <s v="0fa699aaa0a38aa5d1de8e7fe04d2204"/>
    <x v="571"/>
    <n v="336"/>
    <n v="17.100000000000001"/>
    <n v="305.46173400387841"/>
    <n v="30.538265996121595"/>
    <n v="9.9974113273821247E-2"/>
    <x v="2"/>
  </r>
  <r>
    <s v="13b4ff901d43edec666e3253b14b3a8f"/>
    <x v="65"/>
    <n v="630"/>
    <n v="64.489999999999995"/>
    <n v="623.26019394463526"/>
    <n v="6.7398060553647383"/>
    <n v="1.08137919296727E-2"/>
    <x v="1"/>
  </r>
  <r>
    <s v="13b4ff901d43edec666e3253b14b3a8f"/>
    <x v="65"/>
    <n v="630"/>
    <n v="64.489999999999995"/>
    <n v="574.70569499676935"/>
    <n v="55.294305003230647"/>
    <n v="9.6213253991752207E-2"/>
    <x v="2"/>
  </r>
  <r>
    <s v="d0fe4295267f15ccaceac4fb233d8c9a"/>
    <x v="103"/>
    <n v="49.9"/>
    <n v="15.1"/>
    <n v="47.227623821317927"/>
    <n v="2.6723761786820717"/>
    <n v="5.6585022968608394E-2"/>
    <x v="2"/>
  </r>
  <r>
    <s v="651ddf320f742699115641fac3e69bc9"/>
    <x v="227"/>
    <n v="479"/>
    <n v="18.100000000000001"/>
    <n v="479.95874245104875"/>
    <n v="-0.95874245104874944"/>
    <n v="-1.9975518023750386E-3"/>
    <x v="1"/>
  </r>
  <r>
    <s v="dc48030c42aec9ae7ec9757387ba4250"/>
    <x v="259"/>
    <n v="168.8"/>
    <n v="15.93"/>
    <n v="152.83125065052653"/>
    <n v="15.968749349473484"/>
    <n v="0.10448615241648858"/>
    <x v="2"/>
  </r>
  <r>
    <s v="8af4a717d0442a5fbe332dc587583296"/>
    <x v="466"/>
    <n v="129.9"/>
    <n v="71.459999999999994"/>
    <n v="131.65863648226718"/>
    <n v="-1.7586364822671783"/>
    <n v="-1.3357547436730786E-2"/>
    <x v="1"/>
  </r>
  <r>
    <s v="5f82c0dd37c20e3f5010be5f3c6a9ff1"/>
    <x v="572"/>
    <n v="40.85"/>
    <n v="71.459999999999994"/>
    <n v="42.654667497146917"/>
    <n v="-1.8046674971469159"/>
    <n v="-4.2308792988894506E-2"/>
    <x v="1"/>
  </r>
  <r>
    <s v="ea02a373dc65fa3648ef3bac7fb86e9c"/>
    <x v="573"/>
    <n v="36.9"/>
    <n v="19.32"/>
    <n v="35.383519020981616"/>
    <n v="1.5164809790183824"/>
    <n v="4.2858399078936835E-2"/>
    <x v="1"/>
  </r>
  <r>
    <s v="ddaad3142473118e7c6c4848683026b9"/>
    <x v="574"/>
    <n v="14.99"/>
    <n v="14.1"/>
    <n v="14.454835838978649"/>
    <n v="0.53516416102135089"/>
    <n v="3.702319189113424E-2"/>
    <x v="1"/>
  </r>
  <r>
    <s v="940d38f0ef286bd93612fcdc91dd38ed"/>
    <x v="85"/>
    <n v="85.71"/>
    <n v="11.69"/>
    <n v="82.662386514910011"/>
    <n v="3.0476134850899825"/>
    <n v="3.6868201047404764E-2"/>
    <x v="1"/>
  </r>
  <r>
    <s v="fe01b643060a6446e59f58e3021e66b3"/>
    <x v="340"/>
    <n v="143"/>
    <n v="38.549999999999997"/>
    <n v="138.22875698910272"/>
    <n v="4.7712430108972796"/>
    <n v="3.4517007277099519E-2"/>
    <x v="1"/>
  </r>
  <r>
    <s v="3f14d740544f37ece8a9e7bc8349797e"/>
    <x v="575"/>
    <n v="84.89"/>
    <n v="7.94"/>
    <n v="77.52882099976074"/>
    <n v="7.361179000239261"/>
    <n v="9.4947645344200166E-2"/>
    <x v="2"/>
  </r>
  <r>
    <s v="2b4ad41f87f5ca9daba350c8f886b729"/>
    <x v="465"/>
    <n v="159"/>
    <n v="26.61"/>
    <n v="158.64305372684905"/>
    <n v="0.35694627315095317"/>
    <n v="2.249996232205299E-3"/>
    <x v="1"/>
  </r>
  <r>
    <s v="36c2fb4fa746273709c373f6d6ec6796"/>
    <x v="576"/>
    <n v="70"/>
    <n v="16.739999999999998"/>
    <n v="73.643199679798386"/>
    <n v="-3.6431996797983857"/>
    <n v="-4.9470958562896052E-2"/>
    <x v="1"/>
  </r>
  <r>
    <s v="e1e932dfb67414e80b87ad97688cf2a3"/>
    <x v="577"/>
    <n v="99"/>
    <n v="23.01"/>
    <n v="99.661598074876053"/>
    <n v="-0.66159807487605349"/>
    <n v="-6.6384453757102396E-3"/>
    <x v="1"/>
  </r>
  <r>
    <s v="dea1ae8abcd2a440ab30613558fbfc66"/>
    <x v="141"/>
    <n v="174.9"/>
    <n v="18.47"/>
    <n v="166.932571655196"/>
    <n v="7.9674283448040057"/>
    <n v="4.772842271465725E-2"/>
    <x v="1"/>
  </r>
  <r>
    <s v="99a4788cb24856965c36a24e339b6058"/>
    <x v="12"/>
    <n v="89.9"/>
    <n v="15.38"/>
    <n v="82.795703557983302"/>
    <n v="7.1042964420167038"/>
    <n v="8.5805134043476533E-2"/>
    <x v="2"/>
  </r>
  <r>
    <s v="63ee501f72520d5ec54cef5fd3a21a20"/>
    <x v="578"/>
    <n v="48.9"/>
    <n v="18.63"/>
    <n v="46.672147550242165"/>
    <n v="2.2278524497578331"/>
    <n v="4.7734089102276021E-2"/>
    <x v="1"/>
  </r>
  <r>
    <s v="e493b6001e292d2cdb2c6172bac9d0a4"/>
    <x v="46"/>
    <n v="49.99"/>
    <n v="9.34"/>
    <n v="54.00377409273834"/>
    <n v="-4.0137740927383376"/>
    <n v="-7.4323955319227461E-2"/>
    <x v="0"/>
  </r>
  <r>
    <s v="8eadcea593a48a928f1e2d702e816d60"/>
    <x v="66"/>
    <n v="200"/>
    <n v="20.37"/>
    <n v="212.58797622766102"/>
    <n v="-12.587976227661017"/>
    <n v="-5.921302065635415E-2"/>
    <x v="0"/>
  </r>
  <r>
    <s v="25ce1fd278819fb92db46f69fdbc5eb6"/>
    <x v="579"/>
    <n v="53.8"/>
    <n v="22.31"/>
    <n v="56.280425304280442"/>
    <n v="-2.4804253042804447"/>
    <n v="-4.4072611229748371E-2"/>
    <x v="1"/>
  </r>
  <r>
    <s v="f35927953ed82e19d06ad3aac2f06353"/>
    <x v="297"/>
    <n v="115"/>
    <n v="37.72"/>
    <n v="115.11783219887052"/>
    <n v="-0.11783219887051644"/>
    <n v="-1.0235790287203876E-3"/>
    <x v="1"/>
  </r>
  <r>
    <s v="d95767fa0df02e36e44e71e86a07af1b"/>
    <x v="257"/>
    <n v="29.6"/>
    <n v="7.78"/>
    <n v="26.708120935770069"/>
    <n v="2.8918790642299328"/>
    <n v="0.10827714428823226"/>
    <x v="2"/>
  </r>
  <r>
    <s v="eb0db7338f21fb5467875d41aaebe7b3"/>
    <x v="580"/>
    <n v="138"/>
    <n v="21.46"/>
    <n v="139.88421958284837"/>
    <n v="-1.8842195828483739"/>
    <n v="-1.3469850912900283E-2"/>
    <x v="1"/>
  </r>
  <r>
    <s v="aa8d88eb4b9cb38894e33fa624c4287f"/>
    <x v="22"/>
    <n v="55"/>
    <n v="14.14"/>
    <n v="59.711822582442785"/>
    <n v="-4.7118225824427853"/>
    <n v="-7.8909374704436069E-2"/>
    <x v="0"/>
  </r>
  <r>
    <s v="64fb265487de2238627ce43fe8a67efc"/>
    <x v="12"/>
    <n v="79.900000000000006"/>
    <n v="26.86"/>
    <n v="83.419640192200546"/>
    <n v="-3.5196401922005407"/>
    <n v="-4.219198481426218E-2"/>
    <x v="1"/>
  </r>
  <r>
    <s v="6401d2f82d6e6c52998ce626fe4eda24"/>
    <x v="581"/>
    <n v="69.900000000000006"/>
    <n v="15.24"/>
    <n v="72.346227486041755"/>
    <n v="-2.4462274860417494"/>
    <n v="-3.381278569796492E-2"/>
    <x v="1"/>
  </r>
  <r>
    <s v="1d7db62a21ffb4f220d3e8a05fa77e02"/>
    <x v="582"/>
    <n v="32"/>
    <n v="14.1"/>
    <n v="32.656935868616415"/>
    <n v="-0.65693586861641506"/>
    <n v="-2.0116273959668574E-2"/>
    <x v="1"/>
  </r>
  <r>
    <s v="7b35ccd93a2184646c03b70326626923"/>
    <x v="321"/>
    <n v="179"/>
    <n v="15"/>
    <n v="196.19075870676556"/>
    <n v="-17.190758706765564"/>
    <n v="-8.7622673055969727E-2"/>
    <x v="0"/>
  </r>
  <r>
    <s v="b40ec43bdfc6d6fdd65e882066a5c895"/>
    <x v="268"/>
    <n v="177"/>
    <n v="27.78"/>
    <n v="175.40343413234211"/>
    <n v="1.5965658676578869"/>
    <n v="9.1022497681161468E-3"/>
    <x v="1"/>
  </r>
  <r>
    <s v="b40ec43bdfc6d6fdd65e882066a5c895"/>
    <x v="268"/>
    <n v="177"/>
    <n v="27.78"/>
    <n v="192.47589009354414"/>
    <n v="-15.475890093544137"/>
    <n v="-8.04043045912025E-2"/>
    <x v="0"/>
  </r>
  <r>
    <s v="b40ec43bdfc6d6fdd65e882066a5c895"/>
    <x v="268"/>
    <n v="177"/>
    <n v="27.78"/>
    <n v="186.03874249367027"/>
    <n v="-9.0387424936702701"/>
    <n v="-4.8585269780448026E-2"/>
    <x v="1"/>
  </r>
  <r>
    <s v="b40ec43bdfc6d6fdd65e882066a5c895"/>
    <x v="268"/>
    <n v="177"/>
    <n v="27.78"/>
    <n v="165.77081754522047"/>
    <n v="11.229182454779533"/>
    <n v="6.7739199341985121E-2"/>
    <x v="2"/>
  </r>
  <r>
    <s v="b40ec43bdfc6d6fdd65e882066a5c895"/>
    <x v="268"/>
    <n v="177"/>
    <n v="27.78"/>
    <n v="181.7369874712706"/>
    <n v="-4.7369874712705951"/>
    <n v="-2.6065070942256203E-2"/>
    <x v="1"/>
  </r>
  <r>
    <s v="d696750e550fd0f733979dd7e5dff921"/>
    <x v="583"/>
    <n v="177.99"/>
    <n v="18.82"/>
    <n v="181.94678863733549"/>
    <n v="-3.9567886373354781"/>
    <n v="-2.1746955068398195E-2"/>
    <x v="1"/>
  </r>
  <r>
    <s v="9275e1f75faf1d3d1f54e4cb63d12a36"/>
    <x v="217"/>
    <n v="19.95"/>
    <n v="11.85"/>
    <n v="20.296374124099255"/>
    <n v="-0.34637412409925616"/>
    <n v="-1.7065812936902004E-2"/>
    <x v="1"/>
  </r>
  <r>
    <s v="dd2ca29c9d0f93d3b1d28d7d7ee3025c"/>
    <x v="584"/>
    <n v="99"/>
    <n v="44.49"/>
    <n v="104.74949896023192"/>
    <n v="-5.749498960231918"/>
    <n v="-5.4888080776545875E-2"/>
    <x v="0"/>
  </r>
  <r>
    <s v="7c1bd920dbdf22470b68bde975dd3ccf"/>
    <x v="10"/>
    <n v="58.99"/>
    <n v="17.66"/>
    <n v="62.225490873648361"/>
    <n v="-3.2354908736483594"/>
    <n v="-5.1996229008754113E-2"/>
    <x v="0"/>
  </r>
  <r>
    <s v="7134464bd4e33be7a2604345a4c0ccf4"/>
    <x v="585"/>
    <n v="90"/>
    <n v="17.760000000000002"/>
    <n v="85.489904203342988"/>
    <n v="4.5100957966570121"/>
    <n v="5.2755887828923896E-2"/>
    <x v="2"/>
  </r>
  <r>
    <s v="a314a62cff3e5725f545fa263aed7a7b"/>
    <x v="382"/>
    <n v="22.9"/>
    <n v="11.85"/>
    <n v="25.080724813765777"/>
    <n v="-2.180724813765778"/>
    <n v="-8.6948237339969855E-2"/>
    <x v="0"/>
  </r>
  <r>
    <s v="5b226d7c52f86ac72457617f78cff95d"/>
    <x v="65"/>
    <n v="56.99"/>
    <n v="9.94"/>
    <n v="57.913897575637606"/>
    <n v="-0.92389757563760355"/>
    <n v="-1.5952951093145831E-2"/>
    <x v="1"/>
  </r>
  <r>
    <s v="656e0eca68dcecf6a31b8ececfabe3e8"/>
    <x v="116"/>
    <n v="98.9"/>
    <n v="16.45"/>
    <n v="105.2597063868168"/>
    <n v="-6.3597063868167965"/>
    <n v="-6.0419191779289581E-2"/>
    <x v="0"/>
  </r>
  <r>
    <s v="53759a2ecddad2bb87a079a1f1519f73"/>
    <x v="13"/>
    <n v="59.9"/>
    <n v="13"/>
    <n v="59.129172685330808"/>
    <n v="0.77082731466919086"/>
    <n v="1.3036328425755622E-2"/>
    <x v="1"/>
  </r>
  <r>
    <s v="8f3746a9c5411cc7cfb03660326cd189"/>
    <x v="51"/>
    <n v="24.99"/>
    <n v="17.059999999999999"/>
    <n v="23.917665487846666"/>
    <n v="1.0723345121533328"/>
    <n v="4.4834413822629149E-2"/>
    <x v="1"/>
  </r>
  <r>
    <s v="7d39a5380ff19ab4ac1facc7dcd05480"/>
    <x v="153"/>
    <n v="96.49"/>
    <n v="15.56"/>
    <n v="94.664324295192841"/>
    <n v="1.8256757048071535"/>
    <n v="1.928578393602777E-2"/>
    <x v="1"/>
  </r>
  <r>
    <s v="331a9e69c95aad991177b0f1ef85a261"/>
    <x v="217"/>
    <n v="98"/>
    <n v="13.03"/>
    <n v="92.74695673253305"/>
    <n v="5.2530432674669498"/>
    <n v="5.6638443486785893E-2"/>
    <x v="2"/>
  </r>
  <r>
    <s v="4d38a4daf13a87012b73156f834afec0"/>
    <x v="26"/>
    <n v="29.9"/>
    <n v="9.34"/>
    <n v="27.091900195856109"/>
    <n v="2.8080998041438896"/>
    <n v="0.10365089874992997"/>
    <x v="2"/>
  </r>
  <r>
    <s v="6f059a5e46fe4a3903ea525124d77b49"/>
    <x v="586"/>
    <n v="229.9"/>
    <n v="16.489999999999998"/>
    <n v="235.5303956034542"/>
    <n v="-5.6303956034541898"/>
    <n v="-2.3905176183432762E-2"/>
    <x v="1"/>
  </r>
  <r>
    <s v="7b31b39ebebeb8282009c48e5587b1d0"/>
    <x v="37"/>
    <n v="89.99"/>
    <n v="42.91"/>
    <n v="95.591068789542859"/>
    <n v="-5.6010687895428646"/>
    <n v="-5.8594059680140233E-2"/>
    <x v="0"/>
  </r>
  <r>
    <s v="51ce083cd2b9078656a94655ab45b8a4"/>
    <x v="293"/>
    <n v="199.9"/>
    <n v="21.89"/>
    <n v="197.54954134044416"/>
    <n v="2.3504586595558408"/>
    <n v="1.1898071965174607E-2"/>
    <x v="1"/>
  </r>
  <r>
    <s v="90d0df1dcc6b9808cd5f1451917e1ad0"/>
    <x v="477"/>
    <n v="174"/>
    <n v="14.97"/>
    <n v="174.94481266016194"/>
    <n v="-0.94481266016194354"/>
    <n v="-5.4006326097663952E-3"/>
    <x v="1"/>
  </r>
  <r>
    <s v="f1bad58626618e14b6b25b096acee146"/>
    <x v="102"/>
    <n v="110.32"/>
    <n v="8.0299999999999994"/>
    <n v="106.81452187356898"/>
    <n v="3.5054781264310151"/>
    <n v="3.2818366500580086E-2"/>
    <x v="1"/>
  </r>
  <r>
    <s v="e72246bac78dfdb31d5a07c47fd21dc6"/>
    <x v="471"/>
    <n v="538.9"/>
    <n v="24.17"/>
    <n v="561.26633674125969"/>
    <n v="-22.366336741259715"/>
    <n v="-3.9849774121711597E-2"/>
    <x v="1"/>
  </r>
  <r>
    <s v="f6ba4f9e6851627ea2d5ec8b06d471d2"/>
    <x v="156"/>
    <n v="49.9"/>
    <n v="11.85"/>
    <n v="48.801935698428814"/>
    <n v="1.0980643015711848"/>
    <n v="2.2500425154376349E-2"/>
    <x v="1"/>
  </r>
  <r>
    <s v="15c2f1db81672725401439acc4872622"/>
    <x v="587"/>
    <n v="119.9"/>
    <n v="12.04"/>
    <n v="130.60443750962096"/>
    <n v="-10.704437509620959"/>
    <n v="-8.1960748912780379E-2"/>
    <x v="0"/>
  </r>
  <r>
    <s v="1c33c71830d320620439a3236a1c4ae1"/>
    <x v="343"/>
    <n v="108.9"/>
    <n v="21.25"/>
    <n v="117.39128868733806"/>
    <n v="-8.4912886873380558"/>
    <n v="-7.2333209578726895E-2"/>
    <x v="0"/>
  </r>
  <r>
    <s v="7c256e07dc557658d97d070c34cde789"/>
    <x v="588"/>
    <n v="89.15"/>
    <n v="21.04"/>
    <n v="89.510115655238522"/>
    <n v="-0.3601156552385163"/>
    <n v="-4.0231838893556469E-3"/>
    <x v="1"/>
  </r>
  <r>
    <s v="46b769809b6fb1728843192da1732171"/>
    <x v="589"/>
    <n v="36.9"/>
    <n v="12.92"/>
    <n v="34.477407468870126"/>
    <n v="2.4225925311298724"/>
    <n v="7.0266087533328803E-2"/>
    <x v="2"/>
  </r>
  <r>
    <s v="46b769809b6fb1728843192da1732171"/>
    <x v="589"/>
    <n v="36.9"/>
    <n v="12.92"/>
    <n v="37.930645756590565"/>
    <n v="-1.030645756590566"/>
    <n v="-2.7171848409975677E-2"/>
    <x v="1"/>
  </r>
  <r>
    <s v="d8f254be723da6488610b42935533b05"/>
    <x v="22"/>
    <n v="69"/>
    <n v="7.39"/>
    <n v="65.393624046787735"/>
    <n v="3.6063759532122646"/>
    <n v="5.5148739740008598E-2"/>
    <x v="2"/>
  </r>
  <r>
    <s v="f8077831f3c3f393fb67b93c5acd8daf"/>
    <x v="359"/>
    <n v="75.900000000000006"/>
    <n v="19.5"/>
    <n v="68.60499382378373"/>
    <n v="7.2950061762162761"/>
    <n v="0.10633345722548947"/>
    <x v="2"/>
  </r>
  <r>
    <s v="4c4a28727e951ccf6f37590a7028e182"/>
    <x v="590"/>
    <n v="70"/>
    <n v="7.78"/>
    <n v="76.814664618471795"/>
    <n v="-6.8146646184717952"/>
    <n v="-8.8715672356565328E-2"/>
    <x v="0"/>
  </r>
  <r>
    <s v="ee57070aa3b24a06fdd0e02efd2d757d"/>
    <x v="93"/>
    <n v="74.900000000000006"/>
    <n v="16.96"/>
    <n v="72.260872587397941"/>
    <n v="2.6391274126020647"/>
    <n v="3.6522218983864305E-2"/>
    <x v="1"/>
  </r>
  <r>
    <s v="202d6bc7af7609f371b94e032925d314"/>
    <x v="65"/>
    <n v="28.99"/>
    <n v="15.1"/>
    <n v="29.4862523753308"/>
    <n v="-0.49625237533080124"/>
    <n v="-1.6829957534582551E-2"/>
    <x v="1"/>
  </r>
  <r>
    <s v="423b46d7ff817b1cd19ab195c7b76546"/>
    <x v="22"/>
    <n v="55"/>
    <n v="15.49"/>
    <n v="59.891461336619159"/>
    <n v="-4.8914613366191588"/>
    <n v="-8.1672098617309827E-2"/>
    <x v="0"/>
  </r>
  <r>
    <s v="6ed0ed10d62b45f3de46933b0b2989a6"/>
    <x v="316"/>
    <n v="107.9"/>
    <n v="23.34"/>
    <n v="101.94198956462795"/>
    <n v="5.95801043537206"/>
    <n v="5.8445106484751042E-2"/>
    <x v="2"/>
  </r>
  <r>
    <s v="a0b940038a7c1b3af0958334fdbf3212"/>
    <x v="471"/>
    <n v="79.900000000000006"/>
    <n v="18.440000000000001"/>
    <n v="76.71359420546716"/>
    <n v="3.1864057945328454"/>
    <n v="4.1536390356036262E-2"/>
    <x v="1"/>
  </r>
  <r>
    <s v="ed77034b92386a1a8cfd3c648d715dde"/>
    <x v="260"/>
    <n v="17"/>
    <n v="7.39"/>
    <n v="15.954662472000889"/>
    <n v="1.0453375279991111"/>
    <n v="6.5519250553472491E-2"/>
    <x v="2"/>
  </r>
  <r>
    <s v="08574b074924071f4e201e151b152b4e"/>
    <x v="133"/>
    <n v="99"/>
    <n v="33.08"/>
    <n v="106.04490226953966"/>
    <n v="-7.0449022695396621"/>
    <n v="-6.6433200642057072E-2"/>
    <x v="0"/>
  </r>
  <r>
    <s v="4ae634441e444ca4bc85903cafe98d73"/>
    <x v="32"/>
    <n v="18.95"/>
    <n v="24.35"/>
    <n v="20.04684433492865"/>
    <n v="-1.096844334928651"/>
    <n v="-5.4714064548182409E-2"/>
    <x v="0"/>
  </r>
  <r>
    <s v="7500a93e5485588cedc511badf55e56e"/>
    <x v="137"/>
    <n v="159.9"/>
    <n v="9.4700000000000006"/>
    <n v="173.58766610517966"/>
    <n v="-13.687666105179659"/>
    <n v="-7.8851605141612269E-2"/>
    <x v="0"/>
  </r>
  <r>
    <s v="a7c73814e6894bc049f7aac7d37f7175"/>
    <x v="385"/>
    <n v="227.9"/>
    <n v="13.1"/>
    <n v="237.9469793741174"/>
    <n v="-10.046979374117399"/>
    <n v="-4.2223605445819982E-2"/>
    <x v="1"/>
  </r>
  <r>
    <s v="6fd98945d378fd5d76031095b1ba6523"/>
    <x v="591"/>
    <n v="189"/>
    <n v="8.51"/>
    <n v="182.38145026806021"/>
    <n v="6.6185497319397939"/>
    <n v="3.6289599201081012E-2"/>
    <x v="1"/>
  </r>
  <r>
    <s v="2fc738cd8396c43c0235072751a180cf"/>
    <x v="265"/>
    <n v="17.899999999999999"/>
    <n v="15.23"/>
    <n v="19.459671547425042"/>
    <n v="-1.5596715474250438"/>
    <n v="-8.0148914313583258E-2"/>
    <x v="0"/>
  </r>
  <r>
    <s v="9548f3f06fa6c1983a2278e2a16ecdcb"/>
    <x v="194"/>
    <n v="39.9"/>
    <n v="11.85"/>
    <n v="40.142497480569887"/>
    <n v="-0.24249748056988807"/>
    <n v="-6.0409166292471903E-3"/>
    <x v="1"/>
  </r>
  <r>
    <s v="e2a44ba73fdd5e184c188e4f45e32eec"/>
    <x v="319"/>
    <n v="19.989999999999998"/>
    <n v="7.4"/>
    <n v="20.497784981107959"/>
    <n v="-0.50778498110796022"/>
    <n v="-2.477267575867181E-2"/>
    <x v="1"/>
  </r>
  <r>
    <s v="3a9621dab36a841a88d2bf767f12fee4"/>
    <x v="230"/>
    <n v="122.99"/>
    <n v="22.57"/>
    <n v="122.23347575789103"/>
    <n v="0.7565242421089664"/>
    <n v="6.1891739347036236E-3"/>
    <x v="1"/>
  </r>
  <r>
    <s v="8b78fb97dfb22b6e0e32d34284716d91"/>
    <x v="520"/>
    <n v="30"/>
    <n v="8.2899999999999991"/>
    <n v="27.081503698184655"/>
    <n v="2.9184963018153454"/>
    <n v="0.10776714374287052"/>
    <x v="2"/>
  </r>
  <r>
    <s v="4ef2894feb9fb3f164a68f654f841447"/>
    <x v="592"/>
    <n v="119.9"/>
    <n v="15.59"/>
    <n v="130.09750796299812"/>
    <n v="-10.197507962998117"/>
    <n v="-7.8383576462498078E-2"/>
    <x v="0"/>
  </r>
  <r>
    <s v="f5badee8a0e679f057ec0ca4f0f32dcb"/>
    <x v="431"/>
    <n v="109.9"/>
    <n v="8.5299999999999994"/>
    <n v="99.206390955125315"/>
    <n v="10.693609044874691"/>
    <n v="0.1077915338106776"/>
    <x v="2"/>
  </r>
  <r>
    <s v="22a0a4cfaf39559db703230823bdc13a"/>
    <x v="593"/>
    <n v="139"/>
    <n v="17.41"/>
    <n v="130.74120976458997"/>
    <n v="8.2587902354100322"/>
    <n v="6.3168990483418702E-2"/>
    <x v="2"/>
  </r>
  <r>
    <s v="22a0a4cfaf39559db703230823bdc13a"/>
    <x v="593"/>
    <n v="139"/>
    <n v="17.41"/>
    <n v="131.71933829692264"/>
    <n v="7.2806617030773566"/>
    <n v="5.5274053128518144E-2"/>
    <x v="2"/>
  </r>
  <r>
    <s v="25292482a61cb3298df8dbe15ea69daf"/>
    <x v="189"/>
    <n v="1149.6500000000001"/>
    <n v="22.8"/>
    <n v="1252.9376880972243"/>
    <n v="-103.28768809722419"/>
    <n v="-8.2436412503547718E-2"/>
    <x v="0"/>
  </r>
  <r>
    <s v="ac8e7cf3a658f63dc68dd7f3b8b5f97b"/>
    <x v="17"/>
    <n v="107"/>
    <n v="17.46"/>
    <n v="116.66656448341827"/>
    <n v="-9.66656448341827"/>
    <n v="-8.2856339570984552E-2"/>
    <x v="0"/>
  </r>
  <r>
    <s v="7c2d0df8e5fbfa71d54a400b33a8502e"/>
    <x v="594"/>
    <n v="116"/>
    <n v="25.3"/>
    <n v="117.53882428563611"/>
    <n v="-1.5388242856361103"/>
    <n v="-1.3092051030700696E-2"/>
    <x v="1"/>
  </r>
  <r>
    <s v="47fc9ac35ea613a0fc62033750123d2f"/>
    <x v="264"/>
    <n v="84.9"/>
    <n v="17.84"/>
    <n v="85.690066186456889"/>
    <n v="-0.7900661864568832"/>
    <n v="-9.2200440683257549E-3"/>
    <x v="1"/>
  </r>
  <r>
    <s v="e0d64dcfaa3b6db5c54ca298ae101d05"/>
    <x v="87"/>
    <n v="127"/>
    <n v="17.8"/>
    <n v="123.12520629971144"/>
    <n v="3.8747937002885635"/>
    <n v="3.1470352958081864E-2"/>
    <x v="1"/>
  </r>
  <r>
    <s v="7bd043584ab4b147b9b19d9e97b299a9"/>
    <x v="328"/>
    <n v="129.9"/>
    <n v="47.21"/>
    <n v="117.58795815163531"/>
    <n v="12.3120418483647"/>
    <n v="0.10470495484314586"/>
    <x v="2"/>
  </r>
  <r>
    <s v="0d95dd6703959afe6f64c7ebd49bd9e9"/>
    <x v="501"/>
    <n v="66.5"/>
    <n v="18.71"/>
    <n v="60.810767583503349"/>
    <n v="5.689232416496651"/>
    <n v="9.3556332909042528E-2"/>
    <x v="2"/>
  </r>
  <r>
    <s v="16c1c1a3dc1ddc2fd5e32ae7fe616b0b"/>
    <x v="293"/>
    <n v="159.9"/>
    <n v="14.14"/>
    <n v="144.6359894836794"/>
    <n v="15.26401051632061"/>
    <n v="0.10553397235923075"/>
    <x v="2"/>
  </r>
  <r>
    <s v="242edc6b84c00f0d48c664a020a92c52"/>
    <x v="501"/>
    <n v="54.9"/>
    <n v="13.4"/>
    <n v="53.21187573159748"/>
    <n v="1.6881242684025182"/>
    <n v="3.1724577365351198E-2"/>
    <x v="1"/>
  </r>
  <r>
    <s v="c5e19a898511a0e8b60bd98fbc1d72eb"/>
    <x v="595"/>
    <n v="220"/>
    <n v="38.67"/>
    <n v="211.88503947118107"/>
    <n v="8.1149605288189264"/>
    <n v="3.829888390927505E-2"/>
    <x v="1"/>
  </r>
  <r>
    <s v="16bf176650a888512655cc94f61860e3"/>
    <x v="22"/>
    <n v="39"/>
    <n v="50.99"/>
    <n v="40.749767601338945"/>
    <n v="-1.7497676013389452"/>
    <n v="-4.2939327125915971E-2"/>
    <x v="1"/>
  </r>
  <r>
    <s v="574597aaf385996112490308e37399ce"/>
    <x v="572"/>
    <n v="49"/>
    <n v="11.73"/>
    <n v="52.217868395631427"/>
    <n v="-3.2178683956314273"/>
    <n v="-6.1623894166860246E-2"/>
    <x v="0"/>
  </r>
  <r>
    <s v="812f1a638bcd733dd09a574e2424dff0"/>
    <x v="48"/>
    <n v="339.9"/>
    <n v="27.67"/>
    <n v="367.15171979624245"/>
    <n v="-27.251719796242469"/>
    <n v="-7.4224682404773451E-2"/>
    <x v="0"/>
  </r>
  <r>
    <s v="82c51c3938503a4ddc096fbed86428d6"/>
    <x v="596"/>
    <n v="99"/>
    <n v="8.4600000000000009"/>
    <n v="90.061424052015667"/>
    <n v="8.938575947984333"/>
    <n v="9.9249773608085415E-2"/>
    <x v="2"/>
  </r>
  <r>
    <s v="29427de7f8a9ee983d9dbc51cec569b4"/>
    <x v="37"/>
    <n v="99.99"/>
    <n v="11.9"/>
    <n v="90.613763075950629"/>
    <n v="9.3762369240493655"/>
    <n v="0.10347475489115701"/>
    <x v="2"/>
  </r>
  <r>
    <s v="55cfb8318af6fe90dfacf0892abb2cee"/>
    <x v="30"/>
    <n v="100"/>
    <n v="25.25"/>
    <n v="99.83514842105879"/>
    <n v="0.16485157894121016"/>
    <n v="1.6512378811312219E-3"/>
    <x v="1"/>
  </r>
  <r>
    <s v="ecaaaccb5eb3102553f001d62db6389e"/>
    <x v="166"/>
    <n v="288.92"/>
    <n v="27.3"/>
    <n v="277.69134315239529"/>
    <n v="11.228656847604725"/>
    <n v="4.0435746826441424E-2"/>
    <x v="1"/>
  </r>
  <r>
    <s v="e0cf79767c5b016251fe139915c59a26"/>
    <x v="293"/>
    <n v="29.9"/>
    <n v="8.11"/>
    <n v="27.219844225493894"/>
    <n v="2.6801557745061046"/>
    <n v="9.8463303180695336E-2"/>
    <x v="2"/>
  </r>
  <r>
    <s v="a92930c327948861c015c919a0bcb4a8"/>
    <x v="22"/>
    <n v="78"/>
    <n v="23.05"/>
    <n v="73.769282632276528"/>
    <n v="4.2307173677234715"/>
    <n v="5.7350664351890977E-2"/>
    <x v="2"/>
  </r>
  <r>
    <s v="5b59b0c94f8e31d14fe89dbbfda3df6c"/>
    <x v="597"/>
    <n v="69.900000000000006"/>
    <n v="14.22"/>
    <n v="63.047523444242103"/>
    <n v="6.852476555757903"/>
    <n v="0.10868748178218433"/>
    <x v="2"/>
  </r>
  <r>
    <s v="17eebb377a986cfb90285ec913767939"/>
    <x v="134"/>
    <n v="139"/>
    <n v="14.58"/>
    <n v="131.17597726790027"/>
    <n v="7.8240227320997349"/>
    <n v="5.9645240653483061E-2"/>
    <x v="2"/>
  </r>
  <r>
    <s v="17eebb377a986cfb90285ec913767939"/>
    <x v="134"/>
    <n v="139"/>
    <n v="14.58"/>
    <n v="149.94623698891581"/>
    <n v="-10.946236988915814"/>
    <n v="-7.3001078311321493E-2"/>
    <x v="0"/>
  </r>
  <r>
    <s v="fdc7f0715c1b1ee11b31922f0b23c0b4"/>
    <x v="424"/>
    <n v="28.69"/>
    <n v="12.69"/>
    <n v="28.202252281500822"/>
    <n v="0.48774771849917897"/>
    <n v="1.7294637096027805E-2"/>
    <x v="1"/>
  </r>
  <r>
    <s v="2f46e035eccda1e1e2127096bb7483e7"/>
    <x v="598"/>
    <n v="159"/>
    <n v="13.67"/>
    <n v="158.36853847696719"/>
    <n v="0.63146152303281156"/>
    <n v="3.9872914728240044E-3"/>
    <x v="1"/>
  </r>
  <r>
    <s v="00fefaf41156bb4b0d850fb27da97897"/>
    <x v="599"/>
    <n v="13.49"/>
    <n v="18.23"/>
    <n v="13.898380153667814"/>
    <n v="-0.40838015366781377"/>
    <n v="-2.9383291372990783E-2"/>
    <x v="1"/>
  </r>
  <r>
    <s v="601a360bd2a916ecef0e88de72a6531a"/>
    <x v="37"/>
    <n v="118.99"/>
    <n v="17.079999999999998"/>
    <n v="114.51521259787219"/>
    <n v="4.4747874021278022"/>
    <n v="3.9075921011833742E-2"/>
    <x v="1"/>
  </r>
  <r>
    <s v="5b8423dc7f23089c9c59c5d140eb5a1c"/>
    <x v="478"/>
    <n v="129.99"/>
    <n v="25.75"/>
    <n v="120.44145054724906"/>
    <n v="9.5485494527509474"/>
    <n v="7.9279595266955549E-2"/>
    <x v="2"/>
  </r>
  <r>
    <s v="9e2ce829b01f3d1a0a9d5ddf7ee21864"/>
    <x v="581"/>
    <n v="69.900000000000006"/>
    <n v="17.739999999999998"/>
    <n v="66.11270974139677"/>
    <n v="3.7872902586032353"/>
    <n v="5.7285358192356868E-2"/>
    <x v="2"/>
  </r>
  <r>
    <s v="16c4e87b98a9370a9cbc3a4658a3f45b"/>
    <x v="512"/>
    <n v="1890"/>
    <n v="73.14"/>
    <n v="1828.0804797132487"/>
    <n v="61.919520286751322"/>
    <n v="3.3871331691296198E-2"/>
    <x v="1"/>
  </r>
  <r>
    <s v="548ace38f22cc53db6f049c551d31397"/>
    <x v="600"/>
    <n v="179.9"/>
    <n v="17.02"/>
    <n v="174.46626626088201"/>
    <n v="5.4337337391179972"/>
    <n v="3.1144896119877148E-2"/>
    <x v="1"/>
  </r>
  <r>
    <s v="548ace38f22cc53db6f049c551d31397"/>
    <x v="600"/>
    <n v="179.9"/>
    <n v="17.02"/>
    <n v="169.99186688222571"/>
    <n v="9.9081331177742982"/>
    <n v="5.8285924494487031E-2"/>
    <x v="2"/>
  </r>
  <r>
    <s v="06ead9c0b05b368667d858c09148af03"/>
    <x v="47"/>
    <n v="114.9"/>
    <n v="14.97"/>
    <n v="106.03055430089921"/>
    <n v="8.8694456991007939"/>
    <n v="8.3649904101515904E-2"/>
    <x v="2"/>
  </r>
  <r>
    <s v="3516632e8f52b679ff83d1665ecc990e"/>
    <x v="116"/>
    <n v="75.900000000000006"/>
    <n v="25.81"/>
    <n v="82.735206235746432"/>
    <n v="-6.8352062357464263"/>
    <n v="-8.2615449295794688E-2"/>
    <x v="0"/>
  </r>
  <r>
    <s v="777d2e438a1b645f3aec9bd57e92672c"/>
    <x v="12"/>
    <n v="69.900000000000006"/>
    <n v="10.210000000000001"/>
    <n v="64.837268331742791"/>
    <n v="5.0627316682572143"/>
    <n v="7.8083666979205865E-2"/>
    <x v="2"/>
  </r>
  <r>
    <s v="264afa6d3b31bde30f0f2693c84795d9"/>
    <x v="78"/>
    <n v="65"/>
    <n v="16.420000000000002"/>
    <n v="67.541881257894346"/>
    <n v="-2.5418812578943459"/>
    <n v="-3.7634149516634151E-2"/>
    <x v="1"/>
  </r>
  <r>
    <s v="dc404a1496a08f9f5540c8b5d4b92925"/>
    <x v="81"/>
    <n v="299.99"/>
    <n v="14.93"/>
    <n v="320.17611014687043"/>
    <n v="-20.186110146870419"/>
    <n v="-6.3046896714469711E-2"/>
    <x v="0"/>
  </r>
  <r>
    <s v="0657f64d203d600602279807d6cb1dd8"/>
    <x v="601"/>
    <n v="89.9"/>
    <n v="19.600000000000001"/>
    <n v="84.723378043963422"/>
    <n v="5.176621956036584"/>
    <n v="6.1100278052539488E-2"/>
    <x v="2"/>
  </r>
  <r>
    <s v="4385083fee716d237634eed19cf376c9"/>
    <x v="148"/>
    <n v="49.9"/>
    <n v="23.5"/>
    <n v="50.923533460816252"/>
    <n v="-1.0235334608162532"/>
    <n v="-2.0099419487530728E-2"/>
    <x v="1"/>
  </r>
  <r>
    <s v="79ea753b9ec382b3bf6b03d449ac9b3b"/>
    <x v="602"/>
    <n v="314.99"/>
    <n v="18.91"/>
    <n v="292.5968636630983"/>
    <n v="22.393136336901705"/>
    <n v="7.6532386767773408E-2"/>
    <x v="2"/>
  </r>
  <r>
    <s v="4520766ec412348b8d4caa5e8a18c464"/>
    <x v="27"/>
    <n v="40"/>
    <n v="15.1"/>
    <n v="41.76224928462446"/>
    <n v="-1.7622492846244597"/>
    <n v="-4.2197183217170829E-2"/>
    <x v="1"/>
  </r>
  <r>
    <s v="374fb6698c278b6af1c7b7c8fb95585e"/>
    <x v="22"/>
    <n v="115"/>
    <n v="8.06"/>
    <n v="108.83311165245713"/>
    <n v="6.1668883475428657"/>
    <n v="5.6663714322860999E-2"/>
    <x v="2"/>
  </r>
  <r>
    <s v="120fa011365fc39efe382cba4e50999e"/>
    <x v="293"/>
    <n v="184.9"/>
    <n v="14.41"/>
    <n v="192.02610530102987"/>
    <n v="-7.1261053010298667"/>
    <n v="-3.7110086099276046E-2"/>
    <x v="1"/>
  </r>
  <r>
    <s v="e7cc48a9daff5436f63d3aad9426f28b"/>
    <x v="196"/>
    <n v="170"/>
    <n v="30.44"/>
    <n v="175.02005675339404"/>
    <n v="-5.0200567533940443"/>
    <n v="-2.8682751260144898E-2"/>
    <x v="1"/>
  </r>
  <r>
    <s v="e7cc48a9daff5436f63d3aad9426f28b"/>
    <x v="196"/>
    <n v="170"/>
    <n v="30.44"/>
    <n v="166.01801286835638"/>
    <n v="3.9819871316436206"/>
    <n v="2.3985271615081481E-2"/>
    <x v="1"/>
  </r>
  <r>
    <s v="e7cc48a9daff5436f63d3aad9426f28b"/>
    <x v="196"/>
    <n v="170"/>
    <n v="30.44"/>
    <n v="177.3276775687973"/>
    <n v="-7.3276775687972986"/>
    <n v="-4.132280797482616E-2"/>
    <x v="1"/>
  </r>
  <r>
    <s v="e7cc48a9daff5436f63d3aad9426f28b"/>
    <x v="196"/>
    <n v="170"/>
    <n v="30.44"/>
    <n v="162.93464990464253"/>
    <n v="7.0653500953574735"/>
    <n v="4.3363091273050075E-2"/>
    <x v="1"/>
  </r>
  <r>
    <s v="e7cc48a9daff5436f63d3aad9426f28b"/>
    <x v="196"/>
    <n v="170"/>
    <n v="30.44"/>
    <n v="160.56375871392621"/>
    <n v="9.4362412860737948"/>
    <n v="5.8769434408210322E-2"/>
    <x v="2"/>
  </r>
  <r>
    <s v="e7cc48a9daff5436f63d3aad9426f28b"/>
    <x v="196"/>
    <n v="170"/>
    <n v="30.44"/>
    <n v="169.60039811582621"/>
    <n v="0.39960188417379072"/>
    <n v="2.3561376542340908E-3"/>
    <x v="1"/>
  </r>
  <r>
    <s v="aa8d88eb4b9cb38894e33fa624c4287f"/>
    <x v="22"/>
    <n v="55"/>
    <n v="37.299999999999997"/>
    <n v="58.511862390883621"/>
    <n v="-3.5118623908836213"/>
    <n v="-6.0019665199219217E-2"/>
    <x v="0"/>
  </r>
  <r>
    <s v="a7216be504e1ff211b67479ab193a552"/>
    <x v="603"/>
    <n v="69.900000000000006"/>
    <n v="21.13"/>
    <n v="74.592723358250154"/>
    <n v="-4.6927233582501486"/>
    <n v="-6.2911275349368523E-2"/>
    <x v="0"/>
  </r>
  <r>
    <s v="4d8e210a4855c77238ef8d6c145ff24e"/>
    <x v="328"/>
    <n v="124.9"/>
    <n v="18.12"/>
    <n v="128.83481391134234"/>
    <n v="-3.9348139113423315"/>
    <n v="-3.054154224222401E-2"/>
    <x v="1"/>
  </r>
  <r>
    <s v="437c05a395e9e47f9762e677a7068ce7"/>
    <x v="197"/>
    <n v="59.89"/>
    <n v="15.3"/>
    <n v="59.488147992453733"/>
    <n v="0.40185200754626749"/>
    <n v="6.7551608363609463E-3"/>
    <x v="1"/>
  </r>
  <r>
    <s v="a9516a079e37a9c9c36b9b78b10169e8"/>
    <x v="21"/>
    <n v="112.99"/>
    <n v="18.510000000000002"/>
    <n v="124.18397060909872"/>
    <n v="-11.193970609098727"/>
    <n v="-9.0140221432721421E-2"/>
    <x v="0"/>
  </r>
  <r>
    <s v="3e5201fe0d1ba474d9b90152c83c706c"/>
    <x v="391"/>
    <n v="125.9"/>
    <n v="23.46"/>
    <n v="135.85798645416105"/>
    <n v="-9.9579864541610448"/>
    <n v="-7.3297026653055125E-2"/>
    <x v="0"/>
  </r>
  <r>
    <s v="49770e2e1a22b61e15a13c2cbfbfcbbd"/>
    <x v="377"/>
    <n v="139.9"/>
    <n v="22.85"/>
    <n v="152.39134499145078"/>
    <n v="-12.491344991450774"/>
    <n v="-8.1968861106590685E-2"/>
    <x v="0"/>
  </r>
  <r>
    <s v="c1488892604e4ba5cff5b4eb4d595400"/>
    <x v="28"/>
    <n v="38.5"/>
    <n v="11.74"/>
    <n v="36.706442177029061"/>
    <n v="1.7935578229709392"/>
    <n v="4.8862208282701672E-2"/>
    <x v="1"/>
  </r>
  <r>
    <s v="0433830caca22b01a0f477d31307b043"/>
    <x v="604"/>
    <n v="1999"/>
    <n v="46.47"/>
    <n v="1950.7552846456249"/>
    <n v="48.244715354375103"/>
    <n v="2.473130060654392E-2"/>
    <x v="1"/>
  </r>
  <r>
    <s v="617186c3d97ea56c9c683a8a3974e8c1"/>
    <x v="10"/>
    <n v="84.99"/>
    <n v="27.13"/>
    <n v="89.844289562230017"/>
    <n v="-4.8542895622300222"/>
    <n v="-5.4030028907599434E-2"/>
    <x v="0"/>
  </r>
  <r>
    <s v="99a4788cb24856965c36a24e339b6058"/>
    <x v="12"/>
    <n v="79.900000000000006"/>
    <n v="23.14"/>
    <n v="84.938107138427895"/>
    <n v="-5.0381071384278897"/>
    <n v="-5.9315039010900412E-2"/>
    <x v="0"/>
  </r>
  <r>
    <s v="054b1ab366729788a3717961085aec01"/>
    <x v="263"/>
    <n v="18"/>
    <n v="17.059999999999999"/>
    <n v="19.257684053287093"/>
    <n v="-1.2576840532870932"/>
    <n v="-6.5308167368776579E-2"/>
    <x v="0"/>
  </r>
  <r>
    <s v="054b1ab366729788a3717961085aec01"/>
    <x v="263"/>
    <n v="18"/>
    <n v="17.059999999999999"/>
    <n v="17.306884649573536"/>
    <n v="0.69311535042646355"/>
    <n v="4.0048533543761894E-2"/>
    <x v="1"/>
  </r>
  <r>
    <s v="9cb67ae6cec5627ef21cbadcdb357054"/>
    <x v="605"/>
    <n v="101"/>
    <n v="42.86"/>
    <n v="98.933681023151209"/>
    <n v="2.0663189768487911"/>
    <n v="2.0885900084575415E-2"/>
    <x v="1"/>
  </r>
  <r>
    <s v="ff92ca9bb0b3f4ec00a9b76c9f68cb3a"/>
    <x v="604"/>
    <n v="858.9"/>
    <n v="17.920000000000002"/>
    <n v="849.73967520607778"/>
    <n v="9.1603247939222001"/>
    <n v="1.0780154276897392E-2"/>
    <x v="1"/>
  </r>
  <r>
    <s v="72172e982e8b92155069e4201c92c0bb"/>
    <x v="599"/>
    <n v="36.49"/>
    <n v="9.27"/>
    <n v="35.045874051556304"/>
    <n v="1.4441259484436983"/>
    <n v="4.1206732248116613E-2"/>
    <x v="1"/>
  </r>
  <r>
    <s v="10be5827cbcb06a81f220d46dafd0af0"/>
    <x v="349"/>
    <n v="28.9"/>
    <n v="18.3"/>
    <n v="30.809959553929268"/>
    <n v="-1.9099595539292693"/>
    <n v="-6.1991628083318519E-2"/>
    <x v="0"/>
  </r>
  <r>
    <s v="362052fcdf7c9e3596a0a6c97536cdc3"/>
    <x v="606"/>
    <n v="270"/>
    <n v="16.64"/>
    <n v="257.92202022055397"/>
    <n v="12.077979779446025"/>
    <n v="4.682802875503967E-2"/>
    <x v="1"/>
  </r>
  <r>
    <s v="5aad359a63cbb4fc35ead44346a3eeb4"/>
    <x v="607"/>
    <n v="10.99"/>
    <n v="15.1"/>
    <n v="10.067143071261558"/>
    <n v="0.92285692873844205"/>
    <n v="9.1670191056775638E-2"/>
    <x v="2"/>
  </r>
  <r>
    <s v="e2e426d1332240070b0a836a854d057b"/>
    <x v="608"/>
    <n v="34.9"/>
    <n v="16.600000000000001"/>
    <n v="34.63397954099397"/>
    <n v="0.26602045900602889"/>
    <n v="7.6809093997170586E-3"/>
    <x v="1"/>
  </r>
  <r>
    <s v="5d7c23067ed3fc8c6e699b9373d5890b"/>
    <x v="22"/>
    <n v="69"/>
    <n v="24.97"/>
    <n v="75.887593591555699"/>
    <n v="-6.8875935915556994"/>
    <n v="-9.0760469077808631E-2"/>
    <x v="0"/>
  </r>
  <r>
    <s v="7cdffa73c5aa5471607b4ac982baa201"/>
    <x v="271"/>
    <n v="44.5"/>
    <n v="19.5"/>
    <n v="42.218530729131125"/>
    <n v="2.2814692708688753"/>
    <n v="5.4039523201470464E-2"/>
    <x v="2"/>
  </r>
  <r>
    <s v="9fe172fa8e662ca8572cf12abf8bce23"/>
    <x v="131"/>
    <n v="49.9"/>
    <n v="14.1"/>
    <n v="54.635303715234194"/>
    <n v="-4.7353037152341955"/>
    <n v="-8.6671133740102754E-2"/>
    <x v="0"/>
  </r>
  <r>
    <s v="06edb72f1e0c64b14c5b79353f7abea3"/>
    <x v="171"/>
    <n v="39.99"/>
    <n v="12.76"/>
    <n v="39.421153941390799"/>
    <n v="0.56884605860920345"/>
    <n v="1.4429969743020016E-2"/>
    <x v="1"/>
  </r>
  <r>
    <s v="980036ff323e235a27b7999d343a8990"/>
    <x v="609"/>
    <n v="69.900000000000006"/>
    <n v="34.29"/>
    <n v="74.925177349464136"/>
    <n v="-5.0251773494641299"/>
    <n v="-6.7069275338860035E-2"/>
    <x v="0"/>
  </r>
  <r>
    <s v="980036ff323e235a27b7999d343a8990"/>
    <x v="609"/>
    <n v="69.900000000000006"/>
    <n v="34.29"/>
    <n v="64.532607378642894"/>
    <n v="5.3673926213571121"/>
    <n v="8.317334196438271E-2"/>
    <x v="2"/>
  </r>
  <r>
    <s v="b8e35c1ace7b632cf4b643d6d30e4e08"/>
    <x v="28"/>
    <n v="39.99"/>
    <n v="19.59"/>
    <n v="36.379224510898261"/>
    <n v="3.6107754891017407"/>
    <n v="9.9253778431149547E-2"/>
    <x v="2"/>
  </r>
  <r>
    <s v="b8e35c1ace7b632cf4b643d6d30e4e08"/>
    <x v="28"/>
    <n v="39.99"/>
    <n v="19.59"/>
    <n v="40.906187271625726"/>
    <n v="-0.91618727162572355"/>
    <n v="-2.2397278571626499E-2"/>
    <x v="1"/>
  </r>
  <r>
    <s v="4914f8796af2ecd359fd8f44b9b92339"/>
    <x v="107"/>
    <n v="49.77"/>
    <n v="7.78"/>
    <n v="45.684004826572803"/>
    <n v="4.0859951734272002"/>
    <n v="8.9440389233356316E-2"/>
    <x v="2"/>
  </r>
  <r>
    <s v="59f09deeea7c839a9212a19f3416b892"/>
    <x v="610"/>
    <n v="379.9"/>
    <n v="69.010000000000005"/>
    <n v="356.0929790955521"/>
    <n v="23.807020904447882"/>
    <n v="6.6856192910390494E-2"/>
    <x v="2"/>
  </r>
  <r>
    <s v="af2d506fb01b724e03591349ad36b67e"/>
    <x v="438"/>
    <n v="48.9"/>
    <n v="9.09"/>
    <n v="50.488495423187743"/>
    <n v="-1.5884954231877444"/>
    <n v="-3.1462522498901788E-2"/>
    <x v="1"/>
  </r>
  <r>
    <s v="e0d64dcfaa3b6db5c54ca298ae101d05"/>
    <x v="92"/>
    <n v="144"/>
    <n v="14.37"/>
    <n v="133.63242698924469"/>
    <n v="10.367573010755308"/>
    <n v="7.7582763737350471E-2"/>
    <x v="2"/>
  </r>
  <r>
    <s v="13db47eae724e2848e12b71a617a3a41"/>
    <x v="92"/>
    <n v="467"/>
    <n v="21.15"/>
    <n v="493.54159187773809"/>
    <n v="-26.541591877738085"/>
    <n v="-5.377782200028456E-2"/>
    <x v="0"/>
  </r>
  <r>
    <s v="ddc50b859563aa0b3d663559f3696690"/>
    <x v="21"/>
    <n v="156.99"/>
    <n v="23.68"/>
    <n v="169.80347152189111"/>
    <n v="-12.813471521891103"/>
    <n v="-7.5460598108202909E-2"/>
    <x v="0"/>
  </r>
  <r>
    <s v="696c39c44288187022347dcb177ac304"/>
    <x v="611"/>
    <n v="63.99"/>
    <n v="11.15"/>
    <n v="66.833973144750317"/>
    <n v="-2.8439731447503149"/>
    <n v="-4.2552806767761402E-2"/>
    <x v="1"/>
  </r>
  <r>
    <s v="696c39c44288187022347dcb177ac304"/>
    <x v="611"/>
    <n v="63.99"/>
    <n v="11.15"/>
    <n v="67.081115598872998"/>
    <n v="-3.0911155988729959"/>
    <n v="-4.6080265232275423E-2"/>
    <x v="1"/>
  </r>
  <r>
    <s v="d5ad2be418dec48e9d0c4745e431c384"/>
    <x v="200"/>
    <n v="99.9"/>
    <n v="17.14"/>
    <n v="104.33390206031041"/>
    <n v="-4.4339020603104018"/>
    <n v="-4.2497232181993694E-2"/>
    <x v="1"/>
  </r>
  <r>
    <s v="bb4dc25bd765b4b6beb85469e9b4bc55"/>
    <x v="612"/>
    <n v="65.5"/>
    <n v="12.8"/>
    <n v="70.750139229682873"/>
    <n v="-5.2501392296828726"/>
    <n v="-7.4206768874883047E-2"/>
    <x v="0"/>
  </r>
  <r>
    <s v="cd9dfd413f60d6cdb25aa4a3e1960e59"/>
    <x v="613"/>
    <n v="65"/>
    <n v="16.21"/>
    <n v="69.289547885965959"/>
    <n v="-4.289547885965959"/>
    <n v="-6.190757505050444E-2"/>
    <x v="0"/>
  </r>
  <r>
    <s v="89b121bee266dcd25688a1ba72eefb61"/>
    <x v="471"/>
    <n v="79.900000000000006"/>
    <n v="18.440000000000001"/>
    <n v="86.751563243062023"/>
    <n v="-6.8515632430620172"/>
    <n v="-7.8979132904673885E-2"/>
    <x v="0"/>
  </r>
  <r>
    <s v="e251ebd2858be1aa7d9b2087a6992580"/>
    <x v="133"/>
    <n v="112"/>
    <n v="14.95"/>
    <n v="106.01178861393251"/>
    <n v="5.9882113860674906"/>
    <n v="5.6486278218312175E-2"/>
    <x v="2"/>
  </r>
  <r>
    <s v="87700264f353c44d18c38c328d1fcd25"/>
    <x v="434"/>
    <n v="179.49"/>
    <n v="16.14"/>
    <n v="194.40193452318081"/>
    <n v="-14.911934523180804"/>
    <n v="-7.670671878732091E-2"/>
    <x v="0"/>
  </r>
  <r>
    <s v="c5038055690911ed8e218cceb07acdf8"/>
    <x v="145"/>
    <n v="349.9"/>
    <n v="16.95"/>
    <n v="377.65803433397906"/>
    <n v="-27.758034333979083"/>
    <n v="-7.350044699282493E-2"/>
    <x v="0"/>
  </r>
  <r>
    <s v="ff5f8606556b625613f069a5a9a48966"/>
    <x v="18"/>
    <n v="47.5"/>
    <n v="20.84"/>
    <n v="46.94342101399414"/>
    <n v="0.55657898600586009"/>
    <n v="1.1856378891515815E-2"/>
    <x v="1"/>
  </r>
  <r>
    <s v="a04087ab6a96ffa041f8a2701a72b616"/>
    <x v="196"/>
    <n v="599"/>
    <n v="73.41"/>
    <n v="608.80542861263382"/>
    <n v="-9.8054286126338184"/>
    <n v="-1.6106013763672832E-2"/>
    <x v="1"/>
  </r>
  <r>
    <s v="51e3084a334ce75dc646c9c6eea90e37"/>
    <x v="230"/>
    <n v="24.53"/>
    <n v="15.27"/>
    <n v="22.765323588551592"/>
    <n v="1.7646764114484093"/>
    <n v="7.751598190925095E-2"/>
    <x v="2"/>
  </r>
  <r>
    <s v="ab5da1daa941470d14366f4e76a99dd2"/>
    <x v="120"/>
    <n v="26"/>
    <n v="16.11"/>
    <n v="24.938305044341188"/>
    <n v="1.0616949556588118"/>
    <n v="4.2572859453402327E-2"/>
    <x v="1"/>
  </r>
  <r>
    <s v="056193fc88b3f131fae751356896b168"/>
    <x v="539"/>
    <n v="129.99"/>
    <n v="31.66"/>
    <n v="117.49820352988851"/>
    <n v="12.491796470111495"/>
    <n v="0.10631478690594537"/>
    <x v="2"/>
  </r>
  <r>
    <s v="5769ef0a239114ac3a854af00df129e4"/>
    <x v="614"/>
    <n v="1680"/>
    <n v="28.01"/>
    <n v="1514.3403172897929"/>
    <n v="165.65968271020711"/>
    <n v="0.1093939590848954"/>
    <x v="2"/>
  </r>
  <r>
    <s v="5769ef0a239114ac3a854af00df129e4"/>
    <x v="614"/>
    <n v="1680"/>
    <n v="28.01"/>
    <n v="1803.7300514310659"/>
    <n v="-123.73005143106593"/>
    <n v="-6.8596767755185667E-2"/>
    <x v="0"/>
  </r>
  <r>
    <s v="5769ef0a239114ac3a854af00df129e4"/>
    <x v="614"/>
    <n v="1680"/>
    <n v="28.01"/>
    <n v="1610.7568805472852"/>
    <n v="69.243119452714836"/>
    <n v="4.2987939576075676E-2"/>
    <x v="1"/>
  </r>
  <r>
    <s v="5769ef0a239114ac3a854af00df129e4"/>
    <x v="614"/>
    <n v="1680"/>
    <n v="28.01"/>
    <n v="1596.3703665096612"/>
    <n v="83.629633490338847"/>
    <n v="5.2387362760427894E-2"/>
    <x v="2"/>
  </r>
  <r>
    <s v="5769ef0a239114ac3a854af00df129e4"/>
    <x v="614"/>
    <n v="1680"/>
    <n v="28.01"/>
    <n v="1534.6075688084318"/>
    <n v="145.39243119156822"/>
    <n v="9.4742417636099807E-2"/>
    <x v="2"/>
  </r>
  <r>
    <s v="5769ef0a239114ac3a854af00df129e4"/>
    <x v="614"/>
    <n v="1680"/>
    <n v="28.01"/>
    <n v="1729.6053065754097"/>
    <n v="-49.605306575409713"/>
    <n v="-2.8680130886986819E-2"/>
    <x v="1"/>
  </r>
  <r>
    <s v="5769ef0a239114ac3a854af00df129e4"/>
    <x v="614"/>
    <n v="1680"/>
    <n v="28.01"/>
    <n v="1724.4903570367183"/>
    <n v="-44.490357036718251"/>
    <n v="-2.5799133555706483E-2"/>
    <x v="1"/>
  </r>
  <r>
    <s v="5769ef0a239114ac3a854af00df129e4"/>
    <x v="614"/>
    <n v="1680"/>
    <n v="28.01"/>
    <n v="1745.081593807723"/>
    <n v="-65.081593807723038"/>
    <n v="-3.7294298466421093E-2"/>
    <x v="1"/>
  </r>
  <r>
    <s v="0e2d365a247d105fefc31b17ab8706d9"/>
    <x v="615"/>
    <n v="132.19999999999999"/>
    <n v="19.03"/>
    <n v="134.87054904464463"/>
    <n v="-2.6705490446446447"/>
    <n v="-1.9800831712790342E-2"/>
    <x v="1"/>
  </r>
  <r>
    <s v="6e1b14d3cbb5fb3a2c00351007127dfd"/>
    <x v="37"/>
    <n v="219.99"/>
    <n v="33.14"/>
    <n v="211.03862526641015"/>
    <n v="8.9513747335898586"/>
    <n v="4.2415812376951641E-2"/>
    <x v="1"/>
  </r>
  <r>
    <s v="c874b6cca27efc978feed6fd55b2985c"/>
    <x v="353"/>
    <n v="499"/>
    <n v="59.16"/>
    <n v="481.83938035122998"/>
    <n v="17.160619648770023"/>
    <n v="3.5614813459748831E-2"/>
    <x v="1"/>
  </r>
  <r>
    <s v="7fab1a1472fdd934397068931f63f3ca"/>
    <x v="105"/>
    <n v="69.900000000000006"/>
    <n v="11.99"/>
    <n v="69.386692927047022"/>
    <n v="0.51330707295298339"/>
    <n v="7.3977740010274457E-3"/>
    <x v="1"/>
  </r>
  <r>
    <s v="d696750e550fd0f733979dd7e5dff921"/>
    <x v="583"/>
    <n v="169.99"/>
    <n v="16.399999999999999"/>
    <n v="166.7315960112285"/>
    <n v="3.2584039887715051"/>
    <n v="1.954281052136074E-2"/>
    <x v="1"/>
  </r>
  <r>
    <s v="e9ba3ec00ccd563b43e5de69a74a43d7"/>
    <x v="259"/>
    <n v="229.9"/>
    <n v="15.78"/>
    <n v="249.86875884191792"/>
    <n v="-19.968758841917918"/>
    <n v="-7.9916988960398047E-2"/>
    <x v="0"/>
  </r>
  <r>
    <s v="f62cbf4416c9ef8e1b4e8d5279891f24"/>
    <x v="33"/>
    <n v="13.65"/>
    <n v="19.04"/>
    <n v="12.530875628859944"/>
    <n v="1.1191243711400567"/>
    <n v="8.9309351100939335E-2"/>
    <x v="2"/>
  </r>
  <r>
    <s v="b22934d8dedd07b3033be2bf6da70bcb"/>
    <x v="616"/>
    <n v="46.9"/>
    <n v="14.1"/>
    <n v="45.547862898464238"/>
    <n v="1.3521371015357602"/>
    <n v="2.9686071211506848E-2"/>
    <x v="1"/>
  </r>
  <r>
    <s v="b4af6057abfd298e3bddc365a8fe14ed"/>
    <x v="617"/>
    <n v="119.9"/>
    <n v="23.12"/>
    <n v="116.64945043950765"/>
    <n v="3.2505495604923595"/>
    <n v="2.7865965491007928E-2"/>
    <x v="1"/>
  </r>
  <r>
    <s v="9545d45c37449ccbc376de3a04c66e71"/>
    <x v="97"/>
    <n v="135.9"/>
    <n v="21.88"/>
    <n v="147.70761638825684"/>
    <n v="-11.807616388256832"/>
    <n v="-7.9939116729227586E-2"/>
    <x v="0"/>
  </r>
  <r>
    <s v="0bb7cb61f1957f79dac582ab66ccdc1f"/>
    <x v="592"/>
    <n v="23.9"/>
    <n v="9.34"/>
    <n v="23.179058023145242"/>
    <n v="0.72094197685475692"/>
    <n v="3.1103161143773261E-2"/>
    <x v="1"/>
  </r>
  <r>
    <s v="a4aa7c1427c31344e5f7cc3d839fe562"/>
    <x v="461"/>
    <n v="110"/>
    <n v="36.43"/>
    <n v="105.59682636634109"/>
    <n v="4.4031736336589091"/>
    <n v="4.1697973179451703E-2"/>
    <x v="1"/>
  </r>
  <r>
    <s v="a42680488264322b4082817cfb32d64d"/>
    <x v="618"/>
    <n v="276.99"/>
    <n v="14.6"/>
    <n v="298.76102657633317"/>
    <n v="-21.771026576333156"/>
    <n v="-7.2871039525534226E-2"/>
    <x v="0"/>
  </r>
  <r>
    <s v="f10f55939660d23138e46c72acb7498b"/>
    <x v="619"/>
    <n v="364.98"/>
    <n v="39.24"/>
    <n v="395.35476929781203"/>
    <n v="-30.374769297812009"/>
    <n v="-7.6829146014250727E-2"/>
    <x v="0"/>
  </r>
  <r>
    <s v="173e9fe34bfe97f3a5e6dc57fe897b74"/>
    <x v="9"/>
    <n v="57.49"/>
    <n v="11.15"/>
    <n v="56.706892709238033"/>
    <n v="0.7831072907619685"/>
    <n v="1.3809737288504148E-2"/>
    <x v="1"/>
  </r>
  <r>
    <s v="14555ba663de8689feacf1d0819cc3b3"/>
    <x v="73"/>
    <n v="119.3"/>
    <n v="18.670000000000002"/>
    <n v="115.4039487350437"/>
    <n v="3.8960512649562986"/>
    <n v="3.3760120928801624E-2"/>
    <x v="1"/>
  </r>
  <r>
    <s v="b38b25d838ae0b8385e8cc68b9017644"/>
    <x v="620"/>
    <n v="180"/>
    <n v="8.2899999999999991"/>
    <n v="181.39348015996811"/>
    <n v="-1.3934801599681066"/>
    <n v="-7.6820851484806288E-3"/>
    <x v="1"/>
  </r>
  <r>
    <s v="913b240ad06c85be83709dffc26d59f6"/>
    <x v="269"/>
    <n v="37.9"/>
    <n v="52.71"/>
    <n v="35.237414475401479"/>
    <n v="2.6625855245985193"/>
    <n v="7.556131924654165E-2"/>
    <x v="2"/>
  </r>
  <r>
    <s v="2582fbe637afdcd03817b1b16b78fd60"/>
    <x v="264"/>
    <n v="59.9"/>
    <n v="43.22"/>
    <n v="62.254138758156977"/>
    <n v="-2.3541387581569779"/>
    <n v="-3.7814975921557054E-2"/>
    <x v="1"/>
  </r>
  <r>
    <s v="ab29983671266e9f7c999f8c6ce26541"/>
    <x v="621"/>
    <n v="32.5"/>
    <n v="17.190000000000001"/>
    <n v="29.475141809226013"/>
    <n v="3.0248581907739869"/>
    <n v="0.1026240419928082"/>
    <x v="2"/>
  </r>
  <r>
    <s v="ab29983671266e9f7c999f8c6ce26541"/>
    <x v="621"/>
    <n v="32.5"/>
    <n v="17.190000000000001"/>
    <n v="33.066992968921696"/>
    <n v="-0.56699296892169571"/>
    <n v="-1.7146795581158197E-2"/>
    <x v="1"/>
  </r>
  <r>
    <s v="ab29983671266e9f7c999f8c6ce26541"/>
    <x v="621"/>
    <n v="32.5"/>
    <n v="17.190000000000001"/>
    <n v="33.43369321804883"/>
    <n v="-0.93369321804883043"/>
    <n v="-2.7926714884875053E-2"/>
    <x v="1"/>
  </r>
  <r>
    <s v="74fc0f00f12925f590846cc41144df80"/>
    <x v="622"/>
    <n v="37.9"/>
    <n v="12.93"/>
    <n v="40.392925255450322"/>
    <n v="-2.4929252554503236"/>
    <n v="-6.1716878381170147E-2"/>
    <x v="0"/>
  </r>
  <r>
    <s v="f5307d7c949134b78e68c51c13cc426e"/>
    <x v="48"/>
    <n v="199.9"/>
    <n v="10.53"/>
    <n v="206.94846389042388"/>
    <n v="-7.048463890423875"/>
    <n v="-3.405902975996928E-2"/>
    <x v="1"/>
  </r>
  <r>
    <s v="638882546765f357dc667b5987ceb69d"/>
    <x v="623"/>
    <n v="95.99"/>
    <n v="12.38"/>
    <n v="99.149098739812999"/>
    <n v="-3.1590987398130039"/>
    <n v="-3.1862102429222362E-2"/>
    <x v="1"/>
  </r>
  <r>
    <s v="638882546765f357dc667b5987ceb69d"/>
    <x v="623"/>
    <n v="95.99"/>
    <n v="12.38"/>
    <n v="94.157523601106618"/>
    <n v="1.8324763988933768"/>
    <n v="1.946181599525245E-2"/>
    <x v="1"/>
  </r>
  <r>
    <s v="1fd95182c672cf5b10c82207ca5dab97"/>
    <x v="264"/>
    <n v="69.900000000000006"/>
    <n v="16.25"/>
    <n v="67.647768177132718"/>
    <n v="2.2522318228672873"/>
    <n v="3.3293512610348311E-2"/>
    <x v="1"/>
  </r>
  <r>
    <s v="d3a8b40808854363a045f0f4131b0894"/>
    <x v="17"/>
    <n v="113"/>
    <n v="13.81"/>
    <n v="116.49495716243385"/>
    <n v="-3.4949571624338489"/>
    <n v="-3.0000930920646481E-2"/>
    <x v="1"/>
  </r>
  <r>
    <s v="d3a8b40808854363a045f0f4131b0894"/>
    <x v="17"/>
    <n v="113"/>
    <n v="13.81"/>
    <n v="112.86094802397257"/>
    <n v="0.13905197602743158"/>
    <n v="1.2320645755863741E-3"/>
    <x v="1"/>
  </r>
  <r>
    <s v="ce6bbfa347690099b21b9d688772d5ab"/>
    <x v="260"/>
    <n v="169.99"/>
    <n v="15.95"/>
    <n v="153.99779272838867"/>
    <n v="15.992207271611335"/>
    <n v="0.10384699019561504"/>
    <x v="2"/>
  </r>
  <r>
    <s v="1b0e39ec889889ea1d492603d8512bfb"/>
    <x v="592"/>
    <n v="39.9"/>
    <n v="15.1"/>
    <n v="37.154062695533661"/>
    <n v="2.745937304466338"/>
    <n v="7.3906784487297289E-2"/>
    <x v="2"/>
  </r>
  <r>
    <s v="cd46a885543f0e169a49f1eb25c04e43"/>
    <x v="423"/>
    <n v="99.99"/>
    <n v="19.940000000000001"/>
    <n v="107.0520199282215"/>
    <n v="-7.0620199282215026"/>
    <n v="-6.5968114688135682E-2"/>
    <x v="0"/>
  </r>
  <r>
    <s v="7e0dc102074f8285580c9777f79c90cf"/>
    <x v="592"/>
    <n v="34.9"/>
    <n v="9.34"/>
    <n v="34.476772986123009"/>
    <n v="0.42322701387698913"/>
    <n v="1.2275714262681692E-2"/>
    <x v="1"/>
  </r>
  <r>
    <s v="f83c9874b5b5044ea58fef1be68c1ea8"/>
    <x v="119"/>
    <n v="132.69999999999999"/>
    <n v="25.68"/>
    <n v="130.50546981152183"/>
    <n v="2.1945301884781543"/>
    <n v="1.6815618469076671E-2"/>
    <x v="1"/>
  </r>
  <r>
    <s v="dca18a6e2fb6da75092ed874094ed7b6"/>
    <x v="38"/>
    <n v="31.89"/>
    <n v="15.79"/>
    <n v="28.732566888643564"/>
    <n v="3.1574331113564362"/>
    <n v="0.10989039453361195"/>
    <x v="2"/>
  </r>
  <r>
    <s v="3ecb405a579723d0b1b5161dd32daf28"/>
    <x v="624"/>
    <n v="12.99"/>
    <n v="7.39"/>
    <n v="12.848722045045257"/>
    <n v="0.14127795495474338"/>
    <n v="1.0995486902078576E-2"/>
    <x v="1"/>
  </r>
  <r>
    <s v="9fe172fa8e662ca8572cf12abf8bce23"/>
    <x v="131"/>
    <n v="49.9"/>
    <n v="7.78"/>
    <n v="52.354003274097323"/>
    <n v="-2.4540032740973245"/>
    <n v="-4.6873268912206903E-2"/>
    <x v="1"/>
  </r>
  <r>
    <s v="d285360f29ac7fd97640bf0baef03de0"/>
    <x v="471"/>
    <n v="154.91"/>
    <n v="16.18"/>
    <n v="159.82454927722432"/>
    <n v="-4.9145492772243244"/>
    <n v="-3.0749652036870589E-2"/>
    <x v="1"/>
  </r>
  <r>
    <s v="0eb8e03d4ef83152c4642b606b5bbdec"/>
    <x v="625"/>
    <n v="29.99"/>
    <n v="15.16"/>
    <n v="29.90899624858957"/>
    <n v="8.1003751410428038E-2"/>
    <n v="2.7083406857643364E-3"/>
    <x v="1"/>
  </r>
  <r>
    <s v="5373e18844eec682770d139ba29cd32c"/>
    <x v="290"/>
    <n v="50"/>
    <n v="15.1"/>
    <n v="48.427332673161345"/>
    <n v="1.5726673268386548"/>
    <n v="3.2474787274630025E-2"/>
    <x v="1"/>
  </r>
  <r>
    <s v="389d119b48cf3043d311335e499d9c6b"/>
    <x v="13"/>
    <n v="49.9"/>
    <n v="13.37"/>
    <n v="46.535286347555555"/>
    <n v="3.3647136524444434"/>
    <n v="7.230456534240684E-2"/>
    <x v="2"/>
  </r>
  <r>
    <s v="8bab563be2e3316280e3990af91da7b7"/>
    <x v="204"/>
    <n v="18.899999999999999"/>
    <n v="13.47"/>
    <n v="19.148679475257701"/>
    <n v="-0.24867947525770262"/>
    <n v="-1.2986768909001016E-2"/>
    <x v="1"/>
  </r>
  <r>
    <s v="c6336fa91fbd87c359e44f5dca5a90ed"/>
    <x v="142"/>
    <n v="39.9"/>
    <n v="17.63"/>
    <n v="36.873697990739444"/>
    <n v="3.0263020092605544"/>
    <n v="8.2072104892234779E-2"/>
    <x v="2"/>
  </r>
  <r>
    <s v="561cea7963070b5a99b20b962862a0e1"/>
    <x v="375"/>
    <n v="19"/>
    <n v="16.11"/>
    <n v="20.791918268300357"/>
    <n v="-1.7919182683003569"/>
    <n v="-8.6183402857654551E-2"/>
    <x v="0"/>
  </r>
  <r>
    <s v="2efbce46d36d9af306d4300db163b276"/>
    <x v="626"/>
    <n v="119.9"/>
    <n v="15.94"/>
    <n v="131.77200967069368"/>
    <n v="-11.872009670693672"/>
    <n v="-9.0095079375070247E-2"/>
    <x v="0"/>
  </r>
  <r>
    <s v="74b682dc1f077ca680e639b504f4effe"/>
    <x v="120"/>
    <n v="35.9"/>
    <n v="11.85"/>
    <n v="36.585089427917971"/>
    <n v="-0.68508942791797267"/>
    <n v="-1.8725919182670712E-2"/>
    <x v="1"/>
  </r>
  <r>
    <s v="f1da618218e0af87b633532b561f5e6d"/>
    <x v="627"/>
    <n v="149.9"/>
    <n v="23.98"/>
    <n v="145.0351287766276"/>
    <n v="4.8648712233724041"/>
    <n v="3.3542709717346617E-2"/>
    <x v="1"/>
  </r>
  <r>
    <s v="cd89ce90d4c33b04851f90bcf1ec521a"/>
    <x v="628"/>
    <n v="124.7"/>
    <n v="19.84"/>
    <n v="136.6787233144845"/>
    <n v="-11.978723314484498"/>
    <n v="-8.7641463308979081E-2"/>
    <x v="0"/>
  </r>
  <r>
    <s v="ff28477a5bcb2fc34bb86a6c2eea1566"/>
    <x v="159"/>
    <n v="239.9"/>
    <n v="17.309999999999999"/>
    <n v="247.32602103866762"/>
    <n v="-7.4260210386676135"/>
    <n v="-3.0025231504074573E-2"/>
    <x v="1"/>
  </r>
  <r>
    <s v="99008b78e9206243c95a95cf02a71905"/>
    <x v="629"/>
    <n v="269.89999999999998"/>
    <n v="12.51"/>
    <n v="290.88176080976228"/>
    <n v="-20.981760809762307"/>
    <n v="-7.2131579344654931E-2"/>
    <x v="0"/>
  </r>
  <r>
    <s v="81a3d1dc085d3226530f23cd4af5030b"/>
    <x v="516"/>
    <n v="35.9"/>
    <n v="9"/>
    <n v="35.385646384066746"/>
    <n v="0.51435361593325268"/>
    <n v="1.4535656925709092E-2"/>
    <x v="1"/>
  </r>
  <r>
    <s v="ccf72249cc35d9121279de015c5657fc"/>
    <x v="630"/>
    <n v="46.9"/>
    <n v="28.75"/>
    <n v="50.88897536165161"/>
    <n v="-3.9889753616516117"/>
    <n v="-7.8385845525543493E-2"/>
    <x v="0"/>
  </r>
  <r>
    <s v="c94d19d021d4a8fbae5a45f904aeea90"/>
    <x v="631"/>
    <n v="103.97"/>
    <n v="24.01"/>
    <n v="106.98414571323201"/>
    <n v="-3.0141457132320113"/>
    <n v="-2.8173760636565199E-2"/>
    <x v="1"/>
  </r>
  <r>
    <s v="c94d19d021d4a8fbae5a45f904aeea90"/>
    <x v="631"/>
    <n v="103.97"/>
    <n v="24.01"/>
    <n v="110.93529007254948"/>
    <n v="-6.9652900725494789"/>
    <n v="-6.2786964076033125E-2"/>
    <x v="0"/>
  </r>
  <r>
    <s v="0a57f7d2c983bcf8188589a5fea4a8da"/>
    <x v="87"/>
    <n v="117"/>
    <n v="15.57"/>
    <n v="128.04239803632049"/>
    <n v="-11.042398036320492"/>
    <n v="-8.6240168925828822E-2"/>
    <x v="0"/>
  </r>
  <r>
    <s v="725cbfcaff95a4d43742fdf13cf43c75"/>
    <x v="23"/>
    <n v="48.9"/>
    <n v="11.73"/>
    <n v="44.189188692337254"/>
    <n v="4.7108113076627447"/>
    <n v="0.10660551702954518"/>
    <x v="2"/>
  </r>
  <r>
    <s v="4a0c2a56e65c941a0bb9874c47dd66d8"/>
    <x v="235"/>
    <n v="84.99"/>
    <n v="17.84"/>
    <n v="90.412628239308162"/>
    <n v="-5.4226282393081675"/>
    <n v="-5.9976447371437029E-2"/>
    <x v="0"/>
  </r>
  <r>
    <s v="aa6746e94490239d3d9ee6ab89779aba"/>
    <x v="525"/>
    <n v="46.9"/>
    <n v="8.8800000000000008"/>
    <n v="50.987680348212891"/>
    <n v="-4.0876803482128921"/>
    <n v="-8.0169961063077944E-2"/>
    <x v="0"/>
  </r>
  <r>
    <s v="d8cabd83757ecf48a7d2628dee9135c1"/>
    <x v="16"/>
    <n v="189"/>
    <n v="58.78"/>
    <n v="170.2153481267857"/>
    <n v="18.784651873214301"/>
    <n v="0.11035815559489069"/>
    <x v="2"/>
  </r>
  <r>
    <s v="059ca09d32720d9adce3ae12e181339d"/>
    <x v="104"/>
    <n v="109.9"/>
    <n v="18.05"/>
    <n v="101.88053777150979"/>
    <n v="8.0194622284902124"/>
    <n v="7.8714368847126376E-2"/>
    <x v="2"/>
  </r>
  <r>
    <s v="fb69f3c3b63f63da92e215ddf61e0b01"/>
    <x v="17"/>
    <n v="91"/>
    <n v="12.98"/>
    <n v="96.289533650559051"/>
    <n v="-5.2895336505590507"/>
    <n v="-5.4933630375188135E-2"/>
    <x v="0"/>
  </r>
  <r>
    <s v="8626b155de04e2d0d6e1e907fbcf0cd2"/>
    <x v="257"/>
    <n v="45.7"/>
    <n v="20.43"/>
    <n v="41.517969413876123"/>
    <n v="4.1820305861238793"/>
    <n v="0.10072820624811585"/>
    <x v="2"/>
  </r>
  <r>
    <s v="9d8a0e115e802d845b4ce1eb794d1260"/>
    <x v="321"/>
    <n v="120"/>
    <n v="16.28"/>
    <n v="131.86954174528768"/>
    <n v="-11.869541745287677"/>
    <n v="-9.0009729223252052E-2"/>
    <x v="0"/>
  </r>
  <r>
    <s v="11875b30b49585209e608f40e8082e65"/>
    <x v="297"/>
    <n v="65"/>
    <n v="15.2"/>
    <n v="70.895335075660554"/>
    <n v="-5.8953350756605545"/>
    <n v="-8.3155472350458115E-2"/>
    <x v="0"/>
  </r>
  <r>
    <s v="63bd0e7bb0fdb40cbd6777aa5c7d5a56"/>
    <x v="632"/>
    <n v="80"/>
    <n v="27.32"/>
    <n v="75.889837539076652"/>
    <n v="4.1101624609233482"/>
    <n v="5.4159589665835992E-2"/>
    <x v="2"/>
  </r>
  <r>
    <s v="a8f944abeac7d4fc5f2663bd8f22f931"/>
    <x v="633"/>
    <n v="89.9"/>
    <n v="1.37"/>
    <n v="92.771844640598303"/>
    <n v="-2.8718446405982974"/>
    <n v="-3.0955993725509438E-2"/>
    <x v="1"/>
  </r>
  <r>
    <s v="db5efde3ad0cc579b130d71c4b2db522"/>
    <x v="87"/>
    <n v="189"/>
    <n v="12.82"/>
    <n v="187.1545310800629"/>
    <n v="1.8454689199371046"/>
    <n v="9.8606691982660623E-3"/>
    <x v="1"/>
  </r>
  <r>
    <s v="c7f27c5bef2338541c772b5776403e6a"/>
    <x v="244"/>
    <n v="24.9"/>
    <n v="8.33"/>
    <n v="24.348440359097228"/>
    <n v="0.5515596409027701"/>
    <n v="2.2652770886686081E-2"/>
    <x v="1"/>
  </r>
  <r>
    <s v="0e323ee8f8dc60a0b875e9ac4daf1337"/>
    <x v="505"/>
    <n v="49.9"/>
    <n v="14.1"/>
    <n v="49.138812634463683"/>
    <n v="0.7611873655363155"/>
    <n v="1.5490552675716343E-2"/>
    <x v="1"/>
  </r>
  <r>
    <s v="f699b297070aa38aaf3de9639302506a"/>
    <x v="139"/>
    <n v="125"/>
    <n v="23.45"/>
    <n v="118.46798351170619"/>
    <n v="6.5320164882938059"/>
    <n v="5.5137399107062175E-2"/>
    <x v="2"/>
  </r>
  <r>
    <s v="867dda95bbba37fe56fa288449fa122f"/>
    <x v="382"/>
    <n v="49.9"/>
    <n v="13.71"/>
    <n v="46.668918286263597"/>
    <n v="3.2310817137364012"/>
    <n v="6.9234124817661113E-2"/>
    <x v="2"/>
  </r>
  <r>
    <s v="867dda95bbba37fe56fa288449fa122f"/>
    <x v="382"/>
    <n v="49.9"/>
    <n v="13.71"/>
    <n v="47.418308263689759"/>
    <n v="2.4816917363102391"/>
    <n v="5.233615089154451E-2"/>
    <x v="2"/>
  </r>
  <r>
    <s v="70d01ae15a5d5ee38388b90c0470d9b0"/>
    <x v="361"/>
    <n v="89.99"/>
    <n v="18.2"/>
    <n v="96.016434458156382"/>
    <n v="-6.0264344581563876"/>
    <n v="-6.2764614122207241E-2"/>
    <x v="0"/>
  </r>
  <r>
    <s v="a04f52ded97b5530e8783e3c002b90f0"/>
    <x v="293"/>
    <n v="79.900000000000006"/>
    <n v="9.77"/>
    <n v="78.944559008433259"/>
    <n v="0.95544099156674633"/>
    <n v="1.2102683244638573E-2"/>
    <x v="1"/>
  </r>
  <r>
    <s v="430f4c8e02bd4e1fe6330c38689b54f3"/>
    <x v="293"/>
    <n v="79.900000000000006"/>
    <n v="9.77"/>
    <n v="72.176092085766058"/>
    <n v="7.7239079142339477"/>
    <n v="0.10701477027955064"/>
    <x v="2"/>
  </r>
  <r>
    <s v="68bf2e76db1d8e846042e54da87399ca"/>
    <x v="236"/>
    <n v="85.9"/>
    <n v="21.09"/>
    <n v="89.796388767636088"/>
    <n v="-3.8963887676360827"/>
    <n v="-4.3391374877208844E-2"/>
    <x v="1"/>
  </r>
  <r>
    <s v="252641aa4855aef622089db60c4ad90a"/>
    <x v="96"/>
    <n v="169.97"/>
    <n v="17.899999999999999"/>
    <n v="175.85292331364664"/>
    <n v="-5.8829233136466428"/>
    <n v="-3.3453656628465687E-2"/>
    <x v="1"/>
  </r>
  <r>
    <s v="53759a2ecddad2bb87a079a1f1519f73"/>
    <x v="13"/>
    <n v="49"/>
    <n v="17.670000000000002"/>
    <n v="46.235740285394726"/>
    <n v="2.7642597146052736"/>
    <n v="5.9786210787209297E-2"/>
    <x v="2"/>
  </r>
  <r>
    <s v="dbb67791e405873b259e4656bf971246"/>
    <x v="575"/>
    <n v="81.99"/>
    <n v="12.07"/>
    <n v="77.305739668895143"/>
    <n v="4.6842603311048521"/>
    <n v="6.0593952676318785E-2"/>
    <x v="2"/>
  </r>
  <r>
    <s v="dbb67791e405873b259e4656bf971246"/>
    <x v="575"/>
    <n v="81.99"/>
    <n v="12.07"/>
    <n v="84.118064682362387"/>
    <n v="-2.1280646823623925"/>
    <n v="-2.5298545447974368E-2"/>
    <x v="1"/>
  </r>
  <r>
    <s v="88e59749c8b39fd1a9b7458147e0dc62"/>
    <x v="406"/>
    <n v="155.9"/>
    <n v="45.01"/>
    <n v="151.75334672237352"/>
    <n v="4.1466532776264842"/>
    <n v="2.732495438939225E-2"/>
    <x v="1"/>
  </r>
  <r>
    <s v="88e59749c8b39fd1a9b7458147e0dc62"/>
    <x v="406"/>
    <n v="155.9"/>
    <n v="45.01"/>
    <n v="167.65293646522008"/>
    <n v="-11.752936465220074"/>
    <n v="-7.010277727916947E-2"/>
    <x v="0"/>
  </r>
  <r>
    <s v="23365beed316535b4105bd800c46670e"/>
    <x v="32"/>
    <n v="12.5"/>
    <n v="15.1"/>
    <n v="12.416592553472118"/>
    <n v="8.3407446527882456E-2"/>
    <n v="6.7174183391045389E-3"/>
    <x v="1"/>
  </r>
  <r>
    <s v="20f160a9cf2e856ee5eba259e9ae33f9"/>
    <x v="166"/>
    <n v="167.92"/>
    <n v="12.68"/>
    <n v="163.3039624151223"/>
    <n v="4.616037584877688"/>
    <n v="2.8266537545143074E-2"/>
    <x v="1"/>
  </r>
  <r>
    <s v="e5ae72c62ebfa708624f5029d609b160"/>
    <x v="86"/>
    <n v="64.89"/>
    <n v="8.27"/>
    <n v="71.251978592559112"/>
    <n v="-6.3619785925591117"/>
    <n v="-8.928844809965035E-2"/>
    <x v="0"/>
  </r>
  <r>
    <s v="cc68bcd2a2720e95aef8b6cb71f62ed9"/>
    <x v="31"/>
    <n v="19.329999999999998"/>
    <n v="10.96"/>
    <n v="20.603941040860342"/>
    <n v="-1.2739410408603433"/>
    <n v="-6.182996924393977E-2"/>
    <x v="0"/>
  </r>
  <r>
    <s v="ee6c49af1a2de55aa0e076257ab4ab99"/>
    <x v="177"/>
    <n v="144.41"/>
    <n v="17.45"/>
    <n v="134.74288178886599"/>
    <n v="9.6671182111340102"/>
    <n v="7.1744926951182508E-2"/>
    <x v="2"/>
  </r>
  <r>
    <s v="f71a7c95a86564873cd996896b2976f6"/>
    <x v="52"/>
    <n v="90"/>
    <n v="8.98"/>
    <n v="98.362047908325465"/>
    <n v="-8.3620479083254651"/>
    <n v="-8.5012950483899924E-2"/>
    <x v="0"/>
  </r>
  <r>
    <s v="525d714f91bdf4dc6849c3ed6323e6a8"/>
    <x v="120"/>
    <n v="130"/>
    <n v="17.350000000000001"/>
    <n v="119.96583248072572"/>
    <n v="10.034167519274277"/>
    <n v="8.3641877956262364E-2"/>
    <x v="2"/>
  </r>
  <r>
    <s v="caf230c721f149691d0307f0868beac6"/>
    <x v="430"/>
    <n v="39"/>
    <n v="18.23"/>
    <n v="36.99496614188417"/>
    <n v="2.00503385811583"/>
    <n v="5.4197477852150636E-2"/>
    <x v="2"/>
  </r>
  <r>
    <s v="668e8ee8f69c3545109fc40f72336e8f"/>
    <x v="492"/>
    <n v="89.9"/>
    <n v="19.82"/>
    <n v="97.029954455762891"/>
    <n v="-7.1299544557628849"/>
    <n v="-7.3481993223170228E-2"/>
    <x v="0"/>
  </r>
  <r>
    <s v="48401d4a555fd20aa93a202a4ed3b598"/>
    <x v="634"/>
    <n v="109.99"/>
    <n v="16.21"/>
    <n v="116.8671203957901"/>
    <n v="-6.8771203957901008"/>
    <n v="-5.8845639154105789E-2"/>
    <x v="0"/>
  </r>
  <r>
    <s v="c2613aec0520c43e665ff0d037adbfa7"/>
    <x v="179"/>
    <n v="34.99"/>
    <n v="10.96"/>
    <n v="35.426863551869801"/>
    <n v="-0.43686355186979853"/>
    <n v="-1.233142051173032E-2"/>
    <x v="1"/>
  </r>
  <r>
    <s v="e44f675b60b3a3a2453ec36421e06f0f"/>
    <x v="17"/>
    <n v="107"/>
    <n v="12.25"/>
    <n v="116.53726188130241"/>
    <n v="-9.5372618813024133"/>
    <n v="-8.1838733185755408E-2"/>
    <x v="0"/>
  </r>
  <r>
    <s v="3a362c0e7f9a69276e2d95869a3e143b"/>
    <x v="102"/>
    <n v="110.32"/>
    <n v="7.96"/>
    <n v="119.19867768143405"/>
    <n v="-8.8786776814340556"/>
    <n v="-7.4486377316725597E-2"/>
    <x v="0"/>
  </r>
  <r>
    <s v="3a362c0e7f9a69276e2d95869a3e143b"/>
    <x v="102"/>
    <n v="110.32"/>
    <n v="7.96"/>
    <n v="118.20422251959091"/>
    <n v="-7.8842225195909208"/>
    <n v="-6.670000742388206E-2"/>
    <x v="0"/>
  </r>
  <r>
    <s v="660422061e06da17ca6101e9d6b7aae8"/>
    <x v="257"/>
    <n v="649"/>
    <n v="169.12"/>
    <n v="712.7663556900435"/>
    <n v="-63.766355690043497"/>
    <n v="-8.9463195310769128E-2"/>
    <x v="0"/>
  </r>
  <r>
    <s v="e1b36152443e58d382896be5d3af22d4"/>
    <x v="635"/>
    <n v="19.899999999999999"/>
    <n v="25.38"/>
    <n v="21.492948359377756"/>
    <n v="-1.5929483593777576"/>
    <n v="-7.4114929824540612E-2"/>
    <x v="0"/>
  </r>
  <r>
    <s v="2ffb8b836bb62d53a77a69a67814fffa"/>
    <x v="171"/>
    <n v="44.55"/>
    <n v="11.74"/>
    <n v="48.288927656118481"/>
    <n v="-3.7389276561184843"/>
    <n v="-7.7428260216185207E-2"/>
    <x v="0"/>
  </r>
  <r>
    <s v="7c1bd920dbdf22470b68bde975dd3ccf"/>
    <x v="10"/>
    <n v="58.99"/>
    <n v="11.73"/>
    <n v="53.607168671390497"/>
    <n v="5.3828313286095053"/>
    <n v="0.10041252806328975"/>
    <x v="2"/>
  </r>
  <r>
    <s v="5ac9d9e379c606e36a8094a6046f75dc"/>
    <x v="636"/>
    <n v="109.9"/>
    <n v="14.52"/>
    <n v="113.2521925832539"/>
    <n v="-3.3521925832538955"/>
    <n v="-2.9599361449798273E-2"/>
    <x v="1"/>
  </r>
  <r>
    <s v="bd6e6fce9ada76ea2db0f1912e8e478f"/>
    <x v="65"/>
    <n v="56.99"/>
    <n v="13.98"/>
    <n v="60.407497587062771"/>
    <n v="-3.4174975870627691"/>
    <n v="-5.657406321354852E-2"/>
    <x v="0"/>
  </r>
  <r>
    <s v="d696750e550fd0f733979dd7e5dff921"/>
    <x v="583"/>
    <n v="169.99"/>
    <n v="36.51"/>
    <n v="154.8559924425941"/>
    <n v="15.134007557405909"/>
    <n v="9.7729557111044071E-2"/>
    <x v="2"/>
  </r>
  <r>
    <s v="99a4788cb24856965c36a24e339b6058"/>
    <x v="12"/>
    <n v="89.9"/>
    <n v="12.13"/>
    <n v="95.201927733251253"/>
    <n v="-5.3019277332512473"/>
    <n v="-5.5691390494810734E-2"/>
    <x v="0"/>
  </r>
  <r>
    <s v="cc7d8d232e6f5f27b70be81b68e27d6e"/>
    <x v="293"/>
    <n v="259.89999999999998"/>
    <n v="15.29"/>
    <n v="282.85427063153912"/>
    <n v="-22.954270631539146"/>
    <n v="-8.115228587600358E-2"/>
    <x v="0"/>
  </r>
  <r>
    <s v="1302fd16bdfe85e523940c846370ef2c"/>
    <x v="637"/>
    <n v="297"/>
    <n v="66.31"/>
    <n v="311.84579038274921"/>
    <n v="-14.845790382749215"/>
    <n v="-4.7606191395202037E-2"/>
    <x v="1"/>
  </r>
  <r>
    <s v="727a46f0b58a9ef165af9f7ebcfebfa9"/>
    <x v="174"/>
    <n v="19.489999999999998"/>
    <n v="18.23"/>
    <n v="20.483945991660715"/>
    <n v="-0.99394599166071629"/>
    <n v="-4.8523169904146637E-2"/>
    <x v="1"/>
  </r>
  <r>
    <s v="830102bc96abe72181372676df005601"/>
    <x v="252"/>
    <n v="159.99"/>
    <n v="27.2"/>
    <n v="170.82002855877198"/>
    <n v="-10.830028558771971"/>
    <n v="-6.3400226836080958E-2"/>
    <x v="0"/>
  </r>
  <r>
    <s v="d6c2073fdc29a2931d1900fe474134ec"/>
    <x v="58"/>
    <n v="69"/>
    <n v="12.92"/>
    <n v="73.832114070252388"/>
    <n v="-4.8321140702523877"/>
    <n v="-6.5447321007963521E-2"/>
    <x v="0"/>
  </r>
  <r>
    <s v="217cb0f28c6def3c3be057a952d78189"/>
    <x v="162"/>
    <n v="89.9"/>
    <n v="19.600000000000001"/>
    <n v="81.117981149550062"/>
    <n v="8.7820188504499441"/>
    <n v="0.1082622955600844"/>
    <x v="2"/>
  </r>
  <r>
    <s v="b532349fe46b38fbc7bb3914c1bdae07"/>
    <x v="186"/>
    <n v="35"/>
    <n v="13.83"/>
    <n v="35.967341941824252"/>
    <n v="-0.96734194182425171"/>
    <n v="-2.6895007793149933E-2"/>
    <x v="1"/>
  </r>
  <r>
    <s v="b532349fe46b38fbc7bb3914c1bdae07"/>
    <x v="186"/>
    <n v="35"/>
    <n v="13.83"/>
    <n v="32.834565908140576"/>
    <n v="2.1654340918594244"/>
    <n v="6.5949831586552349E-2"/>
    <x v="2"/>
  </r>
  <r>
    <s v="461f43be3bdf8844e65b62d9ac2c7a5a"/>
    <x v="92"/>
    <n v="118"/>
    <n v="21.01"/>
    <n v="108.8428669086875"/>
    <n v="9.1571330913125024"/>
    <n v="8.4131678550830313E-2"/>
    <x v="2"/>
  </r>
  <r>
    <s v="1427b126f61597524866770b05d4eed2"/>
    <x v="90"/>
    <n v="98.81"/>
    <n v="13.81"/>
    <n v="103.94794485107903"/>
    <n v="-5.1379448510790269"/>
    <n v="-4.9428056114432094E-2"/>
    <x v="1"/>
  </r>
  <r>
    <s v="c1488892604e4ba5cff5b4eb4d595400"/>
    <x v="28"/>
    <n v="38.5"/>
    <n v="17.920000000000002"/>
    <n v="38.421012255638502"/>
    <n v="7.8987744361498358E-2"/>
    <n v="2.0558475616400881E-3"/>
    <x v="1"/>
  </r>
  <r>
    <s v="c1488892604e4ba5cff5b4eb4d595400"/>
    <x v="28"/>
    <n v="38.5"/>
    <n v="17.920000000000002"/>
    <n v="38.298781111733945"/>
    <n v="0.20121888826605527"/>
    <n v="5.2539240786544511E-3"/>
    <x v="1"/>
  </r>
  <r>
    <s v="a62e25e09e05e6faf31d90c6ec1aa3d1"/>
    <x v="138"/>
    <n v="105"/>
    <n v="25.82"/>
    <n v="95.732272249046261"/>
    <n v="9.267727750953739"/>
    <n v="9.680881413577927E-2"/>
    <x v="2"/>
  </r>
  <r>
    <s v="481aad97c80d6786a7c6096991003274"/>
    <x v="455"/>
    <n v="35"/>
    <n v="8.06"/>
    <n v="37.902834560085651"/>
    <n v="-2.9028345600856511"/>
    <n v="-7.6586212977921703E-2"/>
    <x v="0"/>
  </r>
  <r>
    <s v="617186c3d97ea56c9c683a8a3974e8c1"/>
    <x v="10"/>
    <n v="79.989999999999995"/>
    <n v="15.32"/>
    <n v="87.291693681814039"/>
    <n v="-7.3016936818140437"/>
    <n v="-8.3647061637151465E-2"/>
    <x v="0"/>
  </r>
  <r>
    <s v="cba32576375902a87170bedaed045b71"/>
    <x v="353"/>
    <n v="887"/>
    <n v="26.7"/>
    <n v="841.87471703221468"/>
    <n v="45.125282967785324"/>
    <n v="5.3600948044694147E-2"/>
    <x v="2"/>
  </r>
  <r>
    <s v="d04857e7b4b708ee8b8b9921163edba3"/>
    <x v="51"/>
    <n v="69.989999999999995"/>
    <n v="8.65"/>
    <n v="76.598757854322031"/>
    <n v="-6.608757854322036"/>
    <n v="-8.627761127524787E-2"/>
    <x v="0"/>
  </r>
  <r>
    <s v="473795a355d29305c3ea6b156833adf5"/>
    <x v="104"/>
    <n v="55.9"/>
    <n v="15.14"/>
    <n v="52.113927374240639"/>
    <n v="3.7860726257593598"/>
    <n v="7.264991944611672E-2"/>
    <x v="2"/>
  </r>
  <r>
    <s v="63940cd00d32f9443e5371765ffc4d6a"/>
    <x v="638"/>
    <n v="23.99"/>
    <n v="16.11"/>
    <n v="25.075707465671741"/>
    <n v="-1.0857074656717423"/>
    <n v="-4.3297181830584806E-2"/>
    <x v="1"/>
  </r>
  <r>
    <s v="c7c2108eae6fb6e6822c8128f5a98afd"/>
    <x v="639"/>
    <n v="64.900000000000006"/>
    <n v="13.47"/>
    <n v="67.488586639818919"/>
    <n v="-2.5885866398189137"/>
    <n v="-3.8355917180989275E-2"/>
    <x v="1"/>
  </r>
  <r>
    <s v="704706b137a32978f55b31f47aa806b5"/>
    <x v="47"/>
    <n v="234.9"/>
    <n v="20.61"/>
    <n v="236.44114221465233"/>
    <n v="-1.541142214652325"/>
    <n v="-6.5180797225772328E-3"/>
    <x v="1"/>
  </r>
  <r>
    <s v="af5dce27d2097e3cbfeb25ad9eac092c"/>
    <x v="55"/>
    <n v="199"/>
    <n v="18.64"/>
    <n v="203.30708595454175"/>
    <n v="-4.3070859545417477"/>
    <n v="-2.1185124632128103E-2"/>
    <x v="1"/>
  </r>
  <r>
    <s v="0aabfb375647d9738ad0f7b4ea3653b1"/>
    <x v="176"/>
    <n v="24.5"/>
    <n v="11.85"/>
    <n v="23.566163280490034"/>
    <n v="0.93383671950996572"/>
    <n v="3.9626166906985276E-2"/>
    <x v="1"/>
  </r>
  <r>
    <s v="cfd414b4463647f58c7775eaae06893d"/>
    <x v="145"/>
    <n v="79.900000000000006"/>
    <n v="13"/>
    <n v="73.260071761219038"/>
    <n v="6.6399282387809677"/>
    <n v="9.0635022313694774E-2"/>
    <x v="2"/>
  </r>
  <r>
    <s v="2f9c0e14be2e1e641c76a4d0b3032043"/>
    <x v="640"/>
    <n v="519"/>
    <n v="37.69"/>
    <n v="556.55981737516299"/>
    <n v="-37.559817375162993"/>
    <n v="-6.7485679351236491E-2"/>
    <x v="0"/>
  </r>
  <r>
    <s v="aca2eb7d00ea1a7b8ebd4e68314663af"/>
    <x v="52"/>
    <n v="69.900000000000006"/>
    <n v="0"/>
    <n v="73.631157548202907"/>
    <n v="-3.7311575482029014"/>
    <n v="-5.0673623401347255E-2"/>
    <x v="0"/>
  </r>
  <r>
    <s v="f940327804bdcb40342a12c93de069b8"/>
    <x v="240"/>
    <n v="24.97"/>
    <n v="18.23"/>
    <n v="25.439368478588253"/>
    <n v="-0.46936847858825459"/>
    <n v="-1.8450476826235348E-2"/>
    <x v="1"/>
  </r>
  <r>
    <s v="f940327804bdcb40342a12c93de069b8"/>
    <x v="240"/>
    <n v="24.97"/>
    <n v="18.23"/>
    <n v="22.881277947625758"/>
    <n v="2.0887220523742407"/>
    <n v="9.1285200815934928E-2"/>
    <x v="2"/>
  </r>
  <r>
    <s v="de533fe5b9448ea9792195806938dbf5"/>
    <x v="186"/>
    <n v="196.8"/>
    <n v="19.260000000000002"/>
    <n v="187.87727048719876"/>
    <n v="8.9227295128012543"/>
    <n v="4.7492330975764392E-2"/>
    <x v="1"/>
  </r>
  <r>
    <s v="a53d9459ab35c28053d6b7732fb8ca07"/>
    <x v="421"/>
    <n v="24.9"/>
    <n v="14.1"/>
    <n v="26.19420541188309"/>
    <n v="-1.294205411883091"/>
    <n v="-4.9408080586249445E-2"/>
    <x v="1"/>
  </r>
  <r>
    <s v="2b7aa376a6e728560bddb5558cc48e89"/>
    <x v="21"/>
    <n v="116.99"/>
    <n v="7.68"/>
    <n v="107.42048153716347"/>
    <n v="9.5695184628365269"/>
    <n v="8.908467292176335E-2"/>
    <x v="2"/>
  </r>
  <r>
    <s v="42a2c92a0979a949ca4ea89ec5c7b934"/>
    <x v="327"/>
    <n v="59.9"/>
    <n v="26.56"/>
    <n v="56.309105371558395"/>
    <n v="3.5908946284416032"/>
    <n v="6.377111844961679E-2"/>
    <x v="2"/>
  </r>
  <r>
    <s v="16ed6a6e3fce23b741650437fe58d65b"/>
    <x v="641"/>
    <n v="89.18"/>
    <n v="13.98"/>
    <n v="85.306747609879167"/>
    <n v="3.8732523901208396"/>
    <n v="4.5403822073182491E-2"/>
    <x v="1"/>
  </r>
  <r>
    <s v="0bcc3eeca39e1064258aa1e932269894"/>
    <x v="13"/>
    <n v="49"/>
    <n v="17.64"/>
    <n v="47.436673251974497"/>
    <n v="1.5633267480255029"/>
    <n v="3.2956078933305703E-2"/>
    <x v="1"/>
  </r>
  <r>
    <s v="bee2e070c39f3dd2f6883a17a5f0da45"/>
    <x v="112"/>
    <n v="180"/>
    <n v="19.14"/>
    <n v="170.59509425916946"/>
    <n v="9.404905740830543"/>
    <n v="5.5129989415419731E-2"/>
    <x v="2"/>
  </r>
  <r>
    <s v="d339b523c298009f15d242a3a99392c7"/>
    <x v="642"/>
    <n v="69.989999999999995"/>
    <n v="19.68"/>
    <n v="74.612032536015491"/>
    <n v="-4.6220325360154959"/>
    <n v="-6.1947548926299847E-2"/>
    <x v="0"/>
  </r>
  <r>
    <s v="d339b523c298009f15d242a3a99392c7"/>
    <x v="642"/>
    <n v="69.989999999999995"/>
    <n v="19.68"/>
    <n v="68.290657732623913"/>
    <n v="1.6993422673760818"/>
    <n v="2.4883963982737709E-2"/>
    <x v="1"/>
  </r>
  <r>
    <s v="a934e0f29d3b0843308564ed3ec07058"/>
    <x v="643"/>
    <n v="46.63"/>
    <n v="15.1"/>
    <n v="47.090244098263732"/>
    <n v="-0.46024409826372903"/>
    <n v="-9.7736613406236034E-3"/>
    <x v="1"/>
  </r>
  <r>
    <s v="363218ba55c610b750224f90bdd34be1"/>
    <x v="312"/>
    <n v="79.989999999999995"/>
    <n v="8.75"/>
    <n v="84.019917500987887"/>
    <n v="-4.0299175009878923"/>
    <n v="-4.7963835491037103E-2"/>
    <x v="1"/>
  </r>
  <r>
    <s v="363218ba55c610b750224f90bdd34be1"/>
    <x v="312"/>
    <n v="79.989999999999995"/>
    <n v="8.75"/>
    <n v="79.424237406319293"/>
    <n v="0.56576259368070225"/>
    <n v="7.1232990351089986E-3"/>
    <x v="1"/>
  </r>
  <r>
    <s v="306b0c58328826c0564cbc520787d508"/>
    <x v="157"/>
    <n v="89"/>
    <n v="14.93"/>
    <n v="81.619353492466942"/>
    <n v="7.3806465075330578"/>
    <n v="9.0427652164804945E-2"/>
    <x v="2"/>
  </r>
  <r>
    <s v="f1f01d27cb8664e16d57ef4a8075f3be"/>
    <x v="81"/>
    <n v="269.99"/>
    <n v="22.73"/>
    <n v="260.4858182332369"/>
    <n v="9.5041817667631108"/>
    <n v="3.648636932031802E-2"/>
    <x v="1"/>
  </r>
  <r>
    <s v="e03102efbc2229024c89be731f0aedcb"/>
    <x v="644"/>
    <n v="37.5"/>
    <n v="9.34"/>
    <n v="37.133222388017863"/>
    <n v="0.36677761198213688"/>
    <n v="9.8773440168900759E-3"/>
    <x v="1"/>
  </r>
  <r>
    <s v="0fa690a43af8987193508e22fd5b32ac"/>
    <x v="645"/>
    <n v="599.5"/>
    <n v="75.33"/>
    <n v="553.75083867462672"/>
    <n v="45.749161325373279"/>
    <n v="8.2616870495169761E-2"/>
    <x v="2"/>
  </r>
  <r>
    <s v="66077cc774ac8ba7c7fcb45fd8e03474"/>
    <x v="214"/>
    <n v="89.9"/>
    <n v="19.87"/>
    <n v="83.40107008967081"/>
    <n v="6.4989299103291955"/>
    <n v="7.7923819242867065E-2"/>
    <x v="2"/>
  </r>
  <r>
    <s v="d3e1006ba3735c0d44160026b6e0ced3"/>
    <x v="165"/>
    <n v="108.9"/>
    <n v="23.04"/>
    <n v="110.19934810445436"/>
    <n v="-1.2993481044543529"/>
    <n v="-1.1790887394567373E-2"/>
    <x v="1"/>
  </r>
  <r>
    <s v="198ec19b3806cc2ad217e159e4e09d58"/>
    <x v="22"/>
    <n v="95"/>
    <n v="7.92"/>
    <n v="99.496055434087722"/>
    <n v="-4.4960554340877223"/>
    <n v="-4.5188278213362784E-2"/>
    <x v="1"/>
  </r>
  <r>
    <s v="c8a06a6cf1dbd09f3273d65d3dc2da99"/>
    <x v="428"/>
    <n v="69.989999999999995"/>
    <n v="7.78"/>
    <n v="69.905468257492757"/>
    <n v="8.453174250723805E-2"/>
    <n v="1.2092293294691948E-3"/>
    <x v="1"/>
  </r>
  <r>
    <s v="7668f663b32b0678da61622125b39545"/>
    <x v="143"/>
    <n v="89.9"/>
    <n v="16.600000000000001"/>
    <n v="83.962892773746574"/>
    <n v="5.9371072262534312"/>
    <n v="7.0711084743733832E-2"/>
    <x v="2"/>
  </r>
  <r>
    <s v="c5d5fed9e3002dc5313d874d7f9a0ff0"/>
    <x v="646"/>
    <n v="349"/>
    <n v="18.72"/>
    <n v="380.42362639824154"/>
    <n v="-31.423626398241538"/>
    <n v="-8.2601668817872329E-2"/>
    <x v="0"/>
  </r>
  <r>
    <s v="664085fcb2616db929da15dc9ac204b4"/>
    <x v="20"/>
    <n v="27.99"/>
    <n v="19.04"/>
    <n v="28.48100507784255"/>
    <n v="-0.49100507784255143"/>
    <n v="-1.7239738432705105E-2"/>
    <x v="1"/>
  </r>
  <r>
    <s v="8802c7b83ddf545be6b7846f575d2fc5"/>
    <x v="647"/>
    <n v="109.9"/>
    <n v="25.61"/>
    <n v="102.69935997610597"/>
    <n v="7.2006400238940387"/>
    <n v="7.0113777004738295E-2"/>
    <x v="2"/>
  </r>
  <r>
    <s v="6c09be1fc42a113b2f3e558d7df2f133"/>
    <x v="648"/>
    <n v="45"/>
    <n v="17.25"/>
    <n v="43.043015343013295"/>
    <n v="1.9569846569867053"/>
    <n v="4.5465789080791276E-2"/>
    <x v="1"/>
  </r>
  <r>
    <s v="ee406bf28024d97771c4b1e8b7e8e219"/>
    <x v="37"/>
    <n v="144.99"/>
    <n v="20.25"/>
    <n v="142.07035958977463"/>
    <n v="2.9196404102253837"/>
    <n v="2.0550665308765235E-2"/>
    <x v="1"/>
  </r>
  <r>
    <s v="9e10ae46a3021a02f1692448ef9fa1db"/>
    <x v="558"/>
    <n v="33.9"/>
    <n v="15.1"/>
    <n v="35.160084394636961"/>
    <n v="-1.2600843946369622"/>
    <n v="-3.5838491753710504E-2"/>
    <x v="1"/>
  </r>
  <r>
    <s v="f646af315b0f3a597f69213537ca2199"/>
    <x v="345"/>
    <n v="49.9"/>
    <n v="17.920000000000002"/>
    <n v="45.962484501399366"/>
    <n v="3.9375154986006322"/>
    <n v="8.5668029944742249E-2"/>
    <x v="2"/>
  </r>
  <r>
    <s v="f646af315b0f3a597f69213537ca2199"/>
    <x v="345"/>
    <n v="49.9"/>
    <n v="17.920000000000002"/>
    <n v="48.906213760975561"/>
    <n v="0.99378623902443763"/>
    <n v="2.0320244864619304E-2"/>
    <x v="1"/>
  </r>
  <r>
    <s v="154e7e31ebfa092203795c972e5804a6"/>
    <x v="10"/>
    <n v="23.99"/>
    <n v="14.16"/>
    <n v="21.796168293785978"/>
    <n v="2.19383170621402"/>
    <n v="0.10065217320052877"/>
    <x v="2"/>
  </r>
  <r>
    <s v="d1c427060a0f73f6b889a5c7c61f2ac4"/>
    <x v="109"/>
    <n v="139"/>
    <n v="54.72"/>
    <n v="140.90955390463981"/>
    <n v="-1.9095539046398073"/>
    <n v="-1.3551628344037574E-2"/>
    <x v="1"/>
  </r>
  <r>
    <s v="7b4d5bca6951e2d3f89fa2bdfa6791aa"/>
    <x v="33"/>
    <n v="9"/>
    <n v="22.85"/>
    <n v="8.3375967060660816"/>
    <n v="0.66240329393391839"/>
    <n v="7.944774942783954E-2"/>
    <x v="2"/>
  </r>
  <r>
    <s v="e53e557d5a159f5aa2c5e995dfdf244b"/>
    <x v="127"/>
    <n v="78.900000000000006"/>
    <n v="9.6999999999999993"/>
    <n v="84.901096775543309"/>
    <n v="-6.0010967755433029"/>
    <n v="-7.0683383412686193E-2"/>
    <x v="0"/>
  </r>
  <r>
    <s v="e53e557d5a159f5aa2c5e995dfdf244b"/>
    <x v="127"/>
    <n v="78.900000000000006"/>
    <n v="9.6999999999999993"/>
    <n v="74.039135239856279"/>
    <n v="4.8608647601437269"/>
    <n v="6.5652640922892053E-2"/>
    <x v="2"/>
  </r>
  <r>
    <s v="e8f48f7c1f715c4178d57c50dc622da7"/>
    <x v="129"/>
    <n v="49.9"/>
    <n v="11.85"/>
    <n v="47.509033775518439"/>
    <n v="2.3909662244815593"/>
    <n v="5.0326559697655482E-2"/>
    <x v="2"/>
  </r>
  <r>
    <s v="53ea9da485f6aed8a6f03a85831fe021"/>
    <x v="92"/>
    <n v="230"/>
    <n v="19.489999999999998"/>
    <n v="245.67970230489905"/>
    <n v="-15.679702304899052"/>
    <n v="-6.3821724618665768E-2"/>
    <x v="0"/>
  </r>
  <r>
    <s v="386486367c1f9d4f587a8864ccb6902b"/>
    <x v="141"/>
    <n v="109.9"/>
    <n v="29.7"/>
    <n v="105.81011444769763"/>
    <n v="4.0898855523023769"/>
    <n v="3.865306803277322E-2"/>
    <x v="1"/>
  </r>
  <r>
    <s v="386486367c1f9d4f587a8864ccb6902b"/>
    <x v="141"/>
    <n v="109.9"/>
    <n v="29.7"/>
    <n v="106.52888991870586"/>
    <n v="3.3711100812941481"/>
    <n v="3.1645031539019167E-2"/>
    <x v="1"/>
  </r>
  <r>
    <s v="629e019a6f298a83aeecc7877964f935"/>
    <x v="165"/>
    <n v="119.9"/>
    <n v="25.68"/>
    <n v="116.85313573043706"/>
    <n v="3.0468642695629455"/>
    <n v="2.6074304728900145E-2"/>
    <x v="1"/>
  </r>
  <r>
    <s v="5ca739ddd646d1ba53cca4e3c099a953"/>
    <x v="649"/>
    <n v="59.9"/>
    <n v="14.73"/>
    <n v="61.274858619698577"/>
    <n v="-1.3748586196985784"/>
    <n v="-2.243756494374987E-2"/>
    <x v="1"/>
  </r>
  <r>
    <s v="7d854ab97c64ef9df2bbfaf332765786"/>
    <x v="262"/>
    <n v="64.900000000000006"/>
    <n v="26.98"/>
    <n v="67.267112517186661"/>
    <n v="-2.3671125171866549"/>
    <n v="-3.5189744714876244E-2"/>
    <x v="1"/>
  </r>
  <r>
    <s v="84a87daa85c8b432d90bc1baa0cb4388"/>
    <x v="407"/>
    <n v="59.9"/>
    <n v="15.94"/>
    <n v="65.470359563260942"/>
    <n v="-5.5703595632609435"/>
    <n v="-8.5082159322472733E-2"/>
    <x v="0"/>
  </r>
  <r>
    <s v="fdba6f37e0258dbca54eb0ed8b293ae0"/>
    <x v="407"/>
    <n v="59.9"/>
    <n v="14.72"/>
    <n v="57.823974993761389"/>
    <n v="2.0760250062386092"/>
    <n v="3.5902495573204553E-2"/>
    <x v="1"/>
  </r>
  <r>
    <s v="09c3a2ea33f044aebffecd6681e00133"/>
    <x v="186"/>
    <n v="66"/>
    <n v="21.26"/>
    <n v="66.890787973077153"/>
    <n v="-0.89078797307715263"/>
    <n v="-1.3317050076247951E-2"/>
    <x v="1"/>
  </r>
  <r>
    <s v="09c3a2ea33f044aebffecd6681e00133"/>
    <x v="186"/>
    <n v="66"/>
    <n v="21.26"/>
    <n v="62.203194964349443"/>
    <n v="3.7968050356505572"/>
    <n v="6.1038746286691904E-2"/>
    <x v="2"/>
  </r>
  <r>
    <s v="09c3a2ea33f044aebffecd6681e00133"/>
    <x v="186"/>
    <n v="66"/>
    <n v="21.26"/>
    <n v="59.640844999745333"/>
    <n v="6.3591550002546668"/>
    <n v="0.10662416000782383"/>
    <x v="2"/>
  </r>
  <r>
    <s v="f0aeff7723abbe804226f96c5b1db7ef"/>
    <x v="145"/>
    <n v="18.899999999999999"/>
    <n v="15.1"/>
    <n v="17.980135394369395"/>
    <n v="0.9198646056306039"/>
    <n v="5.1160048879201767E-2"/>
    <x v="2"/>
  </r>
  <r>
    <s v="671d1f1a67e731435bc7a91569004038"/>
    <x v="181"/>
    <n v="41.5"/>
    <n v="22.67"/>
    <n v="40.667775915164619"/>
    <n v="0.83222408483538146"/>
    <n v="2.0463968488747701E-2"/>
    <x v="1"/>
  </r>
  <r>
    <s v="f20a14d45e85b05ef554d10d7283f7da"/>
    <x v="179"/>
    <n v="39.99"/>
    <n v="12.94"/>
    <n v="37.272965622280616"/>
    <n v="2.7170343777193864"/>
    <n v="7.2895578131707023E-2"/>
    <x v="2"/>
  </r>
  <r>
    <s v="2a2d22ae30e026f1893083c8405ca522"/>
    <x v="236"/>
    <n v="134.9"/>
    <n v="33.39"/>
    <n v="132.98480204622714"/>
    <n v="1.9151979537728607"/>
    <n v="1.4401630293867073E-2"/>
    <x v="1"/>
  </r>
  <r>
    <s v="1164c17af70425821f88bfbdc9e907a3"/>
    <x v="170"/>
    <n v="50"/>
    <n v="11.85"/>
    <n v="52.968660255257682"/>
    <n v="-2.9686602552576815"/>
    <n v="-5.6045598301931975E-2"/>
    <x v="0"/>
  </r>
  <r>
    <s v="bb42f37fc3d9130e4a4339d24a47dd7c"/>
    <x v="293"/>
    <n v="44.9"/>
    <n v="8.4700000000000006"/>
    <n v="47.405256702565673"/>
    <n v="-2.5052567025656742"/>
    <n v="-5.2847656079248372E-2"/>
    <x v="0"/>
  </r>
  <r>
    <s v="927225847efa8853ebf52c9b5b9b8cc6"/>
    <x v="69"/>
    <n v="59.99"/>
    <n v="18.350000000000001"/>
    <n v="65.609986464117625"/>
    <n v="-5.6199864641176234"/>
    <n v="-8.565748549866288E-2"/>
    <x v="0"/>
  </r>
  <r>
    <s v="cc971e0365873137b8bef2ebad633e6f"/>
    <x v="37"/>
    <n v="219.99"/>
    <n v="19.82"/>
    <n v="198.2847355988508"/>
    <n v="21.705264401149208"/>
    <n v="0.10946513021083508"/>
    <x v="2"/>
  </r>
  <r>
    <s v="18241450338cbc5751c433970f3f1060"/>
    <x v="141"/>
    <n v="66.290000000000006"/>
    <n v="12.8"/>
    <n v="60.680645588159152"/>
    <n v="5.6093544118408545"/>
    <n v="9.2440585584927085E-2"/>
    <x v="2"/>
  </r>
  <r>
    <s v="7564c1759c04fc0a38f2aa84f7a370ee"/>
    <x v="440"/>
    <n v="42.97"/>
    <n v="23.1"/>
    <n v="41.107868141483003"/>
    <n v="1.8621318585169959"/>
    <n v="4.5298672558450458E-2"/>
    <x v="1"/>
  </r>
  <r>
    <s v="6513f1270c9ff1de6da7c745ae2910ae"/>
    <x v="155"/>
    <n v="15.99"/>
    <n v="8.8800000000000008"/>
    <n v="14.805038172798785"/>
    <n v="1.1849618272012155"/>
    <n v="8.0037742109867666E-2"/>
    <x v="2"/>
  </r>
  <r>
    <s v="b3cd491b3a347c8becc23fa5515440f9"/>
    <x v="650"/>
    <n v="145"/>
    <n v="28.2"/>
    <n v="144.57550810578337"/>
    <n v="0.42449189421662936"/>
    <n v="2.9361259025009689E-3"/>
    <x v="1"/>
  </r>
  <r>
    <s v="816c0585d491ed8127cebbb3dc7c89cf"/>
    <x v="651"/>
    <n v="569.9"/>
    <n v="22.87"/>
    <n v="568.07933039359455"/>
    <n v="1.8206696064054313"/>
    <n v="3.2049566125632099E-3"/>
    <x v="1"/>
  </r>
  <r>
    <s v="03552ec45033c8658713c541f6af9f05"/>
    <x v="153"/>
    <n v="54.49"/>
    <n v="7.78"/>
    <n v="55.754322361719964"/>
    <n v="-1.2643223617199624"/>
    <n v="-2.2676669864577642E-2"/>
    <x v="1"/>
  </r>
  <r>
    <s v="78714a5ecea485034c6cde8417c6c1c8"/>
    <x v="232"/>
    <n v="97"/>
    <n v="15.43"/>
    <n v="90.121590820010894"/>
    <n v="6.8784091799891058"/>
    <n v="7.6323654713624969E-2"/>
    <x v="2"/>
  </r>
  <r>
    <s v="368c6c730842d78016ad823897a372db"/>
    <x v="13"/>
    <n v="53.9"/>
    <n v="14.47"/>
    <n v="59.108039513820657"/>
    <n v="-5.2080395138206583"/>
    <n v="-8.8110510121096358E-2"/>
    <x v="0"/>
  </r>
  <r>
    <s v="368c6c730842d78016ad823897a372db"/>
    <x v="13"/>
    <n v="53.9"/>
    <n v="14.47"/>
    <n v="56.78023664580121"/>
    <n v="-2.8802366458012116"/>
    <n v="-5.0726041593808675E-2"/>
    <x v="0"/>
  </r>
  <r>
    <s v="7721582bb750762d81850267d19881c1"/>
    <x v="233"/>
    <n v="59.5"/>
    <n v="17.16"/>
    <n v="54.771596069033023"/>
    <n v="4.7284039309669765"/>
    <n v="8.6329489558920114E-2"/>
    <x v="2"/>
  </r>
  <r>
    <s v="7721582bb750762d81850267d19881c1"/>
    <x v="233"/>
    <n v="59.5"/>
    <n v="17.16"/>
    <n v="62.346966782832062"/>
    <n v="-2.8469667828320624"/>
    <n v="-4.5663276495048456E-2"/>
    <x v="1"/>
  </r>
  <r>
    <s v="a9e0a3a894f4bf7844830c090853c3e1"/>
    <x v="33"/>
    <n v="15.9"/>
    <n v="7.39"/>
    <n v="16.130079745190393"/>
    <n v="-0.23007974519039287"/>
    <n v="-1.426401783655144E-2"/>
    <x v="1"/>
  </r>
  <r>
    <s v="f74eb9bc847b5e5e906e5e214bb451b8"/>
    <x v="141"/>
    <n v="45.9"/>
    <n v="16.11"/>
    <n v="45.175614556289659"/>
    <n v="0.72438544371033942"/>
    <n v="1.6034877462657242E-2"/>
    <x v="1"/>
  </r>
  <r>
    <s v="f74eb9bc847b5e5e906e5e214bb451b8"/>
    <x v="141"/>
    <n v="45.9"/>
    <n v="16.11"/>
    <n v="46.031791631617473"/>
    <n v="-0.13179163161747454"/>
    <n v="-2.8630567472188485E-3"/>
    <x v="1"/>
  </r>
  <r>
    <s v="f74eb9bc847b5e5e906e5e214bb451b8"/>
    <x v="141"/>
    <n v="45.9"/>
    <n v="16.11"/>
    <n v="46.440555070501986"/>
    <n v="-0.5405550705019877"/>
    <n v="-1.163972027641281E-2"/>
    <x v="1"/>
  </r>
  <r>
    <s v="77d1b9fb8d3858f503316105e9ac6c51"/>
    <x v="179"/>
    <n v="18.989999999999998"/>
    <n v="7.39"/>
    <n v="18.427587389649005"/>
    <n v="0.56241261035099299"/>
    <n v="3.052014343814247E-2"/>
    <x v="1"/>
  </r>
  <r>
    <s v="77d1b9fb8d3858f503316105e9ac6c51"/>
    <x v="179"/>
    <n v="18.989999999999998"/>
    <n v="7.39"/>
    <n v="20.188481242726809"/>
    <n v="-1.1984812427268103"/>
    <n v="-5.9364606396956211E-2"/>
    <x v="0"/>
  </r>
  <r>
    <s v="3dabf82e264128dda5088dc804e09cc8"/>
    <x v="652"/>
    <n v="90"/>
    <n v="44.48"/>
    <n v="82.31792405712801"/>
    <n v="7.6820759428719896"/>
    <n v="9.3322031998045618E-2"/>
    <x v="2"/>
  </r>
  <r>
    <s v="87283a98b24f9f1ac3a31b631073cf47"/>
    <x v="131"/>
    <n v="49.9"/>
    <n v="14.1"/>
    <n v="54.07612735072108"/>
    <n v="-4.1761273507210817"/>
    <n v="-7.7226819953951364E-2"/>
    <x v="0"/>
  </r>
  <r>
    <s v="33b67c1594a903b27b5163c0efb15a5d"/>
    <x v="569"/>
    <n v="69.900000000000006"/>
    <n v="15.24"/>
    <n v="69.582519472224121"/>
    <n v="0.31748052777588498"/>
    <n v="4.5626477768258523E-3"/>
    <x v="1"/>
  </r>
  <r>
    <s v="6a23c2eb9acc78f8ec403be9c6210dd4"/>
    <x v="21"/>
    <n v="119.94"/>
    <n v="34.200000000000003"/>
    <n v="111.51911014647564"/>
    <n v="8.4208898535243577"/>
    <n v="7.5510733922319453E-2"/>
    <x v="2"/>
  </r>
  <r>
    <s v="d6dc2dcbb3ef25e47ef82f3c013ab820"/>
    <x v="186"/>
    <n v="225"/>
    <n v="20.72"/>
    <n v="217.76985253961988"/>
    <n v="7.2301474603801239"/>
    <n v="3.320086493177337E-2"/>
    <x v="1"/>
  </r>
  <r>
    <s v="a62e25e09e05e6faf31d90c6ec1aa3d1"/>
    <x v="138"/>
    <n v="108"/>
    <n v="9.77"/>
    <n v="118.37623085935897"/>
    <n v="-10.376230859358969"/>
    <n v="-8.7654681890377256E-2"/>
    <x v="0"/>
  </r>
  <r>
    <s v="7f72a8900b3d2fc8fa2635b7836d6e6e"/>
    <x v="66"/>
    <n v="64.989999999999995"/>
    <n v="18.559999999999999"/>
    <n v="64.968692678994742"/>
    <n v="2.1307321005252788E-2"/>
    <n v="3.2796290223247379E-4"/>
    <x v="1"/>
  </r>
  <r>
    <s v="bb1713a6219e4b6575cdd9c380638a65"/>
    <x v="520"/>
    <n v="30"/>
    <n v="15.23"/>
    <n v="30.737457856314748"/>
    <n v="-0.73745785631474803"/>
    <n v="-2.3992155101507318E-2"/>
    <x v="1"/>
  </r>
  <r>
    <s v="7c6473a2c5d2f22701b1a4340f1b6066"/>
    <x v="653"/>
    <n v="489"/>
    <n v="17.170000000000002"/>
    <n v="483.67049610074929"/>
    <n v="5.3295038992507102"/>
    <n v="1.1018873266440809E-2"/>
    <x v="1"/>
  </r>
  <r>
    <s v="4a351fa3b10c2b78daee983c534c56fd"/>
    <x v="232"/>
    <n v="467"/>
    <n v="19.239999999999998"/>
    <n v="445.0409300336031"/>
    <n v="21.959069966396896"/>
    <n v="4.934168631352371E-2"/>
    <x v="1"/>
  </r>
  <r>
    <s v="4a351fa3b10c2b78daee983c534c56fd"/>
    <x v="232"/>
    <n v="467"/>
    <n v="19.239999999999998"/>
    <n v="470.65882529495167"/>
    <n v="-3.6588252949516686"/>
    <n v="-7.7738376469595836E-3"/>
    <x v="1"/>
  </r>
  <r>
    <s v="afeeea6271148ee1bb15173b8187c431"/>
    <x v="196"/>
    <n v="249"/>
    <n v="15.22"/>
    <n v="240.156236168422"/>
    <n v="8.8437638315780021"/>
    <n v="3.6825043449531143E-2"/>
    <x v="1"/>
  </r>
  <r>
    <s v="f42892b40225227fe465626ff509a92e"/>
    <x v="12"/>
    <n v="89.9"/>
    <n v="17.88"/>
    <n v="91.223373709926065"/>
    <n v="-1.3233737099260594"/>
    <n v="-1.4506958645644372E-2"/>
    <x v="1"/>
  </r>
  <r>
    <s v="d88a953f5d1e00cbfb5785dcb8a9f81f"/>
    <x v="651"/>
    <n v="39.9"/>
    <n v="17.600000000000001"/>
    <n v="36.344347503817765"/>
    <n v="3.5556524961822333"/>
    <n v="9.7832338187079371E-2"/>
    <x v="2"/>
  </r>
  <r>
    <s v="aa5d6a9bd4be367ae1a3a29c323c7c11"/>
    <x v="174"/>
    <n v="130"/>
    <n v="8.65"/>
    <n v="135.67729912434956"/>
    <n v="-5.6772991243495596"/>
    <n v="-4.1844134287684041E-2"/>
    <x v="1"/>
  </r>
  <r>
    <s v="9b609e296b89940552cdce39983b2f71"/>
    <x v="421"/>
    <n v="12.89"/>
    <n v="16.79"/>
    <n v="12.417317050702412"/>
    <n v="0.47268294929758881"/>
    <n v="3.8066431530058301E-2"/>
    <x v="1"/>
  </r>
  <r>
    <s v="5e655ad6a29335c852b7829a5e340c80"/>
    <x v="14"/>
    <n v="129.9"/>
    <n v="17.350000000000001"/>
    <n v="122.03655736221111"/>
    <n v="7.8634426377888929"/>
    <n v="6.4435139828221882E-2"/>
    <x v="2"/>
  </r>
  <r>
    <s v="f91abf665b0b3d4f46b39c2cafdf6415"/>
    <x v="20"/>
    <n v="27.99"/>
    <n v="18.23"/>
    <n v="30.492515597176812"/>
    <n v="-2.5025155971768136"/>
    <n v="-8.2069830847557632E-2"/>
    <x v="0"/>
  </r>
  <r>
    <s v="de80c37c338574091896b7fdc81dc376"/>
    <x v="654"/>
    <n v="189.9"/>
    <n v="13.77"/>
    <n v="193.60142417643746"/>
    <n v="-3.701424176437456"/>
    <n v="-1.9118785887980792E-2"/>
    <x v="1"/>
  </r>
  <r>
    <s v="2820a0ee65a765e5dbb7ef1da30d2f4f"/>
    <x v="655"/>
    <n v="379.9"/>
    <n v="13.86"/>
    <n v="414.08586903642009"/>
    <n v="-34.185869036420115"/>
    <n v="-8.2557439392874729E-2"/>
    <x v="0"/>
  </r>
  <r>
    <s v="a294436012a512193adfae667b8465f8"/>
    <x v="137"/>
    <n v="120"/>
    <n v="20.03"/>
    <n v="116.78782111392053"/>
    <n v="3.2121788860794709"/>
    <n v="2.7504399477974294E-2"/>
    <x v="1"/>
  </r>
  <r>
    <s v="8032bb148ff355a9d402573fbd6c4b89"/>
    <x v="531"/>
    <n v="225"/>
    <n v="8.84"/>
    <n v="246.91322015202499"/>
    <n v="-21.913220152024991"/>
    <n v="-8.8748671045369598E-2"/>
    <x v="0"/>
  </r>
  <r>
    <s v="4b6b3a7072d549354c3743dedbf4170a"/>
    <x v="22"/>
    <n v="55"/>
    <n v="25.67"/>
    <n v="50.557023048603675"/>
    <n v="4.4429769513963251"/>
    <n v="8.7880509640075308E-2"/>
    <x v="2"/>
  </r>
  <r>
    <s v="d1dae3e210576b5698e7847df9c3e1a3"/>
    <x v="372"/>
    <n v="29.1"/>
    <n v="15.11"/>
    <n v="31.351970449770519"/>
    <n v="-2.2519704497705177"/>
    <n v="-7.1828673523995398E-2"/>
    <x v="0"/>
  </r>
  <r>
    <s v="06edb72f1e0c64b14c5b79353f7abea3"/>
    <x v="171"/>
    <n v="39.99"/>
    <n v="12.94"/>
    <n v="42.726700509611632"/>
    <n v="-2.7367005096116301"/>
    <n v="-6.4051295254965751E-2"/>
    <x v="0"/>
  </r>
  <r>
    <s v="b2d98b6f547c14e29a9e72b8e630d936"/>
    <x v="656"/>
    <n v="115"/>
    <n v="21.3"/>
    <n v="113.67693981340503"/>
    <n v="1.3230601865949723"/>
    <n v="1.163877378091554E-2"/>
    <x v="1"/>
  </r>
  <r>
    <s v="bbaef2eadf31fe3ea6702077398be06c"/>
    <x v="10"/>
    <n v="56.99"/>
    <n v="14.15"/>
    <n v="61.577546555554818"/>
    <n v="-4.5875465555548161"/>
    <n v="-7.4500314029497181E-2"/>
    <x v="0"/>
  </r>
  <r>
    <s v="b75bc6d95abd11862892008658b17f49"/>
    <x v="85"/>
    <n v="131"/>
    <n v="25.23"/>
    <n v="125.95941651073551"/>
    <n v="5.0405834892644918"/>
    <n v="4.0017520157652392E-2"/>
    <x v="1"/>
  </r>
  <r>
    <s v="b3e40ff639c185b9d726b4b19c17e6cd"/>
    <x v="37"/>
    <n v="229.99"/>
    <n v="31.02"/>
    <n v="245.61014154814151"/>
    <n v="-15.620141548141504"/>
    <n v="-6.359729875030358E-2"/>
    <x v="0"/>
  </r>
  <r>
    <s v="852dd510258cc0df3ed7b8d8417cebb2"/>
    <x v="438"/>
    <n v="94.95"/>
    <n v="19.86"/>
    <n v="98.431125478810628"/>
    <n v="-3.4811254788106254"/>
    <n v="-3.5366104592190313E-2"/>
    <x v="1"/>
  </r>
  <r>
    <s v="8b5227e28272123eefd613a10ffd7704"/>
    <x v="306"/>
    <n v="478"/>
    <n v="12.1"/>
    <n v="495.69426383081969"/>
    <n v="-17.694263830819693"/>
    <n v="-3.5695922107460053E-2"/>
    <x v="1"/>
  </r>
  <r>
    <s v="389d119b48cf3043d311335e499d9c6b"/>
    <x v="13"/>
    <n v="49.9"/>
    <n v="17.600000000000001"/>
    <n v="49.340488619158876"/>
    <n v="0.55951138084112273"/>
    <n v="1.1339802188822769E-2"/>
    <x v="1"/>
  </r>
  <r>
    <s v="d3ab527ab0d134eb8a034cab8e52a589"/>
    <x v="252"/>
    <n v="74.989999999999995"/>
    <n v="27.06"/>
    <n v="72.053461865635725"/>
    <n v="2.9365381343642696"/>
    <n v="4.0754990229897411E-2"/>
    <x v="1"/>
  </r>
  <r>
    <s v="7736ea239e147291f6adb766c992beb1"/>
    <x v="382"/>
    <n v="15.9"/>
    <n v="11.85"/>
    <n v="16.524933619949994"/>
    <n v="-0.62493361994999397"/>
    <n v="-3.7817617566435043E-2"/>
    <x v="1"/>
  </r>
  <r>
    <s v="642a40d4d73b4b2604968937de13634a"/>
    <x v="382"/>
    <n v="12.9"/>
    <n v="11.85"/>
    <n v="12.378999704209273"/>
    <n v="0.52100029579072782"/>
    <n v="4.2087430991178579E-2"/>
    <x v="1"/>
  </r>
  <r>
    <s v="ce6f74096c84567f22728c84f3d6e7fc"/>
    <x v="391"/>
    <n v="114.9"/>
    <n v="15.11"/>
    <n v="123.74110169919081"/>
    <n v="-8.8411016991908014"/>
    <n v="-7.1448383583032349E-2"/>
    <x v="0"/>
  </r>
  <r>
    <s v="23227b07fc69250d2fa4be6602011aea"/>
    <x v="144"/>
    <n v="64.900000000000006"/>
    <n v="16.7"/>
    <n v="62.904440585606501"/>
    <n v="1.9955594143935045"/>
    <n v="3.1723665226427895E-2"/>
    <x v="1"/>
  </r>
  <r>
    <s v="c62b9187381d86ae031b0bac9ead4b3d"/>
    <x v="186"/>
    <n v="230"/>
    <n v="19.489999999999998"/>
    <n v="252.5220576407184"/>
    <n v="-22.522057640718401"/>
    <n v="-8.9188476646908127E-2"/>
    <x v="0"/>
  </r>
  <r>
    <s v="7340a3839a1de1e99d149b8cf052a2ec"/>
    <x v="12"/>
    <n v="68.5"/>
    <n v="14.06"/>
    <n v="71.082596968394043"/>
    <n v="-2.5825969683940428"/>
    <n v="-3.6332338413892801E-2"/>
    <x v="1"/>
  </r>
  <r>
    <s v="aca2eb7d00ea1a7b8ebd4e68314663af"/>
    <x v="52"/>
    <n v="69.900000000000006"/>
    <n v="20.059999999999999"/>
    <n v="75.590648859924983"/>
    <n v="-5.6906488599249769"/>
    <n v="-7.5282444928739353E-2"/>
    <x v="0"/>
  </r>
  <r>
    <s v="860dd3635c61aba2d7ddea90b7d471b2"/>
    <x v="657"/>
    <n v="87.51"/>
    <n v="15.49"/>
    <n v="92.401271714882128"/>
    <n v="-4.891271714882123"/>
    <n v="-5.2935112516360919E-2"/>
    <x v="0"/>
  </r>
  <r>
    <s v="abc3432ff825d8e524db1d4eac6d2099"/>
    <x v="230"/>
    <n v="38.950000000000003"/>
    <n v="7.53"/>
    <n v="38.935889794520875"/>
    <n v="1.4110205479127558E-2"/>
    <n v="3.6239586544939238E-4"/>
    <x v="1"/>
  </r>
  <r>
    <s v="62c2b9bd44500d0305b1e50e2c9bd34d"/>
    <x v="658"/>
    <n v="19.899999999999999"/>
    <n v="15.1"/>
    <n v="19.796878896351782"/>
    <n v="0.10312110364821692"/>
    <n v="5.2089576436829309E-3"/>
    <x v="1"/>
  </r>
  <r>
    <s v="cb790fa02cc6097dcbf8f9f05904a005"/>
    <x v="658"/>
    <n v="19.899999999999999"/>
    <n v="15.1"/>
    <n v="20.705617488527185"/>
    <n v="-0.80561748852718651"/>
    <n v="-3.8908160501543727E-2"/>
    <x v="1"/>
  </r>
  <r>
    <s v="c8bcb1f3775756d1cf29af0e65f4fb47"/>
    <x v="659"/>
    <n v="89.9"/>
    <n v="24.94"/>
    <n v="95.551957910687889"/>
    <n v="-5.6519579106878837"/>
    <n v="-5.9150623747247028E-2"/>
    <x v="0"/>
  </r>
  <r>
    <s v="06c6e01186af8b98ee1fc9e01f9471e9"/>
    <x v="493"/>
    <n v="39.9"/>
    <n v="25.63"/>
    <n v="40.776568191710339"/>
    <n v="-0.87656819171034073"/>
    <n v="-2.1496860343645653E-2"/>
    <x v="1"/>
  </r>
  <r>
    <s v="4fe644d766c7566dbc46fb851363cb3b"/>
    <x v="226"/>
    <n v="79.989999999999995"/>
    <n v="23.14"/>
    <n v="84.388084581041923"/>
    <n v="-4.3980845810419282"/>
    <n v="-5.2117364707078243E-2"/>
    <x v="0"/>
  </r>
  <r>
    <s v="67d4137622a3e1586ab26438993b898f"/>
    <x v="51"/>
    <n v="12.99"/>
    <n v="18.23"/>
    <n v="12.031215132895371"/>
    <n v="0.95878486710462951"/>
    <n v="7.9691440682757811E-2"/>
    <x v="2"/>
  </r>
  <r>
    <s v="4fe644d766c7566dbc46fb851363cb3b"/>
    <x v="226"/>
    <n v="99.99"/>
    <n v="14.54"/>
    <n v="102.86876184616807"/>
    <n v="-2.8787618461680751"/>
    <n v="-2.7984801163185292E-2"/>
    <x v="1"/>
  </r>
  <r>
    <s v="290ada89b05e1dca2a4fe42f1cfc012e"/>
    <x v="660"/>
    <n v="29.9"/>
    <n v="20.399999999999999"/>
    <n v="28.542038271442681"/>
    <n v="1.3579617285573171"/>
    <n v="4.7577601699035132E-2"/>
    <x v="1"/>
  </r>
  <r>
    <s v="40df4be4429553e18755913ac3cfeac5"/>
    <x v="661"/>
    <n v="59.9"/>
    <n v="11.91"/>
    <n v="56.180035184081376"/>
    <n v="3.7199648159186225"/>
    <n v="6.6215067394131411E-2"/>
    <x v="2"/>
  </r>
  <r>
    <s v="c7849d509582f1b40fe3269fbecfb00d"/>
    <x v="53"/>
    <n v="69"/>
    <n v="9.4700000000000006"/>
    <n v="70.025888217206742"/>
    <n v="-1.0258882172067416"/>
    <n v="-1.4650127878772991E-2"/>
    <x v="1"/>
  </r>
  <r>
    <s v="a9fb80187bf64d19dd2804f25e83c5e6"/>
    <x v="662"/>
    <n v="112.9"/>
    <n v="13.13"/>
    <n v="102.24939993873528"/>
    <n v="10.650600061264726"/>
    <n v="0.1041629590750287"/>
    <x v="2"/>
  </r>
  <r>
    <s v="e0d64dcfaa3b6db5c54ca298ae101d05"/>
    <x v="87"/>
    <n v="170"/>
    <n v="21.68"/>
    <n v="181.06406305721436"/>
    <n v="-11.064063057214355"/>
    <n v="-6.1105792449373163E-2"/>
    <x v="0"/>
  </r>
  <r>
    <s v="977f845fc71d6dfd5af3a0aaaabf2161"/>
    <x v="438"/>
    <n v="139.9"/>
    <n v="34.25"/>
    <n v="151.85472069357306"/>
    <n v="-11.954720693573051"/>
    <n v="-7.87247221487202E-2"/>
    <x v="0"/>
  </r>
  <r>
    <s v="c9c6fde711572c1ad99ca12728c6af00"/>
    <x v="320"/>
    <n v="29.99"/>
    <n v="7.78"/>
    <n v="30.824697240919662"/>
    <n v="-0.83469724091966313"/>
    <n v="-2.7078846367762727E-2"/>
    <x v="1"/>
  </r>
  <r>
    <s v="7a10781637204d8d10485c71a6108a2e"/>
    <x v="87"/>
    <n v="212"/>
    <n v="12.98"/>
    <n v="196.24504098323277"/>
    <n v="15.754959016767231"/>
    <n v="8.0282074583037946E-2"/>
    <x v="2"/>
  </r>
  <r>
    <s v="f1d4ce8c6dd66c47bbaa8c6781c2a923"/>
    <x v="495"/>
    <n v="169.9"/>
    <n v="52.99"/>
    <n v="168.44903745864275"/>
    <n v="1.4509625413572564"/>
    <n v="8.613658844524379E-3"/>
    <x v="1"/>
  </r>
  <r>
    <s v="394b16cd32e9f883365dd7ebac4edbe0"/>
    <x v="33"/>
    <n v="14.4"/>
    <n v="12.79"/>
    <n v="15.140510677058261"/>
    <n v="-0.74051067705826057"/>
    <n v="-4.8909227228400118E-2"/>
    <x v="1"/>
  </r>
  <r>
    <s v="23d8439935522540cfd5bbb8b1208a2d"/>
    <x v="250"/>
    <n v="96"/>
    <n v="29.07"/>
    <n v="95.765738945583578"/>
    <n v="0.23426105441642164"/>
    <n v="2.4461885533983555E-3"/>
    <x v="1"/>
  </r>
  <r>
    <s v="db4e12399028c661997d99981af68642"/>
    <x v="105"/>
    <n v="15"/>
    <n v="11.85"/>
    <n v="14.750670125581975"/>
    <n v="0.24932987441802545"/>
    <n v="1.6902952360490699E-2"/>
    <x v="1"/>
  </r>
  <r>
    <s v="91247af15fbe5fcdce542685c643b6a9"/>
    <x v="38"/>
    <n v="42.89"/>
    <n v="18.399999999999999"/>
    <n v="45.960962307003165"/>
    <n v="-3.070962307003164"/>
    <n v="-6.6816753889751238E-2"/>
    <x v="0"/>
  </r>
  <r>
    <s v="4d68f0bb076a44142f1d1725ba3b3bc8"/>
    <x v="663"/>
    <n v="189.9"/>
    <n v="16.09"/>
    <n v="176.47345278768722"/>
    <n v="13.426547212312784"/>
    <n v="7.60825325295022E-2"/>
    <x v="2"/>
  </r>
  <r>
    <s v="115e606ac8059e4cfa1c6c3310fb365c"/>
    <x v="418"/>
    <n v="39.9"/>
    <n v="15.23"/>
    <n v="39.439151877364338"/>
    <n v="0.46084812263566022"/>
    <n v="1.16850414042539E-2"/>
    <x v="1"/>
  </r>
  <r>
    <s v="09364ccfda8448d03ae4082f6044b16e"/>
    <x v="155"/>
    <n v="34.99"/>
    <n v="12.79"/>
    <n v="32.624049152853878"/>
    <n v="2.3659508471461237"/>
    <n v="7.2521679821560575E-2"/>
    <x v="2"/>
  </r>
  <r>
    <s v="98a940d42d3ac029e40441023676ddfe"/>
    <x v="544"/>
    <n v="219"/>
    <n v="17.97"/>
    <n v="219.87958248333248"/>
    <n v="-0.87958248333248434"/>
    <n v="-4.0002917660586302E-3"/>
    <x v="1"/>
  </r>
  <r>
    <s v="57e7f9befd08f9e14bc4545abf760d0e"/>
    <x v="169"/>
    <n v="72"/>
    <n v="19.690000000000001"/>
    <n v="65.601615940469415"/>
    <n v="6.398384059530585"/>
    <n v="9.7533939794056862E-2"/>
    <x v="2"/>
  </r>
  <r>
    <s v="12530458b22303a822da23e0ef0c400b"/>
    <x v="664"/>
    <n v="35"/>
    <n v="19.440000000000001"/>
    <n v="32.920413115541137"/>
    <n v="2.0795868844588625"/>
    <n v="6.3170133289643521E-2"/>
    <x v="2"/>
  </r>
  <r>
    <s v="143bc7fcaf6929ef5979e58abf39d4ed"/>
    <x v="432"/>
    <n v="176.96"/>
    <n v="33.520000000000003"/>
    <n v="174.60132536205114"/>
    <n v="2.3586746379488659"/>
    <n v="1.3508916000826153E-2"/>
    <x v="1"/>
  </r>
  <r>
    <s v="44e086c4a977f37a888627b43880586c"/>
    <x v="524"/>
    <n v="69"/>
    <n v="15.36"/>
    <n v="62.909544142203195"/>
    <n v="6.0904558577968047"/>
    <n v="9.6812907180342939E-2"/>
    <x v="2"/>
  </r>
  <r>
    <s v="a783f0d718c28a1375f64c1dfff1818a"/>
    <x v="150"/>
    <n v="34.9"/>
    <n v="13.58"/>
    <n v="32.347373540890487"/>
    <n v="2.5526264591095114"/>
    <n v="7.8912943453746637E-2"/>
    <x v="2"/>
  </r>
  <r>
    <s v="f9be8e0e5acd947d8f49dbc390b9ab20"/>
    <x v="12"/>
    <n v="153"/>
    <n v="33.520000000000003"/>
    <n v="159.27146694595857"/>
    <n v="-6.271466945958565"/>
    <n v="-3.9375960215689468E-2"/>
    <x v="1"/>
  </r>
  <r>
    <s v="6f62dd1f280a651e3334c84c4f1d96b6"/>
    <x v="44"/>
    <n v="35"/>
    <n v="16.440000000000001"/>
    <n v="36.512583931271294"/>
    <n v="-1.5125839312712941"/>
    <n v="-4.1426373277730084E-2"/>
    <x v="1"/>
  </r>
  <r>
    <s v="687a2683f42fcf1b80098d2e38e23c6e"/>
    <x v="145"/>
    <n v="335.9"/>
    <n v="16.86"/>
    <n v="355.38047636331765"/>
    <n v="-19.480476363317678"/>
    <n v="-5.4815831648000038E-2"/>
    <x v="0"/>
  </r>
  <r>
    <s v="73bcea88583002fe12b7399af4ae60da"/>
    <x v="87"/>
    <n v="119.9"/>
    <n v="13.5"/>
    <n v="117.41343613554938"/>
    <n v="2.4865638644506305"/>
    <n v="2.1177847666258454E-2"/>
    <x v="1"/>
  </r>
  <r>
    <s v="d39421ec4cc2bf52e35f8bf00f1ec314"/>
    <x v="10"/>
    <n v="49.99"/>
    <n v="11.85"/>
    <n v="51.50405912065375"/>
    <n v="-1.5140591206537479"/>
    <n v="-2.9396889225893886E-2"/>
    <x v="1"/>
  </r>
  <r>
    <s v="ee0c1cf2fbeae95205b4aa506f1469f0"/>
    <x v="10"/>
    <n v="53.99"/>
    <n v="15.13"/>
    <n v="51.367479155310612"/>
    <n v="2.6225208446893902"/>
    <n v="5.1054108315499488E-2"/>
    <x v="2"/>
  </r>
  <r>
    <s v="d93d7e81a8d724c4ef661e75647cf325"/>
    <x v="665"/>
    <n v="151.19999999999999"/>
    <n v="18.309999999999999"/>
    <n v="152.60238199808748"/>
    <n v="-1.4023819980874919"/>
    <n v="-9.1897779033689488E-3"/>
    <x v="1"/>
  </r>
  <r>
    <s v="7c1bd920dbdf22470b68bde975dd3ccf"/>
    <x v="10"/>
    <n v="58.99"/>
    <n v="37.96"/>
    <n v="62.897804536130963"/>
    <n v="-3.9078045361309606"/>
    <n v="-6.2129426693838967E-2"/>
    <x v="0"/>
  </r>
  <r>
    <s v="62e2471b884366ac7e2f2b28c3ed62a5"/>
    <x v="81"/>
    <n v="149.99"/>
    <n v="8.99"/>
    <n v="163.16804636763018"/>
    <n v="-13.178046367630174"/>
    <n v="-8.0763646197853103E-2"/>
    <x v="0"/>
  </r>
  <r>
    <s v="44d097d59e8430f88a67517cd0c4f865"/>
    <x v="22"/>
    <n v="69"/>
    <n v="19.39"/>
    <n v="72.737138884568267"/>
    <n v="-3.7371388845682674"/>
    <n v="-5.1378689647100344E-2"/>
    <x v="0"/>
  </r>
  <r>
    <s v="955d159d5f3a5d16c3808fcb7705224f"/>
    <x v="666"/>
    <n v="14"/>
    <n v="18.23"/>
    <n v="13.759091601907297"/>
    <n v="0.24090839809270292"/>
    <n v="1.7509033667550262E-2"/>
    <x v="1"/>
  </r>
  <r>
    <s v="955d159d5f3a5d16c3808fcb7705224f"/>
    <x v="666"/>
    <n v="14"/>
    <n v="18.23"/>
    <n v="13.638831918163552"/>
    <n v="0.361168081836448"/>
    <n v="2.6480866103750528E-2"/>
    <x v="1"/>
  </r>
  <r>
    <s v="f5badee8a0e679f057ec0ca4f0f32dcb"/>
    <x v="431"/>
    <n v="109.9"/>
    <n v="8.93"/>
    <n v="104.78800673348239"/>
    <n v="5.1119932665176151"/>
    <n v="4.8784144539741545E-2"/>
    <x v="1"/>
  </r>
  <r>
    <s v="4a0d1ccdddf9a6fda274fad13550f595"/>
    <x v="564"/>
    <n v="79.989999999999995"/>
    <n v="8.91"/>
    <n v="80.664004761375281"/>
    <n v="-0.67400476137528642"/>
    <n v="-8.3557066546493027E-3"/>
    <x v="1"/>
  </r>
  <r>
    <s v="619d72a5e53d41d7646274a3fa20c2c4"/>
    <x v="200"/>
    <n v="79.900000000000006"/>
    <n v="15.31"/>
    <n v="75.986398712527063"/>
    <n v="3.9136012874729431"/>
    <n v="5.1503971155139765E-2"/>
    <x v="2"/>
  </r>
  <r>
    <s v="eba7488e1c67729f045ab43fac426f2e"/>
    <x v="104"/>
    <n v="198.9"/>
    <n v="25.88"/>
    <n v="208.57876921799695"/>
    <n v="-9.678769217996944"/>
    <n v="-4.6403424731503419E-2"/>
    <x v="1"/>
  </r>
  <r>
    <s v="53ea9da485f6aed8a6f03a85831fe021"/>
    <x v="259"/>
    <n v="319"/>
    <n v="23.03"/>
    <n v="329.60985468646402"/>
    <n v="-10.609854686464018"/>
    <n v="-3.2189130681655347E-2"/>
    <x v="1"/>
  </r>
  <r>
    <s v="437caf429e4e9beec15877117a13bb45"/>
    <x v="667"/>
    <n v="14.9"/>
    <n v="14.1"/>
    <n v="14.578004939597392"/>
    <n v="0.3219950604026085"/>
    <n v="2.2087731602284749E-2"/>
    <x v="1"/>
  </r>
  <r>
    <s v="2136c70bbe723d338fab53da3c03e6dc"/>
    <x v="22"/>
    <n v="29"/>
    <n v="14.1"/>
    <n v="28.260463762850645"/>
    <n v="0.73953623714935546"/>
    <n v="2.6168581073375781E-2"/>
    <x v="1"/>
  </r>
  <r>
    <s v="d8f254be723da6488610b42935533b05"/>
    <x v="22"/>
    <n v="89"/>
    <n v="19.53"/>
    <n v="89.664461716668129"/>
    <n v="-0.66446171666812859"/>
    <n v="-7.4105359464240088E-3"/>
    <x v="1"/>
  </r>
  <r>
    <s v="14e40526732f35d38620a487e0776b27"/>
    <x v="444"/>
    <n v="39.99"/>
    <n v="8.2899999999999991"/>
    <n v="41.650943688017122"/>
    <n v="-1.6609436880171202"/>
    <n v="-3.9877696420476776E-2"/>
    <x v="1"/>
  </r>
  <r>
    <s v="68ad45d48d69404aeb71ce87e1b2c948"/>
    <x v="668"/>
    <n v="59.89"/>
    <n v="9.17"/>
    <n v="56.832533710595627"/>
    <n v="3.057466289404374"/>
    <n v="5.3797817724856291E-2"/>
    <x v="2"/>
  </r>
  <r>
    <s v="5f5ee6e720308ce93007ce17c0835883"/>
    <x v="669"/>
    <n v="115"/>
    <n v="34.61"/>
    <n v="121.42400740623107"/>
    <n v="-6.4240074062310697"/>
    <n v="-5.2905578916854386E-2"/>
    <x v="0"/>
  </r>
  <r>
    <s v="583f158587cdecda3e8bdea694021e39"/>
    <x v="52"/>
    <n v="45"/>
    <n v="15.11"/>
    <n v="46.35637875632716"/>
    <n v="-1.3563787563271603"/>
    <n v="-2.9259808309380266E-2"/>
    <x v="1"/>
  </r>
  <r>
    <s v="583f158587cdecda3e8bdea694021e39"/>
    <x v="52"/>
    <n v="45"/>
    <n v="15.11"/>
    <n v="48.56012298524201"/>
    <n v="-3.5601229852420104"/>
    <n v="-7.3313714347963521E-2"/>
    <x v="0"/>
  </r>
  <r>
    <s v="e2e426d1332240070b0a836a854d057b"/>
    <x v="608"/>
    <n v="34.9"/>
    <n v="16.600000000000001"/>
    <n v="33.459838078994849"/>
    <n v="1.4401619210051493"/>
    <n v="4.3041508975778416E-2"/>
    <x v="1"/>
  </r>
  <r>
    <s v="c45f017c36f9112a8bb4f170edfb1870"/>
    <x v="73"/>
    <n v="84.9"/>
    <n v="14.32"/>
    <n v="85.926752692332258"/>
    <n v="-1.0267526923322521"/>
    <n v="-1.1949162049782374E-2"/>
    <x v="1"/>
  </r>
  <r>
    <s v="efdc6e0a04b68a8c329d485ab2bde52e"/>
    <x v="47"/>
    <n v="34.9"/>
    <n v="8.4"/>
    <n v="32.211677038381914"/>
    <n v="2.6883229616180842"/>
    <n v="8.3458025436390831E-2"/>
    <x v="2"/>
  </r>
  <r>
    <s v="de75785dc5be712c4d4ed4ec5b422ce1"/>
    <x v="91"/>
    <n v="599"/>
    <n v="17.940000000000001"/>
    <n v="627.14709647357608"/>
    <n v="-28.147096473576084"/>
    <n v="-4.4881171629185757E-2"/>
    <x v="1"/>
  </r>
  <r>
    <s v="d7423500e1911ba5972c229b2fb974ca"/>
    <x v="66"/>
    <n v="69.989999999999995"/>
    <n v="15.24"/>
    <n v="68.139782126344414"/>
    <n v="1.8502178736555805"/>
    <n v="2.7153269586699245E-2"/>
    <x v="1"/>
  </r>
  <r>
    <s v="18290697e1929309b3195d2931c91b09"/>
    <x v="670"/>
    <n v="214"/>
    <n v="18.43"/>
    <n v="211.32525765633602"/>
    <n v="2.6747423436639792"/>
    <n v="1.2656993174065979E-2"/>
    <x v="1"/>
  </r>
  <r>
    <s v="c8327011b01e4666db6770ebb8a86fa9"/>
    <x v="671"/>
    <n v="149"/>
    <n v="26.41"/>
    <n v="136.08963149554543"/>
    <n v="12.910368504454567"/>
    <n v="9.4866657823797232E-2"/>
    <x v="2"/>
  </r>
  <r>
    <s v="a86859b91d632c991b914aead6ec8ad4"/>
    <x v="672"/>
    <n v="49.9"/>
    <n v="13.69"/>
    <n v="53.082182472377546"/>
    <n v="-3.1821824723775478"/>
    <n v="-5.9948222250158327E-2"/>
    <x v="0"/>
  </r>
  <r>
    <s v="dbd91d7511ed7f4e61be3a191082644e"/>
    <x v="104"/>
    <n v="159.9"/>
    <n v="9.86"/>
    <n v="170.7842810344265"/>
    <n v="-10.884281034426493"/>
    <n v="-6.3731164065576107E-2"/>
    <x v="0"/>
  </r>
  <r>
    <s v="1612209b0b37fbe80e1e8e1b7d19ca1d"/>
    <x v="53"/>
    <n v="99"/>
    <n v="17.43"/>
    <n v="90.853170052705352"/>
    <n v="8.1468299472946484"/>
    <n v="8.9670288252666847E-2"/>
    <x v="2"/>
  </r>
  <r>
    <s v="f58e45b16a42a325c144eb2c46a2bc57"/>
    <x v="81"/>
    <n v="279.99"/>
    <n v="19.399999999999999"/>
    <n v="264.60541353543721"/>
    <n v="15.384586464562801"/>
    <n v="5.8141616450724749E-2"/>
    <x v="2"/>
  </r>
  <r>
    <s v="33f17ed3c6906f7a7ae17a0843536db4"/>
    <x v="20"/>
    <n v="27.99"/>
    <n v="15.23"/>
    <n v="28.865877175378003"/>
    <n v="-0.87587717537800458"/>
    <n v="-3.034299529705994E-2"/>
    <x v="1"/>
  </r>
  <r>
    <s v="6e77b89d36e50217e6793780a8ce5c82"/>
    <x v="20"/>
    <n v="37.99"/>
    <n v="15.23"/>
    <n v="38.843265351839499"/>
    <n v="-0.85326535183949659"/>
    <n v="-2.1966880078455826E-2"/>
    <x v="1"/>
  </r>
  <r>
    <s v="c073cc5c3c6cff45b33fda27f5f3f807"/>
    <x v="673"/>
    <n v="63.99"/>
    <n v="9.06"/>
    <n v="60.936596780330653"/>
    <n v="3.0534032196693488"/>
    <n v="5.0107872460887708E-2"/>
    <x v="2"/>
  </r>
  <r>
    <s v="a8b0dd2c57b49b649373ff5a495a697e"/>
    <x v="508"/>
    <n v="135"/>
    <n v="16.05"/>
    <n v="134.58230201231885"/>
    <n v="0.41769798768115152"/>
    <n v="3.1036620821281386E-3"/>
    <x v="1"/>
  </r>
  <r>
    <s v="53759a2ecddad2bb87a079a1f1519f73"/>
    <x v="13"/>
    <n v="49.9"/>
    <n v="13.37"/>
    <n v="46.958833221836557"/>
    <n v="2.9411667781634421"/>
    <n v="6.2632875997348153E-2"/>
    <x v="2"/>
  </r>
  <r>
    <s v="389d119b48cf3043d311335e499d9c6b"/>
    <x v="13"/>
    <n v="49.9"/>
    <n v="13.37"/>
    <n v="48.050287051937822"/>
    <n v="1.8497129480621766"/>
    <n v="3.8495356876074673E-2"/>
    <x v="1"/>
  </r>
  <r>
    <s v="ba0d049a05e69aa1b806f625df623063"/>
    <x v="674"/>
    <n v="100"/>
    <n v="53.05"/>
    <n v="102.4868984478185"/>
    <n v="-2.4868984478185041"/>
    <n v="-2.4265525501142134E-2"/>
    <x v="1"/>
  </r>
  <r>
    <s v="e7d5464b94c9a5963f7c686fc80145ad"/>
    <x v="518"/>
    <n v="139"/>
    <n v="14.31"/>
    <n v="141.44004641092201"/>
    <n v="-2.4400464109220081"/>
    <n v="-1.725145369249248E-2"/>
    <x v="1"/>
  </r>
  <r>
    <s v="aca2eb7d00ea1a7b8ebd4e68314663af"/>
    <x v="52"/>
    <n v="69.900000000000006"/>
    <n v="24.71"/>
    <n v="69.665515716231027"/>
    <n v="0.23448428376897823"/>
    <n v="3.3658587230460547E-3"/>
    <x v="1"/>
  </r>
  <r>
    <s v="53b36df67ebb7c41585e8d54d6772e08"/>
    <x v="87"/>
    <n v="134.9"/>
    <n v="12.44"/>
    <n v="146.89536101581828"/>
    <n v="-11.995361015818276"/>
    <n v="-8.1659222815937446E-2"/>
    <x v="0"/>
  </r>
  <r>
    <s v="196616257eff8bc851dc4fc041cbbbe9"/>
    <x v="631"/>
    <n v="109.97"/>
    <n v="61.51"/>
    <n v="104.77603104993717"/>
    <n v="5.1939689500628248"/>
    <n v="4.9572110128769178E-2"/>
    <x v="1"/>
  </r>
  <r>
    <s v="0e323ee8f8dc60a0b875e9ac4daf1337"/>
    <x v="505"/>
    <n v="49.9"/>
    <n v="8.7200000000000006"/>
    <n v="51.0175805354842"/>
    <n v="-1.1175805354842012"/>
    <n v="-2.1905792547470802E-2"/>
    <x v="1"/>
  </r>
  <r>
    <s v="a35a9f46dcee0a67c8c7ad8493eb4135"/>
    <x v="150"/>
    <n v="25.52"/>
    <n v="16.5"/>
    <n v="25.755288127819085"/>
    <n v="-0.2352881278190857"/>
    <n v="-9.1355269120419469E-3"/>
    <x v="1"/>
  </r>
  <r>
    <s v="41db6d8062fcd38410c699743ccc0265"/>
    <x v="32"/>
    <n v="13.77"/>
    <n v="17.61"/>
    <n v="13.750611368649997"/>
    <n v="1.9388631350002683E-2"/>
    <n v="1.4100195860532283E-3"/>
    <x v="1"/>
  </r>
  <r>
    <s v="19c91ef95d509ea33eda93495c4d3481"/>
    <x v="88"/>
    <n v="122.99"/>
    <n v="63.11"/>
    <n v="133.60031492862569"/>
    <n v="-10.610314928625698"/>
    <n v="-7.9418337705971176E-2"/>
    <x v="0"/>
  </r>
  <r>
    <s v="5bd3ba44eb990450377a2cd863821cca"/>
    <x v="675"/>
    <n v="194.9"/>
    <n v="26.86"/>
    <n v="191.04898772444383"/>
    <n v="3.8510122755561724"/>
    <n v="2.0157198012012566E-2"/>
    <x v="1"/>
  </r>
  <r>
    <s v="70cbbf603be04fd0947d83608b9a2266"/>
    <x v="399"/>
    <n v="169.99"/>
    <n v="15.94"/>
    <n v="186.28988332838136"/>
    <n v="-16.299883328381355"/>
    <n v="-8.7497415517990507E-2"/>
    <x v="0"/>
  </r>
  <r>
    <s v="99c97d191bcc87e072acc4521bce44d4"/>
    <x v="676"/>
    <n v="443"/>
    <n v="18.989999999999998"/>
    <n v="432.50767001181543"/>
    <n v="10.492329988184565"/>
    <n v="2.4259292298557229E-2"/>
    <x v="1"/>
  </r>
  <r>
    <s v="3fdb534dccf5bc9ab0406944b913787d"/>
    <x v="677"/>
    <n v="25"/>
    <n v="13.71"/>
    <n v="22.963240278205745"/>
    <n v="2.0367597217942546"/>
    <n v="8.8696529632507015E-2"/>
    <x v="2"/>
  </r>
  <r>
    <s v="3fdb534dccf5bc9ab0406944b913787d"/>
    <x v="677"/>
    <n v="25"/>
    <n v="13.71"/>
    <n v="26.437492494838803"/>
    <n v="-1.4374924948388035"/>
    <n v="-5.4373254011114501E-2"/>
    <x v="0"/>
  </r>
  <r>
    <s v="3fdb534dccf5bc9ab0406944b913787d"/>
    <x v="677"/>
    <n v="25"/>
    <n v="13.71"/>
    <n v="22.57710826482602"/>
    <n v="2.4228917351739803"/>
    <n v="0.10731630050907456"/>
    <x v="2"/>
  </r>
  <r>
    <s v="3fdb534dccf5bc9ab0406944b913787d"/>
    <x v="677"/>
    <n v="25"/>
    <n v="13.71"/>
    <n v="23.510527632409133"/>
    <n v="1.4894723675908672"/>
    <n v="6.3353421534344367E-2"/>
    <x v="2"/>
  </r>
  <r>
    <s v="3fdb534dccf5bc9ab0406944b913787d"/>
    <x v="677"/>
    <n v="25"/>
    <n v="13.71"/>
    <n v="23.104174228257786"/>
    <n v="1.8958257717422136"/>
    <n v="8.2055552083895963E-2"/>
    <x v="2"/>
  </r>
  <r>
    <s v="5b226d7c52f86ac72457617f78cff95d"/>
    <x v="65"/>
    <n v="56.99"/>
    <n v="12.74"/>
    <n v="56.728868151640654"/>
    <n v="0.26113184835934788"/>
    <n v="4.6031563270630084E-3"/>
    <x v="1"/>
  </r>
  <r>
    <s v="adda822b6a549cd98b20e557b88d230d"/>
    <x v="678"/>
    <n v="99.99"/>
    <n v="58.78"/>
    <n v="101.61800037277804"/>
    <n v="-1.6280003727780468"/>
    <n v="-1.6020787329074072E-2"/>
    <x v="1"/>
  </r>
  <r>
    <s v="f819f0c84a64f02d3a5606ca95edd272"/>
    <x v="87"/>
    <n v="668"/>
    <n v="17.7"/>
    <n v="694.9521460516803"/>
    <n v="-26.952146051680302"/>
    <n v="-3.8782736631301801E-2"/>
    <x v="1"/>
  </r>
  <r>
    <s v="ee99cd2d468819078af4687f923cf17b"/>
    <x v="679"/>
    <n v="329.9"/>
    <n v="47.17"/>
    <n v="311.46872009210011"/>
    <n v="18.431279907899864"/>
    <n v="5.9175380123082037E-2"/>
    <x v="2"/>
  </r>
  <r>
    <s v="3e19791ee3fa124c96da5a87616794ac"/>
    <x v="680"/>
    <n v="137"/>
    <n v="21.6"/>
    <n v="134.88758295954611"/>
    <n v="2.1124170404538916"/>
    <n v="1.5660574488071469E-2"/>
    <x v="1"/>
  </r>
  <r>
    <s v="c681df24c54f79b5eab51e15b603abf8"/>
    <x v="405"/>
    <n v="28.28"/>
    <n v="13.78"/>
    <n v="25.867666315136649"/>
    <n v="2.4123336848633521"/>
    <n v="9.3256718850272077E-2"/>
    <x v="2"/>
  </r>
  <r>
    <s v="f582884ed8bb76a4b6317b8c9e966d98"/>
    <x v="587"/>
    <n v="94.9"/>
    <n v="13.22"/>
    <n v="102.05525436266737"/>
    <n v="-7.1552543626673639"/>
    <n v="-7.0111572474653619E-2"/>
    <x v="0"/>
  </r>
  <r>
    <s v="f67ad6b3366ae186b8d29087e6d5ebd0"/>
    <x v="27"/>
    <n v="28"/>
    <n v="7.87"/>
    <n v="28.99691586555608"/>
    <n v="-0.99691586555607969"/>
    <n v="-3.4380065458625687E-2"/>
    <x v="1"/>
  </r>
  <r>
    <s v="c9dcb2deb4a49214eb9e72aafd096eef"/>
    <x v="467"/>
    <n v="149.9"/>
    <n v="8.7899999999999991"/>
    <n v="148.03972635947014"/>
    <n v="1.8602736405298685"/>
    <n v="1.2566043495735403E-2"/>
    <x v="1"/>
  </r>
  <r>
    <s v="0e323ee8f8dc60a0b875e9ac4daf1337"/>
    <x v="505"/>
    <n v="55.91"/>
    <n v="15.14"/>
    <n v="58.565180525509042"/>
    <n v="-2.6551805255090457"/>
    <n v="-4.5337186732525098E-2"/>
    <x v="1"/>
  </r>
  <r>
    <s v="4f915391faab8ae23c234735d5080c31"/>
    <x v="87"/>
    <n v="735"/>
    <n v="55.65"/>
    <n v="664.6910479961723"/>
    <n v="70.308952003827699"/>
    <n v="0.10577689020453392"/>
    <x v="2"/>
  </r>
  <r>
    <s v="599e5320aef0c7dd9e3fed9b2f673d41"/>
    <x v="681"/>
    <n v="81.400000000000006"/>
    <n v="23.5"/>
    <n v="84.729244778083142"/>
    <n v="-3.3292447780831367"/>
    <n v="-3.9292746994297655E-2"/>
    <x v="1"/>
  </r>
  <r>
    <m/>
    <x v="682"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FC547-1F66-4BD7-9937-0D0AB977D6C2}" name="PivotTable2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m="1" x="4"/>
        <item n="blank" x="3"/>
        <item x="1"/>
        <item x="0"/>
        <item t="default"/>
      </items>
    </pivotField>
  </pivotFields>
  <rowFields count="1">
    <field x="7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Count of product_id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CC478-DD9F-4549-AA9B-7EE36F6A5834}" name="PivotTable3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687" firstHeaderRow="0" firstDataRow="1" firstDataCol="1"/>
  <pivotFields count="8">
    <pivotField showAll="0"/>
    <pivotField axis="axisRow" showAll="0">
      <items count="684">
        <item x="133"/>
        <item x="658"/>
        <item x="656"/>
        <item x="63"/>
        <item x="576"/>
        <item x="352"/>
        <item x="214"/>
        <item x="298"/>
        <item x="64"/>
        <item x="633"/>
        <item x="401"/>
        <item x="470"/>
        <item x="181"/>
        <item x="248"/>
        <item x="567"/>
        <item x="58"/>
        <item x="468"/>
        <item x="295"/>
        <item x="373"/>
        <item x="666"/>
        <item x="187"/>
        <item x="88"/>
        <item x="96"/>
        <item x="368"/>
        <item x="263"/>
        <item x="434"/>
        <item x="246"/>
        <item x="54"/>
        <item x="506"/>
        <item x="303"/>
        <item x="540"/>
        <item x="90"/>
        <item x="390"/>
        <item x="95"/>
        <item x="379"/>
        <item x="242"/>
        <item x="233"/>
        <item x="516"/>
        <item x="279"/>
        <item x="103"/>
        <item x="71"/>
        <item x="482"/>
        <item x="569"/>
        <item x="243"/>
        <item x="588"/>
        <item x="613"/>
        <item x="186"/>
        <item x="405"/>
        <item x="513"/>
        <item x="218"/>
        <item x="580"/>
        <item x="204"/>
        <item x="55"/>
        <item x="511"/>
        <item x="643"/>
        <item x="203"/>
        <item x="349"/>
        <item x="598"/>
        <item x="28"/>
        <item x="456"/>
        <item x="27"/>
        <item x="560"/>
        <item x="158"/>
        <item x="679"/>
        <item x="166"/>
        <item x="445"/>
        <item x="65"/>
        <item x="418"/>
        <item x="167"/>
        <item x="310"/>
        <item x="347"/>
        <item x="451"/>
        <item x="236"/>
        <item x="239"/>
        <item x="428"/>
        <item x="449"/>
        <item x="121"/>
        <item x="387"/>
        <item x="19"/>
        <item x="207"/>
        <item x="177"/>
        <item x="326"/>
        <item x="638"/>
        <item x="398"/>
        <item x="122"/>
        <item x="155"/>
        <item x="143"/>
        <item x="531"/>
        <item x="13"/>
        <item x="495"/>
        <item x="503"/>
        <item x="499"/>
        <item x="190"/>
        <item x="179"/>
        <item x="359"/>
        <item x="228"/>
        <item x="17"/>
        <item x="392"/>
        <item x="670"/>
        <item x="232"/>
        <item x="77"/>
        <item x="118"/>
        <item x="134"/>
        <item x="443"/>
        <item x="480"/>
        <item x="314"/>
        <item x="36"/>
        <item x="520"/>
        <item x="538"/>
        <item x="140"/>
        <item x="677"/>
        <item x="366"/>
        <item x="615"/>
        <item x="542"/>
        <item x="457"/>
        <item x="448"/>
        <item x="446"/>
        <item x="473"/>
        <item x="44"/>
        <item x="450"/>
        <item x="342"/>
        <item x="644"/>
        <item x="561"/>
        <item x="595"/>
        <item x="170"/>
        <item x="340"/>
        <item x="213"/>
        <item x="153"/>
        <item x="119"/>
        <item x="471"/>
        <item x="424"/>
        <item x="338"/>
        <item x="554"/>
        <item x="175"/>
        <item x="617"/>
        <item x="517"/>
        <item x="324"/>
        <item x="129"/>
        <item x="305"/>
        <item x="43"/>
        <item x="339"/>
        <item x="386"/>
        <item x="312"/>
        <item x="628"/>
        <item x="286"/>
        <item x="23"/>
        <item x="364"/>
        <item x="529"/>
        <item x="176"/>
        <item x="307"/>
        <item x="249"/>
        <item x="483"/>
        <item x="675"/>
        <item x="100"/>
        <item x="171"/>
        <item x="240"/>
        <item x="533"/>
        <item x="663"/>
        <item x="669"/>
        <item x="394"/>
        <item x="252"/>
        <item x="154"/>
        <item x="200"/>
        <item x="372"/>
        <item x="188"/>
        <item x="299"/>
        <item x="460"/>
        <item x="574"/>
        <item x="105"/>
        <item x="642"/>
        <item x="98"/>
        <item x="639"/>
        <item x="345"/>
        <item x="649"/>
        <item x="629"/>
        <item x="593"/>
        <item x="282"/>
        <item x="26"/>
        <item x="453"/>
        <item x="182"/>
        <item x="507"/>
        <item x="336"/>
        <item x="97"/>
        <item x="396"/>
        <item x="562"/>
        <item x="388"/>
        <item x="433"/>
        <item x="99"/>
        <item x="528"/>
        <item x="81"/>
        <item x="437"/>
        <item x="237"/>
        <item x="429"/>
        <item x="375"/>
        <item x="0"/>
        <item x="647"/>
        <item x="87"/>
        <item x="557"/>
        <item x="552"/>
        <item x="12"/>
        <item x="292"/>
        <item x="438"/>
        <item x="354"/>
        <item x="136"/>
        <item x="142"/>
        <item x="304"/>
        <item x="202"/>
        <item x="209"/>
        <item x="425"/>
        <item x="112"/>
        <item x="601"/>
        <item x="522"/>
        <item x="568"/>
        <item x="632"/>
        <item x="78"/>
        <item x="350"/>
        <item x="422"/>
        <item x="229"/>
        <item x="427"/>
        <item x="343"/>
        <item x="634"/>
        <item x="14"/>
        <item x="196"/>
        <item x="645"/>
        <item x="80"/>
        <item x="85"/>
        <item x="419"/>
        <item x="486"/>
        <item x="605"/>
        <item x="148"/>
        <item x="519"/>
        <item x="660"/>
        <item x="220"/>
        <item x="311"/>
        <item x="320"/>
        <item x="38"/>
        <item x="199"/>
        <item x="164"/>
        <item x="168"/>
        <item x="173"/>
        <item x="518"/>
        <item x="406"/>
        <item x="7"/>
        <item x="276"/>
        <item x="399"/>
        <item x="357"/>
        <item x="665"/>
        <item x="584"/>
        <item x="322"/>
        <item x="335"/>
        <item x="2"/>
        <item x="126"/>
        <item x="654"/>
        <item x="216"/>
        <item x="442"/>
        <item x="383"/>
        <item x="162"/>
        <item x="353"/>
        <item x="49"/>
        <item x="458"/>
        <item x="570"/>
        <item x="553"/>
        <item x="270"/>
        <item x="472"/>
        <item x="414"/>
        <item x="573"/>
        <item x="211"/>
        <item x="672"/>
        <item x="104"/>
        <item x="94"/>
        <item x="300"/>
        <item x="636"/>
        <item x="138"/>
        <item x="465"/>
        <item x="123"/>
        <item x="5"/>
        <item x="582"/>
        <item x="397"/>
        <item x="22"/>
        <item x="231"/>
        <item x="360"/>
        <item x="461"/>
        <item x="297"/>
        <item x="514"/>
        <item x="621"/>
        <item x="648"/>
        <item x="440"/>
        <item x="160"/>
        <item x="575"/>
        <item x="193"/>
        <item x="333"/>
        <item x="488"/>
        <item x="156"/>
        <item x="222"/>
        <item x="273"/>
        <item x="579"/>
        <item x="61"/>
        <item x="501"/>
        <item x="602"/>
        <item x="215"/>
        <item x="530"/>
        <item x="318"/>
        <item x="206"/>
        <item x="385"/>
        <item x="125"/>
        <item x="253"/>
        <item x="114"/>
        <item x="631"/>
        <item x="101"/>
        <item x="6"/>
        <item x="490"/>
        <item x="334"/>
        <item x="217"/>
        <item x="75"/>
        <item x="423"/>
        <item x="146"/>
        <item x="264"/>
        <item x="664"/>
        <item x="463"/>
        <item x="280"/>
        <item x="111"/>
        <item x="108"/>
        <item x="564"/>
        <item x="66"/>
        <item x="135"/>
        <item x="610"/>
        <item x="346"/>
        <item x="479"/>
        <item x="106"/>
        <item x="556"/>
        <item x="674"/>
        <item x="257"/>
        <item x="510"/>
        <item x="395"/>
        <item x="30"/>
        <item x="408"/>
        <item x="474"/>
        <item x="169"/>
        <item x="328"/>
        <item x="600"/>
        <item x="539"/>
        <item x="37"/>
        <item x="157"/>
        <item x="409"/>
        <item x="646"/>
        <item x="546"/>
        <item x="668"/>
        <item x="21"/>
        <item x="92"/>
        <item x="332"/>
        <item x="421"/>
        <item x="244"/>
        <item x="447"/>
        <item x="594"/>
        <item x="91"/>
        <item x="413"/>
        <item x="327"/>
        <item x="391"/>
        <item x="367"/>
        <item x="565"/>
        <item x="234"/>
        <item x="124"/>
        <item x="325"/>
        <item x="313"/>
        <item x="581"/>
        <item x="489"/>
        <item x="79"/>
        <item x="130"/>
        <item x="69"/>
        <item x="161"/>
        <item x="150"/>
        <item x="11"/>
        <item x="163"/>
        <item x="117"/>
        <item x="515"/>
        <item x="53"/>
        <item x="616"/>
        <item x="348"/>
        <item x="127"/>
        <item x="251"/>
        <item x="268"/>
        <item x="46"/>
        <item x="301"/>
        <item x="317"/>
        <item x="544"/>
        <item x="657"/>
        <item x="151"/>
        <item x="33"/>
        <item x="436"/>
        <item x="462"/>
        <item x="113"/>
        <item x="18"/>
        <item x="356"/>
        <item x="287"/>
        <item x="230"/>
        <item x="68"/>
        <item x="86"/>
        <item x="508"/>
        <item x="238"/>
        <item x="491"/>
        <item x="370"/>
        <item x="57"/>
        <item x="59"/>
        <item x="208"/>
        <item x="32"/>
        <item x="558"/>
        <item x="178"/>
        <item x="566"/>
        <item x="52"/>
        <item x="455"/>
        <item x="452"/>
        <item x="384"/>
        <item x="500"/>
        <item x="147"/>
        <item x="306"/>
        <item x="525"/>
        <item x="180"/>
        <item x="611"/>
        <item x="400"/>
        <item x="652"/>
        <item x="587"/>
        <item x="210"/>
        <item x="56"/>
        <item x="504"/>
        <item x="599"/>
        <item x="485"/>
        <item x="40"/>
        <item x="678"/>
        <item x="389"/>
        <item x="380"/>
        <item x="3"/>
        <item x="285"/>
        <item x="583"/>
        <item x="223"/>
        <item x="51"/>
        <item x="109"/>
        <item x="31"/>
        <item x="70"/>
        <item x="603"/>
        <item x="35"/>
        <item x="637"/>
        <item x="361"/>
        <item x="272"/>
        <item x="34"/>
        <item x="8"/>
        <item x="185"/>
        <item x="258"/>
        <item x="358"/>
        <item x="269"/>
        <item x="152"/>
        <item x="235"/>
        <item x="420"/>
        <item x="323"/>
        <item x="432"/>
        <item x="365"/>
        <item x="543"/>
        <item x="262"/>
        <item x="362"/>
        <item x="407"/>
        <item x="477"/>
        <item x="212"/>
        <item x="274"/>
        <item x="377"/>
        <item x="536"/>
        <item x="578"/>
        <item x="341"/>
        <item x="369"/>
        <item x="219"/>
        <item x="534"/>
        <item x="502"/>
        <item x="128"/>
        <item x="441"/>
        <item x="378"/>
        <item x="591"/>
        <item x="250"/>
        <item x="62"/>
        <item x="655"/>
        <item x="555"/>
        <item x="278"/>
        <item x="481"/>
        <item x="381"/>
        <item x="47"/>
        <item x="267"/>
        <item x="227"/>
        <item x="606"/>
        <item x="614"/>
        <item x="83"/>
        <item x="626"/>
        <item x="319"/>
        <item x="255"/>
        <item x="430"/>
        <item x="509"/>
        <item x="612"/>
        <item x="624"/>
        <item x="650"/>
        <item x="284"/>
        <item x="315"/>
        <item x="221"/>
        <item x="548"/>
        <item x="627"/>
        <item x="466"/>
        <item x="9"/>
        <item x="604"/>
        <item x="467"/>
        <item x="590"/>
        <item x="535"/>
        <item x="411"/>
        <item x="198"/>
        <item x="149"/>
        <item x="497"/>
        <item x="291"/>
        <item x="184"/>
        <item x="197"/>
        <item x="25"/>
        <item x="165"/>
        <item x="241"/>
        <item x="426"/>
        <item x="659"/>
        <item x="330"/>
        <item x="226"/>
        <item x="139"/>
        <item x="585"/>
        <item x="48"/>
        <item x="619"/>
        <item x="673"/>
        <item x="195"/>
        <item x="82"/>
        <item x="630"/>
        <item x="316"/>
        <item x="102"/>
        <item x="537"/>
        <item x="107"/>
        <item x="24"/>
        <item x="478"/>
        <item x="260"/>
        <item x="247"/>
        <item x="131"/>
        <item x="625"/>
        <item x="371"/>
        <item x="476"/>
        <item x="640"/>
        <item x="10"/>
        <item x="141"/>
        <item x="225"/>
        <item x="608"/>
        <item x="329"/>
        <item x="475"/>
        <item x="586"/>
        <item x="376"/>
        <item x="494"/>
        <item x="256"/>
        <item x="132"/>
        <item x="183"/>
        <item x="76"/>
        <item x="596"/>
        <item x="681"/>
        <item x="321"/>
        <item x="523"/>
        <item x="374"/>
        <item x="496"/>
        <item x="563"/>
        <item x="277"/>
        <item x="607"/>
        <item x="512"/>
        <item x="382"/>
        <item x="412"/>
        <item x="545"/>
        <item x="60"/>
        <item x="469"/>
        <item x="635"/>
        <item x="192"/>
        <item x="589"/>
        <item x="527"/>
        <item x="415"/>
        <item x="559"/>
        <item x="294"/>
        <item x="439"/>
        <item x="120"/>
        <item x="201"/>
        <item x="671"/>
        <item x="115"/>
        <item x="331"/>
        <item x="293"/>
        <item x="265"/>
        <item x="302"/>
        <item x="288"/>
        <item x="547"/>
        <item x="73"/>
        <item x="309"/>
        <item x="344"/>
        <item x="597"/>
        <item x="651"/>
        <item x="1"/>
        <item x="137"/>
        <item x="454"/>
        <item x="492"/>
        <item x="4"/>
        <item x="622"/>
        <item x="266"/>
        <item x="431"/>
        <item x="521"/>
        <item x="296"/>
        <item x="275"/>
        <item x="592"/>
        <item x="498"/>
        <item x="680"/>
        <item x="72"/>
        <item x="144"/>
        <item x="484"/>
        <item x="549"/>
        <item x="283"/>
        <item x="459"/>
        <item x="29"/>
        <item x="110"/>
        <item x="641"/>
        <item x="505"/>
        <item x="676"/>
        <item x="609"/>
        <item x="245"/>
        <item x="50"/>
        <item x="174"/>
        <item x="116"/>
        <item x="653"/>
        <item x="355"/>
        <item x="417"/>
        <item x="532"/>
        <item x="308"/>
        <item x="20"/>
        <item x="159"/>
        <item x="337"/>
        <item x="618"/>
        <item x="189"/>
        <item x="571"/>
        <item x="261"/>
        <item x="550"/>
        <item x="541"/>
        <item x="402"/>
        <item x="172"/>
        <item x="194"/>
        <item x="89"/>
        <item x="404"/>
        <item x="290"/>
        <item x="74"/>
        <item x="444"/>
        <item x="464"/>
        <item x="667"/>
        <item x="487"/>
        <item x="416"/>
        <item x="289"/>
        <item x="205"/>
        <item x="42"/>
        <item x="93"/>
        <item x="393"/>
        <item x="363"/>
        <item x="41"/>
        <item x="281"/>
        <item x="524"/>
        <item x="662"/>
        <item x="254"/>
        <item x="623"/>
        <item x="410"/>
        <item x="191"/>
        <item x="84"/>
        <item x="224"/>
        <item x="271"/>
        <item x="351"/>
        <item x="145"/>
        <item x="259"/>
        <item x="67"/>
        <item x="620"/>
        <item x="493"/>
        <item x="15"/>
        <item x="526"/>
        <item x="403"/>
        <item x="577"/>
        <item x="16"/>
        <item x="572"/>
        <item x="45"/>
        <item x="661"/>
        <item x="551"/>
        <item x="39"/>
        <item x="435"/>
        <item x="682"/>
        <item t="default"/>
      </items>
    </pivotField>
    <pivotField dataField="1" showAll="0"/>
    <pivotField showAll="0"/>
    <pivotField dataField="1" showAll="0"/>
    <pivotField showAll="0"/>
    <pivotField showAll="0"/>
    <pivotField showAll="0"/>
  </pivotFields>
  <rowFields count="1">
    <field x="1"/>
  </rowFields>
  <rowItems count="6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ice" fld="2" subtotal="average" baseField="1" baseItem="0"/>
    <dataField name="Average of competitor_price" fld="4" subtotal="average" baseField="1" baseItem="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56082-2B79-4265-AF8A-08A0497CD6F4}">
  <dimension ref="A3:B8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8.21875" bestFit="1" customWidth="1"/>
  </cols>
  <sheetData>
    <row r="3" spans="1:2" x14ac:dyDescent="0.3">
      <c r="A3" s="1" t="s">
        <v>2230</v>
      </c>
      <c r="B3" t="s">
        <v>2236</v>
      </c>
    </row>
    <row r="4" spans="1:2" x14ac:dyDescent="0.3">
      <c r="A4" s="2" t="s">
        <v>2231</v>
      </c>
      <c r="B4" s="3">
        <v>524</v>
      </c>
    </row>
    <row r="5" spans="1:2" x14ac:dyDescent="0.3">
      <c r="A5" s="2" t="s">
        <v>2237</v>
      </c>
      <c r="B5" s="3"/>
    </row>
    <row r="6" spans="1:2" x14ac:dyDescent="0.3">
      <c r="A6" s="2" t="s">
        <v>2234</v>
      </c>
      <c r="B6" s="3">
        <v>994</v>
      </c>
    </row>
    <row r="7" spans="1:2" x14ac:dyDescent="0.3">
      <c r="A7" s="2" t="s">
        <v>2235</v>
      </c>
      <c r="B7" s="3">
        <v>482</v>
      </c>
    </row>
    <row r="8" spans="1:2" x14ac:dyDescent="0.3">
      <c r="A8" s="2" t="s">
        <v>2233</v>
      </c>
      <c r="B8" s="3">
        <v>2000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983C-3E29-4EB0-B2E3-F3502FE36D31}">
  <dimension ref="A3:C687"/>
  <sheetViews>
    <sheetView tabSelected="1" workbookViewId="0">
      <selection activeCell="M3" sqref="M3"/>
    </sheetView>
  </sheetViews>
  <sheetFormatPr defaultRowHeight="14.4" x14ac:dyDescent="0.3"/>
  <cols>
    <col min="1" max="1" width="33.6640625" bestFit="1" customWidth="1"/>
    <col min="2" max="2" width="14.77734375" bestFit="1" customWidth="1"/>
    <col min="3" max="3" width="25.44140625" bestFit="1" customWidth="1"/>
  </cols>
  <sheetData>
    <row r="3" spans="1:3" x14ac:dyDescent="0.3">
      <c r="A3" s="1" t="s">
        <v>2230</v>
      </c>
      <c r="B3" t="s">
        <v>2238</v>
      </c>
      <c r="C3" t="s">
        <v>2239</v>
      </c>
    </row>
    <row r="4" spans="1:3" x14ac:dyDescent="0.3">
      <c r="A4" s="2" t="s">
        <v>295</v>
      </c>
      <c r="B4" s="3">
        <v>107.7</v>
      </c>
      <c r="C4" s="3">
        <v>106.88939859559817</v>
      </c>
    </row>
    <row r="5" spans="1:3" x14ac:dyDescent="0.3">
      <c r="A5" s="2" t="s">
        <v>2139</v>
      </c>
      <c r="B5" s="3">
        <v>19.899999999999999</v>
      </c>
      <c r="C5" s="3">
        <v>20.251248192439483</v>
      </c>
    </row>
    <row r="6" spans="1:3" x14ac:dyDescent="0.3">
      <c r="A6" s="2" t="s">
        <v>2127</v>
      </c>
      <c r="B6" s="3">
        <v>115</v>
      </c>
      <c r="C6" s="3">
        <v>113.67693981340503</v>
      </c>
    </row>
    <row r="7" spans="1:3" x14ac:dyDescent="0.3">
      <c r="A7" s="2" t="s">
        <v>136</v>
      </c>
      <c r="B7" s="3">
        <v>78</v>
      </c>
      <c r="C7" s="3">
        <v>79.856465921382849</v>
      </c>
    </row>
    <row r="8" spans="1:3" x14ac:dyDescent="0.3">
      <c r="A8" s="2" t="s">
        <v>1778</v>
      </c>
      <c r="B8" s="3">
        <v>70</v>
      </c>
      <c r="C8" s="3">
        <v>73.643199679798386</v>
      </c>
    </row>
    <row r="9" spans="1:3" x14ac:dyDescent="0.3">
      <c r="A9" s="2" t="s">
        <v>944</v>
      </c>
      <c r="B9" s="3">
        <v>93</v>
      </c>
      <c r="C9" s="3">
        <v>84.36555895823092</v>
      </c>
    </row>
    <row r="10" spans="1:3" x14ac:dyDescent="0.3">
      <c r="A10" s="2" t="s">
        <v>515</v>
      </c>
      <c r="B10" s="3">
        <v>217.26499999999999</v>
      </c>
      <c r="C10" s="3">
        <v>219.08557632331514</v>
      </c>
    </row>
    <row r="11" spans="1:3" x14ac:dyDescent="0.3">
      <c r="A11" s="2" t="s">
        <v>766</v>
      </c>
      <c r="B11" s="3">
        <v>104.99</v>
      </c>
      <c r="C11" s="3">
        <v>109.45181646577377</v>
      </c>
    </row>
    <row r="12" spans="1:3" x14ac:dyDescent="0.3">
      <c r="A12" s="2" t="s">
        <v>139</v>
      </c>
      <c r="B12" s="3">
        <v>156.26666666666668</v>
      </c>
      <c r="C12" s="3">
        <v>163.1045340742794</v>
      </c>
    </row>
    <row r="13" spans="1:3" x14ac:dyDescent="0.3">
      <c r="A13" s="2" t="s">
        <v>2001</v>
      </c>
      <c r="B13" s="3">
        <v>89.9</v>
      </c>
      <c r="C13" s="3">
        <v>92.771844640598303</v>
      </c>
    </row>
    <row r="14" spans="1:3" x14ac:dyDescent="0.3">
      <c r="A14" s="2" t="s">
        <v>1105</v>
      </c>
      <c r="B14" s="3">
        <v>98</v>
      </c>
      <c r="C14" s="3">
        <v>99.267370748797219</v>
      </c>
    </row>
    <row r="15" spans="1:3" x14ac:dyDescent="0.3">
      <c r="A15" s="2" t="s">
        <v>1358</v>
      </c>
      <c r="B15" s="3">
        <v>104.9</v>
      </c>
      <c r="C15" s="3">
        <v>111.92366086954176</v>
      </c>
    </row>
    <row r="16" spans="1:3" x14ac:dyDescent="0.3">
      <c r="A16" s="2" t="s">
        <v>422</v>
      </c>
      <c r="B16" s="3">
        <v>58.06666666666667</v>
      </c>
      <c r="C16" s="3">
        <v>56.670833185815603</v>
      </c>
    </row>
    <row r="17" spans="1:3" x14ac:dyDescent="0.3">
      <c r="A17" s="2" t="s">
        <v>620</v>
      </c>
      <c r="B17" s="3">
        <v>142</v>
      </c>
      <c r="C17" s="3">
        <v>146.07956569478716</v>
      </c>
    </row>
    <row r="18" spans="1:3" x14ac:dyDescent="0.3">
      <c r="A18" s="2" t="s">
        <v>1747</v>
      </c>
      <c r="B18" s="3">
        <v>148.5</v>
      </c>
      <c r="C18" s="3">
        <v>145.06550290421686</v>
      </c>
    </row>
    <row r="19" spans="1:3" x14ac:dyDescent="0.3">
      <c r="A19" s="2" t="s">
        <v>125</v>
      </c>
      <c r="B19" s="3">
        <v>94.5</v>
      </c>
      <c r="C19" s="3">
        <v>91.134616845537835</v>
      </c>
    </row>
    <row r="20" spans="1:3" x14ac:dyDescent="0.3">
      <c r="A20" s="2" t="s">
        <v>1346</v>
      </c>
      <c r="B20" s="3">
        <v>41.9</v>
      </c>
      <c r="C20" s="3">
        <v>43.220161358112975</v>
      </c>
    </row>
    <row r="21" spans="1:3" x14ac:dyDescent="0.3">
      <c r="A21" s="2" t="s">
        <v>751</v>
      </c>
      <c r="B21" s="3">
        <v>1820</v>
      </c>
      <c r="C21" s="3">
        <v>1953.1050164852736</v>
      </c>
    </row>
    <row r="22" spans="1:3" x14ac:dyDescent="0.3">
      <c r="A22" s="2" t="s">
        <v>1004</v>
      </c>
      <c r="B22" s="3">
        <v>69.233333333333334</v>
      </c>
      <c r="C22" s="3">
        <v>71.791392878282991</v>
      </c>
    </row>
    <row r="23" spans="1:3" x14ac:dyDescent="0.3">
      <c r="A23" s="2" t="s">
        <v>2176</v>
      </c>
      <c r="B23" s="3">
        <v>14</v>
      </c>
      <c r="C23" s="3">
        <v>13.698961760035424</v>
      </c>
    </row>
    <row r="24" spans="1:3" x14ac:dyDescent="0.3">
      <c r="A24" s="2" t="s">
        <v>440</v>
      </c>
      <c r="B24" s="3">
        <v>25.79</v>
      </c>
      <c r="C24" s="3">
        <v>25.742398310014899</v>
      </c>
    </row>
    <row r="25" spans="1:3" x14ac:dyDescent="0.3">
      <c r="A25" s="2" t="s">
        <v>192</v>
      </c>
      <c r="B25" s="3">
        <v>88.39</v>
      </c>
      <c r="C25" s="3">
        <v>88.06241701465801</v>
      </c>
    </row>
    <row r="26" spans="1:3" x14ac:dyDescent="0.3">
      <c r="A26" s="2" t="s">
        <v>209</v>
      </c>
      <c r="B26" s="3">
        <v>173.29666666666665</v>
      </c>
      <c r="C26" s="3">
        <v>175.83256898545093</v>
      </c>
    </row>
    <row r="27" spans="1:3" x14ac:dyDescent="0.3">
      <c r="A27" s="2" t="s">
        <v>993</v>
      </c>
      <c r="B27" s="3">
        <v>109.94499999999999</v>
      </c>
      <c r="C27" s="3">
        <v>109.26365170828626</v>
      </c>
    </row>
    <row r="28" spans="1:3" x14ac:dyDescent="0.3">
      <c r="A28" s="2" t="s">
        <v>654</v>
      </c>
      <c r="B28" s="3">
        <v>23.4725</v>
      </c>
      <c r="C28" s="3">
        <v>22.751615655947916</v>
      </c>
    </row>
    <row r="29" spans="1:3" x14ac:dyDescent="0.3">
      <c r="A29" s="2" t="s">
        <v>1204</v>
      </c>
      <c r="B29" s="3">
        <v>179.49</v>
      </c>
      <c r="C29" s="3">
        <v>181.31993356601987</v>
      </c>
    </row>
    <row r="30" spans="1:3" x14ac:dyDescent="0.3">
      <c r="A30" s="2" t="s">
        <v>614</v>
      </c>
      <c r="B30" s="3">
        <v>7.9</v>
      </c>
      <c r="C30" s="3">
        <v>8.519039118066777</v>
      </c>
    </row>
    <row r="31" spans="1:3" x14ac:dyDescent="0.3">
      <c r="A31" s="2" t="s">
        <v>115</v>
      </c>
      <c r="B31" s="3">
        <v>104</v>
      </c>
      <c r="C31" s="3">
        <v>103.53702466878154</v>
      </c>
    </row>
    <row r="32" spans="1:3" x14ac:dyDescent="0.3">
      <c r="A32" s="2" t="s">
        <v>1493</v>
      </c>
      <c r="B32" s="3">
        <v>25.99</v>
      </c>
      <c r="C32" s="3">
        <v>25.585022211262178</v>
      </c>
    </row>
    <row r="33" spans="1:3" x14ac:dyDescent="0.3">
      <c r="A33" s="2" t="s">
        <v>782</v>
      </c>
      <c r="B33" s="3">
        <v>25.778571428571432</v>
      </c>
      <c r="C33" s="3">
        <v>24.87516785622115</v>
      </c>
    </row>
    <row r="34" spans="1:3" x14ac:dyDescent="0.3">
      <c r="A34" s="2" t="s">
        <v>1623</v>
      </c>
      <c r="B34" s="3">
        <v>109.9</v>
      </c>
      <c r="C34" s="3">
        <v>104.08454379523867</v>
      </c>
    </row>
    <row r="35" spans="1:3" x14ac:dyDescent="0.3">
      <c r="A35" s="2" t="s">
        <v>196</v>
      </c>
      <c r="B35" s="3">
        <v>90.323999999999998</v>
      </c>
      <c r="C35" s="3">
        <v>91.692676283067186</v>
      </c>
    </row>
    <row r="36" spans="1:3" x14ac:dyDescent="0.3">
      <c r="A36" s="2" t="s">
        <v>1062</v>
      </c>
      <c r="B36" s="3">
        <v>42.44</v>
      </c>
      <c r="C36" s="3">
        <v>41.229702871856368</v>
      </c>
    </row>
    <row r="37" spans="1:3" x14ac:dyDescent="0.3">
      <c r="A37" s="2" t="s">
        <v>207</v>
      </c>
      <c r="B37" s="3">
        <v>37.9</v>
      </c>
      <c r="C37" s="3">
        <v>40.235821442824971</v>
      </c>
    </row>
    <row r="38" spans="1:3" x14ac:dyDescent="0.3">
      <c r="A38" s="2" t="s">
        <v>1021</v>
      </c>
      <c r="B38" s="3">
        <v>59.9</v>
      </c>
      <c r="C38" s="3">
        <v>58.789111028671755</v>
      </c>
    </row>
    <row r="39" spans="1:3" x14ac:dyDescent="0.3">
      <c r="A39" s="2" t="s">
        <v>605</v>
      </c>
      <c r="B39" s="3">
        <v>51.6</v>
      </c>
      <c r="C39" s="3">
        <v>55.972768105424493</v>
      </c>
    </row>
    <row r="40" spans="1:3" x14ac:dyDescent="0.3">
      <c r="A40" s="2" t="s">
        <v>575</v>
      </c>
      <c r="B40" s="3">
        <v>65.95</v>
      </c>
      <c r="C40" s="3">
        <v>67.688613113340679</v>
      </c>
    </row>
    <row r="41" spans="1:3" x14ac:dyDescent="0.3">
      <c r="A41" s="2" t="s">
        <v>1546</v>
      </c>
      <c r="B41" s="3">
        <v>29.95</v>
      </c>
      <c r="C41" s="3">
        <v>29.073180341968392</v>
      </c>
    </row>
    <row r="42" spans="1:3" x14ac:dyDescent="0.3">
      <c r="A42" s="2" t="s">
        <v>696</v>
      </c>
      <c r="B42" s="3">
        <v>88.9</v>
      </c>
      <c r="C42" s="3">
        <v>93.556090565900789</v>
      </c>
    </row>
    <row r="43" spans="1:3" x14ac:dyDescent="0.3">
      <c r="A43" s="2" t="s">
        <v>225</v>
      </c>
      <c r="B43" s="3">
        <v>46.2</v>
      </c>
      <c r="C43" s="3">
        <v>44.111328463753651</v>
      </c>
    </row>
    <row r="44" spans="1:3" x14ac:dyDescent="0.3">
      <c r="A44" s="2" t="s">
        <v>153</v>
      </c>
      <c r="B44" s="3">
        <v>106</v>
      </c>
      <c r="C44" s="3">
        <v>99.562697489226352</v>
      </c>
    </row>
    <row r="45" spans="1:3" x14ac:dyDescent="0.3">
      <c r="A45" s="2" t="s">
        <v>1407</v>
      </c>
      <c r="B45" s="3">
        <v>106.58999999999999</v>
      </c>
      <c r="C45" s="3">
        <v>108.38133202425621</v>
      </c>
    </row>
    <row r="46" spans="1:3" x14ac:dyDescent="0.3">
      <c r="A46" s="2" t="s">
        <v>1754</v>
      </c>
      <c r="B46" s="3">
        <v>44.900000000000006</v>
      </c>
      <c r="C46" s="3">
        <v>44.63112345655297</v>
      </c>
    </row>
    <row r="47" spans="1:3" x14ac:dyDescent="0.3">
      <c r="A47" s="2" t="s">
        <v>607</v>
      </c>
      <c r="B47" s="3">
        <v>146.9</v>
      </c>
      <c r="C47" s="3">
        <v>140.56910334503377</v>
      </c>
    </row>
    <row r="48" spans="1:3" x14ac:dyDescent="0.3">
      <c r="A48" s="2" t="s">
        <v>1821</v>
      </c>
      <c r="B48" s="3">
        <v>89.15</v>
      </c>
      <c r="C48" s="3">
        <v>89.510115655238522</v>
      </c>
    </row>
    <row r="49" spans="1:3" x14ac:dyDescent="0.3">
      <c r="A49" s="2" t="s">
        <v>1922</v>
      </c>
      <c r="B49" s="3">
        <v>65</v>
      </c>
      <c r="C49" s="3">
        <v>69.289547885965959</v>
      </c>
    </row>
    <row r="50" spans="1:3" x14ac:dyDescent="0.3">
      <c r="A50" s="2" t="s">
        <v>438</v>
      </c>
      <c r="B50" s="3">
        <v>94.740731707317096</v>
      </c>
      <c r="C50" s="3">
        <v>93.329562507060345</v>
      </c>
    </row>
    <row r="51" spans="1:3" x14ac:dyDescent="0.3">
      <c r="A51" s="2" t="s">
        <v>1118</v>
      </c>
      <c r="B51" s="3">
        <v>57.793333333333329</v>
      </c>
      <c r="C51" s="3">
        <v>54.458928144316815</v>
      </c>
    </row>
    <row r="52" spans="1:3" x14ac:dyDescent="0.3">
      <c r="A52" s="2" t="s">
        <v>1522</v>
      </c>
      <c r="B52" s="3">
        <v>14</v>
      </c>
      <c r="C52" s="3">
        <v>13.323508231104272</v>
      </c>
    </row>
    <row r="53" spans="1:3" x14ac:dyDescent="0.3">
      <c r="A53" s="2" t="s">
        <v>526</v>
      </c>
      <c r="B53" s="3">
        <v>60.663333333333334</v>
      </c>
      <c r="C53" s="3">
        <v>62.160388592776393</v>
      </c>
    </row>
    <row r="54" spans="1:3" x14ac:dyDescent="0.3">
      <c r="A54" s="2" t="s">
        <v>1791</v>
      </c>
      <c r="B54" s="3">
        <v>138</v>
      </c>
      <c r="C54" s="3">
        <v>139.88421958284837</v>
      </c>
    </row>
    <row r="55" spans="1:3" x14ac:dyDescent="0.3">
      <c r="A55" s="2" t="s">
        <v>489</v>
      </c>
      <c r="B55" s="3">
        <v>20.700000000000003</v>
      </c>
      <c r="C55" s="3">
        <v>20.725943226603246</v>
      </c>
    </row>
    <row r="56" spans="1:3" x14ac:dyDescent="0.3">
      <c r="A56" s="2" t="s">
        <v>117</v>
      </c>
      <c r="B56" s="3">
        <v>182.33333333333334</v>
      </c>
      <c r="C56" s="3">
        <v>191.12120678432154</v>
      </c>
    </row>
    <row r="57" spans="1:3" x14ac:dyDescent="0.3">
      <c r="A57" s="2" t="s">
        <v>1513</v>
      </c>
      <c r="B57" s="3">
        <v>39</v>
      </c>
      <c r="C57" s="3">
        <v>42.351814398074694</v>
      </c>
    </row>
    <row r="58" spans="1:3" x14ac:dyDescent="0.3">
      <c r="A58" s="2" t="s">
        <v>2056</v>
      </c>
      <c r="B58" s="3">
        <v>46.63</v>
      </c>
      <c r="C58" s="3">
        <v>47.090244098263732</v>
      </c>
    </row>
    <row r="59" spans="1:3" x14ac:dyDescent="0.3">
      <c r="A59" s="2" t="s">
        <v>486</v>
      </c>
      <c r="B59" s="3">
        <v>449</v>
      </c>
      <c r="C59" s="3">
        <v>425.84293736305824</v>
      </c>
    </row>
    <row r="60" spans="1:3" x14ac:dyDescent="0.3">
      <c r="A60" s="2" t="s">
        <v>935</v>
      </c>
      <c r="B60" s="3">
        <v>35.9</v>
      </c>
      <c r="C60" s="3">
        <v>37.074785321116444</v>
      </c>
    </row>
    <row r="61" spans="1:3" x14ac:dyDescent="0.3">
      <c r="A61" s="2" t="s">
        <v>1870</v>
      </c>
      <c r="B61" s="3">
        <v>159</v>
      </c>
      <c r="C61" s="3">
        <v>158.36853847696719</v>
      </c>
    </row>
    <row r="62" spans="1:3" x14ac:dyDescent="0.3">
      <c r="A62" s="2" t="s">
        <v>61</v>
      </c>
      <c r="B62" s="3">
        <v>96.35799999999999</v>
      </c>
      <c r="C62" s="3">
        <v>100.41328317010164</v>
      </c>
    </row>
    <row r="63" spans="1:3" x14ac:dyDescent="0.3">
      <c r="A63" s="2" t="s">
        <v>1294</v>
      </c>
      <c r="B63" s="3">
        <v>90</v>
      </c>
      <c r="C63" s="3">
        <v>87.690751654966505</v>
      </c>
    </row>
    <row r="64" spans="1:3" x14ac:dyDescent="0.3">
      <c r="A64" s="2" t="s">
        <v>59</v>
      </c>
      <c r="B64" s="3">
        <v>38.895714285714284</v>
      </c>
      <c r="C64" s="3">
        <v>40.004030687230738</v>
      </c>
    </row>
    <row r="65" spans="1:3" x14ac:dyDescent="0.3">
      <c r="A65" s="2" t="s">
        <v>1706</v>
      </c>
      <c r="B65" s="3">
        <v>89</v>
      </c>
      <c r="C65" s="3">
        <v>95.977531124247704</v>
      </c>
    </row>
    <row r="66" spans="1:3" x14ac:dyDescent="0.3">
      <c r="A66" s="2" t="s">
        <v>357</v>
      </c>
      <c r="B66" s="3">
        <v>249</v>
      </c>
      <c r="C66" s="3">
        <v>244.28056969942674</v>
      </c>
    </row>
    <row r="67" spans="1:3" x14ac:dyDescent="0.3">
      <c r="A67" s="2" t="s">
        <v>2216</v>
      </c>
      <c r="B67" s="3">
        <v>329.9</v>
      </c>
      <c r="C67" s="3">
        <v>311.46872009210011</v>
      </c>
    </row>
    <row r="68" spans="1:3" x14ac:dyDescent="0.3">
      <c r="A68" s="2" t="s">
        <v>378</v>
      </c>
      <c r="B68" s="3">
        <v>197.53555555555559</v>
      </c>
      <c r="C68" s="3">
        <v>192.11057066083308</v>
      </c>
    </row>
    <row r="69" spans="1:3" x14ac:dyDescent="0.3">
      <c r="A69" s="2" t="s">
        <v>1234</v>
      </c>
      <c r="B69" s="3">
        <v>550</v>
      </c>
      <c r="C69" s="3">
        <v>576.92495800467248</v>
      </c>
    </row>
    <row r="70" spans="1:3" x14ac:dyDescent="0.3">
      <c r="A70" s="2" t="s">
        <v>141</v>
      </c>
      <c r="B70" s="3">
        <v>123.49125000000001</v>
      </c>
      <c r="C70" s="3">
        <v>119.56200205592792</v>
      </c>
    </row>
    <row r="71" spans="1:3" x14ac:dyDescent="0.3">
      <c r="A71" s="2" t="s">
        <v>1157</v>
      </c>
      <c r="B71" s="3">
        <v>34.4</v>
      </c>
      <c r="C71" s="3">
        <v>34.310573960925069</v>
      </c>
    </row>
    <row r="72" spans="1:3" x14ac:dyDescent="0.3">
      <c r="A72" s="2" t="s">
        <v>380</v>
      </c>
      <c r="B72" s="3">
        <v>73.933333333333337</v>
      </c>
      <c r="C72" s="3">
        <v>79.718240425078491</v>
      </c>
    </row>
    <row r="73" spans="1:3" x14ac:dyDescent="0.3">
      <c r="A73" s="2" t="s">
        <v>801</v>
      </c>
      <c r="B73" s="3">
        <v>19.45</v>
      </c>
      <c r="C73" s="3">
        <v>20.087814152322249</v>
      </c>
    </row>
    <row r="74" spans="1:3" x14ac:dyDescent="0.3">
      <c r="A74" s="2" t="s">
        <v>931</v>
      </c>
      <c r="B74" s="3">
        <v>56.656666666666666</v>
      </c>
      <c r="C74" s="3">
        <v>55.935550518378164</v>
      </c>
    </row>
    <row r="75" spans="1:3" x14ac:dyDescent="0.3">
      <c r="A75" s="2" t="s">
        <v>1266</v>
      </c>
      <c r="B75" s="3">
        <v>169.99</v>
      </c>
      <c r="C75" s="3">
        <v>180.94422286394146</v>
      </c>
    </row>
    <row r="76" spans="1:3" x14ac:dyDescent="0.3">
      <c r="A76" s="2" t="s">
        <v>588</v>
      </c>
      <c r="B76" s="3">
        <v>118.3</v>
      </c>
      <c r="C76" s="3">
        <v>123.18115047710391</v>
      </c>
    </row>
    <row r="77" spans="1:3" x14ac:dyDescent="0.3">
      <c r="A77" s="2" t="s">
        <v>598</v>
      </c>
      <c r="B77" s="3">
        <v>113.23333333333335</v>
      </c>
      <c r="C77" s="3">
        <v>112.49561271751092</v>
      </c>
    </row>
    <row r="78" spans="1:3" x14ac:dyDescent="0.3">
      <c r="A78" s="2" t="s">
        <v>1187</v>
      </c>
      <c r="B78" s="3">
        <v>314.99</v>
      </c>
      <c r="C78" s="3">
        <v>310.77911095994784</v>
      </c>
    </row>
    <row r="79" spans="1:3" x14ac:dyDescent="0.3">
      <c r="A79" s="2" t="s">
        <v>1252</v>
      </c>
      <c r="B79" s="3">
        <v>71.489999999999995</v>
      </c>
      <c r="C79" s="3">
        <v>71.310164281904008</v>
      </c>
    </row>
    <row r="80" spans="1:3" x14ac:dyDescent="0.3">
      <c r="A80" s="2" t="s">
        <v>269</v>
      </c>
      <c r="B80" s="3">
        <v>43.9</v>
      </c>
      <c r="C80" s="3">
        <v>40.721186040668158</v>
      </c>
    </row>
    <row r="81" spans="1:3" x14ac:dyDescent="0.3">
      <c r="A81" s="2" t="s">
        <v>1051</v>
      </c>
      <c r="B81" s="3">
        <v>151.44</v>
      </c>
      <c r="C81" s="3">
        <v>145.6778949347536</v>
      </c>
    </row>
    <row r="82" spans="1:3" x14ac:dyDescent="0.3">
      <c r="A82" s="2" t="s">
        <v>43</v>
      </c>
      <c r="B82" s="3">
        <v>39.683333333333337</v>
      </c>
      <c r="C82" s="3">
        <v>41.275156099150095</v>
      </c>
    </row>
    <row r="83" spans="1:3" x14ac:dyDescent="0.3">
      <c r="A83" s="2" t="s">
        <v>495</v>
      </c>
      <c r="B83" s="3">
        <v>59</v>
      </c>
      <c r="C83" s="3">
        <v>53.128135512631964</v>
      </c>
    </row>
    <row r="84" spans="1:3" x14ac:dyDescent="0.3">
      <c r="A84" s="2" t="s">
        <v>412</v>
      </c>
      <c r="B84" s="3">
        <v>103.5275</v>
      </c>
      <c r="C84" s="3">
        <v>104.77843917534771</v>
      </c>
    </row>
    <row r="85" spans="1:3" x14ac:dyDescent="0.3">
      <c r="A85" s="2" t="s">
        <v>859</v>
      </c>
      <c r="B85" s="3">
        <v>114.66666666666667</v>
      </c>
      <c r="C85" s="3">
        <v>111.5154465010129</v>
      </c>
    </row>
    <row r="86" spans="1:3" x14ac:dyDescent="0.3">
      <c r="A86" s="2" t="s">
        <v>2039</v>
      </c>
      <c r="B86" s="3">
        <v>23.99</v>
      </c>
      <c r="C86" s="3">
        <v>25.075707465671741</v>
      </c>
    </row>
    <row r="87" spans="1:3" x14ac:dyDescent="0.3">
      <c r="A87" s="2" t="s">
        <v>1099</v>
      </c>
      <c r="B87" s="3">
        <v>51.4</v>
      </c>
      <c r="C87" s="3">
        <v>56.123170969710692</v>
      </c>
    </row>
    <row r="88" spans="1:3" x14ac:dyDescent="0.3">
      <c r="A88" s="2" t="s">
        <v>271</v>
      </c>
      <c r="B88" s="3">
        <v>119.60000000000001</v>
      </c>
      <c r="C88" s="3">
        <v>127.17930469172283</v>
      </c>
    </row>
    <row r="89" spans="1:3" x14ac:dyDescent="0.3">
      <c r="A89" s="2" t="s">
        <v>350</v>
      </c>
      <c r="B89" s="3">
        <v>17.116249999999997</v>
      </c>
      <c r="C89" s="3">
        <v>16.170979836006733</v>
      </c>
    </row>
    <row r="90" spans="1:3" x14ac:dyDescent="0.3">
      <c r="A90" s="2" t="s">
        <v>317</v>
      </c>
      <c r="B90" s="3">
        <v>119.4</v>
      </c>
      <c r="C90" s="3">
        <v>115.30289221546506</v>
      </c>
    </row>
    <row r="91" spans="1:3" x14ac:dyDescent="0.3">
      <c r="A91" s="2" t="s">
        <v>1595</v>
      </c>
      <c r="B91" s="3">
        <v>462</v>
      </c>
      <c r="C91" s="3">
        <v>476.67987395705853</v>
      </c>
    </row>
    <row r="92" spans="1:3" x14ac:dyDescent="0.3">
      <c r="A92" s="2" t="s">
        <v>31</v>
      </c>
      <c r="B92" s="3">
        <v>51.331282051282088</v>
      </c>
      <c r="C92" s="3">
        <v>51.325359763864164</v>
      </c>
    </row>
    <row r="93" spans="1:3" x14ac:dyDescent="0.3">
      <c r="A93" s="2" t="s">
        <v>1446</v>
      </c>
      <c r="B93" s="3">
        <v>172.4</v>
      </c>
      <c r="C93" s="3">
        <v>179.86374445771463</v>
      </c>
    </row>
    <row r="94" spans="1:3" x14ac:dyDescent="0.3">
      <c r="A94" s="2" t="s">
        <v>1474</v>
      </c>
      <c r="B94" s="3">
        <v>21.99</v>
      </c>
      <c r="C94" s="3">
        <v>19.952501599755415</v>
      </c>
    </row>
    <row r="95" spans="1:3" x14ac:dyDescent="0.3">
      <c r="A95" s="2" t="s">
        <v>1461</v>
      </c>
      <c r="B95" s="3">
        <v>53.9</v>
      </c>
      <c r="C95" s="3">
        <v>57.641372442507496</v>
      </c>
    </row>
    <row r="96" spans="1:3" x14ac:dyDescent="0.3">
      <c r="A96" s="2" t="s">
        <v>447</v>
      </c>
      <c r="B96" s="3">
        <v>59.9</v>
      </c>
      <c r="C96" s="3">
        <v>54.352296413447931</v>
      </c>
    </row>
    <row r="97" spans="1:3" x14ac:dyDescent="0.3">
      <c r="A97" s="2" t="s">
        <v>416</v>
      </c>
      <c r="B97" s="3">
        <v>27.181000000000004</v>
      </c>
      <c r="C97" s="3">
        <v>26.80954162590416</v>
      </c>
    </row>
    <row r="98" spans="1:3" x14ac:dyDescent="0.3">
      <c r="A98" s="2" t="s">
        <v>965</v>
      </c>
      <c r="B98" s="3">
        <v>77.900000000000006</v>
      </c>
      <c r="C98" s="3">
        <v>75.300720243579065</v>
      </c>
    </row>
    <row r="99" spans="1:3" x14ac:dyDescent="0.3">
      <c r="A99" s="2" t="s">
        <v>555</v>
      </c>
      <c r="B99" s="3">
        <v>79</v>
      </c>
      <c r="C99" s="3">
        <v>71.303868459342212</v>
      </c>
    </row>
    <row r="100" spans="1:3" x14ac:dyDescent="0.3">
      <c r="A100" s="2" t="s">
        <v>39</v>
      </c>
      <c r="B100" s="3">
        <v>112.07142857142857</v>
      </c>
      <c r="C100" s="3">
        <v>115.11053854752801</v>
      </c>
    </row>
    <row r="101" spans="1:3" x14ac:dyDescent="0.3">
      <c r="A101" s="2" t="s">
        <v>1071</v>
      </c>
      <c r="B101" s="3">
        <v>75</v>
      </c>
      <c r="C101" s="3">
        <v>78.870692236380563</v>
      </c>
    </row>
    <row r="102" spans="1:3" x14ac:dyDescent="0.3">
      <c r="A102" s="2" t="s">
        <v>2192</v>
      </c>
      <c r="B102" s="3">
        <v>214</v>
      </c>
      <c r="C102" s="3">
        <v>211.32525765633602</v>
      </c>
    </row>
    <row r="103" spans="1:3" x14ac:dyDescent="0.3">
      <c r="A103" s="2" t="s">
        <v>573</v>
      </c>
      <c r="B103" s="3">
        <v>258.60000000000002</v>
      </c>
      <c r="C103" s="3">
        <v>250.25144917946983</v>
      </c>
    </row>
    <row r="104" spans="1:3" x14ac:dyDescent="0.3">
      <c r="A104" s="2" t="s">
        <v>166</v>
      </c>
      <c r="B104" s="3">
        <v>232.75</v>
      </c>
      <c r="C104" s="3">
        <v>231.39398178820628</v>
      </c>
    </row>
    <row r="105" spans="1:3" x14ac:dyDescent="0.3">
      <c r="A105" s="2" t="s">
        <v>262</v>
      </c>
      <c r="B105" s="3">
        <v>159.9</v>
      </c>
      <c r="C105" s="3">
        <v>166.25633120242804</v>
      </c>
    </row>
    <row r="106" spans="1:3" x14ac:dyDescent="0.3">
      <c r="A106" s="2" t="s">
        <v>297</v>
      </c>
      <c r="B106" s="3">
        <v>259</v>
      </c>
      <c r="C106" s="3">
        <v>275.40280688592861</v>
      </c>
    </row>
    <row r="107" spans="1:3" x14ac:dyDescent="0.3">
      <c r="A107" s="2" t="s">
        <v>1228</v>
      </c>
      <c r="B107" s="3">
        <v>57.2</v>
      </c>
      <c r="C107" s="3">
        <v>57.14211797864354</v>
      </c>
    </row>
    <row r="108" spans="1:3" x14ac:dyDescent="0.3">
      <c r="A108" s="2" t="s">
        <v>1395</v>
      </c>
      <c r="B108" s="3">
        <v>57.400000000000006</v>
      </c>
      <c r="C108" s="3">
        <v>59.452112669060682</v>
      </c>
    </row>
    <row r="109" spans="1:3" x14ac:dyDescent="0.3">
      <c r="A109" s="2" t="s">
        <v>821</v>
      </c>
      <c r="B109" s="3">
        <v>189</v>
      </c>
      <c r="C109" s="3">
        <v>195.94995366282848</v>
      </c>
    </row>
    <row r="110" spans="1:3" x14ac:dyDescent="0.3">
      <c r="A110" s="2" t="s">
        <v>77</v>
      </c>
      <c r="B110" s="3">
        <v>313.20500000000004</v>
      </c>
      <c r="C110" s="3">
        <v>304.68563944984686</v>
      </c>
    </row>
    <row r="111" spans="1:3" x14ac:dyDescent="0.3">
      <c r="A111" s="2" t="s">
        <v>1560</v>
      </c>
      <c r="B111" s="3">
        <v>29.060000000000002</v>
      </c>
      <c r="C111" s="3">
        <v>27.705816595795671</v>
      </c>
    </row>
    <row r="112" spans="1:3" x14ac:dyDescent="0.3">
      <c r="A112" s="2" t="s">
        <v>1615</v>
      </c>
      <c r="B112" s="3">
        <v>35</v>
      </c>
      <c r="C112" s="3">
        <v>38.011448912822679</v>
      </c>
    </row>
    <row r="113" spans="1:3" x14ac:dyDescent="0.3">
      <c r="A113" s="2" t="s">
        <v>311</v>
      </c>
      <c r="B113" s="3">
        <v>154</v>
      </c>
      <c r="C113" s="3">
        <v>140.27576872452775</v>
      </c>
    </row>
    <row r="114" spans="1:3" x14ac:dyDescent="0.3">
      <c r="A114" s="2" t="s">
        <v>2212</v>
      </c>
      <c r="B114" s="3">
        <v>25</v>
      </c>
      <c r="C114" s="3">
        <v>23.7185085797075</v>
      </c>
    </row>
    <row r="115" spans="1:3" x14ac:dyDescent="0.3">
      <c r="A115" s="2" t="s">
        <v>987</v>
      </c>
      <c r="B115" s="3">
        <v>39</v>
      </c>
      <c r="C115" s="3">
        <v>37.556339269094558</v>
      </c>
    </row>
    <row r="116" spans="1:3" x14ac:dyDescent="0.3">
      <c r="A116" s="2" t="s">
        <v>1934</v>
      </c>
      <c r="B116" s="3">
        <v>132.19999999999999</v>
      </c>
      <c r="C116" s="3">
        <v>134.87054904464463</v>
      </c>
    </row>
    <row r="117" spans="1:3" x14ac:dyDescent="0.3">
      <c r="A117" s="2" t="s">
        <v>1635</v>
      </c>
      <c r="B117" s="3">
        <v>98.9</v>
      </c>
      <c r="C117" s="3">
        <v>98.933982718678578</v>
      </c>
    </row>
    <row r="118" spans="1:3" x14ac:dyDescent="0.3">
      <c r="A118" s="2" t="s">
        <v>1300</v>
      </c>
      <c r="B118" s="3">
        <v>54.9</v>
      </c>
      <c r="C118" s="3">
        <v>50.382924933493626</v>
      </c>
    </row>
    <row r="119" spans="1:3" x14ac:dyDescent="0.3">
      <c r="A119" s="2" t="s">
        <v>1244</v>
      </c>
      <c r="B119" s="3">
        <v>50</v>
      </c>
      <c r="C119" s="3">
        <v>46.505250381875953</v>
      </c>
    </row>
    <row r="120" spans="1:3" x14ac:dyDescent="0.3">
      <c r="A120" s="2" t="s">
        <v>1237</v>
      </c>
      <c r="B120" s="3">
        <v>32.99</v>
      </c>
      <c r="C120" s="3">
        <v>36.028186900916168</v>
      </c>
    </row>
    <row r="121" spans="1:3" x14ac:dyDescent="0.3">
      <c r="A121" s="2" t="s">
        <v>1369</v>
      </c>
      <c r="B121" s="3">
        <v>56.95</v>
      </c>
      <c r="C121" s="3">
        <v>59.372487326687065</v>
      </c>
    </row>
    <row r="122" spans="1:3" x14ac:dyDescent="0.3">
      <c r="A122" s="2" t="s">
        <v>95</v>
      </c>
      <c r="B122" s="3">
        <v>77.45</v>
      </c>
      <c r="C122" s="3">
        <v>76.094092458811318</v>
      </c>
    </row>
    <row r="123" spans="1:3" x14ac:dyDescent="0.3">
      <c r="A123" s="2" t="s">
        <v>1261</v>
      </c>
      <c r="B123" s="3">
        <v>48.9</v>
      </c>
      <c r="C123" s="3">
        <v>52.902819486596954</v>
      </c>
    </row>
    <row r="124" spans="1:3" x14ac:dyDescent="0.3">
      <c r="A124" s="2" t="s">
        <v>919</v>
      </c>
      <c r="B124" s="3">
        <v>366.32</v>
      </c>
      <c r="C124" s="3">
        <v>369.16856258571869</v>
      </c>
    </row>
    <row r="125" spans="1:3" x14ac:dyDescent="0.3">
      <c r="A125" s="2" t="s">
        <v>2059</v>
      </c>
      <c r="B125" s="3">
        <v>37.5</v>
      </c>
      <c r="C125" s="3">
        <v>37.133222388017863</v>
      </c>
    </row>
    <row r="126" spans="1:3" x14ac:dyDescent="0.3">
      <c r="A126" s="2" t="s">
        <v>1718</v>
      </c>
      <c r="B126" s="3">
        <v>62.49</v>
      </c>
      <c r="C126" s="3">
        <v>56.54381238969485</v>
      </c>
    </row>
    <row r="127" spans="1:3" x14ac:dyDescent="0.3">
      <c r="A127" s="2" t="s">
        <v>1857</v>
      </c>
      <c r="B127" s="3">
        <v>220</v>
      </c>
      <c r="C127" s="3">
        <v>211.88503947118107</v>
      </c>
    </row>
    <row r="128" spans="1:3" x14ac:dyDescent="0.3">
      <c r="A128" s="2" t="s">
        <v>387</v>
      </c>
      <c r="B128" s="3">
        <v>76.333333333333329</v>
      </c>
      <c r="C128" s="3">
        <v>75.429956692732119</v>
      </c>
    </row>
    <row r="129" spans="1:3" x14ac:dyDescent="0.3">
      <c r="A129" s="2" t="s">
        <v>915</v>
      </c>
      <c r="B129" s="3">
        <v>136.44999999999999</v>
      </c>
      <c r="C129" s="3">
        <v>135.93101904098211</v>
      </c>
    </row>
    <row r="130" spans="1:3" x14ac:dyDescent="0.3">
      <c r="A130" s="2" t="s">
        <v>513</v>
      </c>
      <c r="B130" s="3">
        <v>14.99</v>
      </c>
      <c r="C130" s="3">
        <v>15.068179305030393</v>
      </c>
    </row>
    <row r="131" spans="1:3" x14ac:dyDescent="0.3">
      <c r="A131" s="2" t="s">
        <v>346</v>
      </c>
      <c r="B131" s="3">
        <v>64.823333333333338</v>
      </c>
      <c r="C131" s="3">
        <v>64.315025567336548</v>
      </c>
    </row>
    <row r="132" spans="1:3" x14ac:dyDescent="0.3">
      <c r="A132" s="2" t="s">
        <v>265</v>
      </c>
      <c r="B132" s="3">
        <v>106.95833333333333</v>
      </c>
      <c r="C132" s="3">
        <v>106.35949321892657</v>
      </c>
    </row>
    <row r="133" spans="1:3" x14ac:dyDescent="0.3">
      <c r="A133" s="2" t="s">
        <v>1360</v>
      </c>
      <c r="B133" s="3">
        <v>181.40333333333334</v>
      </c>
      <c r="C133" s="3">
        <v>187.59517746418726</v>
      </c>
    </row>
    <row r="134" spans="1:3" x14ac:dyDescent="0.3">
      <c r="A134" s="2" t="s">
        <v>1172</v>
      </c>
      <c r="B134" s="3">
        <v>63.759999999999991</v>
      </c>
      <c r="C134" s="3">
        <v>65.862209623343958</v>
      </c>
    </row>
    <row r="135" spans="1:3" x14ac:dyDescent="0.3">
      <c r="A135" s="2" t="s">
        <v>911</v>
      </c>
      <c r="B135" s="3">
        <v>190.9</v>
      </c>
      <c r="C135" s="3">
        <v>180.83191824234945</v>
      </c>
    </row>
    <row r="136" spans="1:3" x14ac:dyDescent="0.3">
      <c r="A136" s="2" t="s">
        <v>1687</v>
      </c>
      <c r="B136" s="3">
        <v>117</v>
      </c>
      <c r="C136" s="3">
        <v>118.95562432373745</v>
      </c>
    </row>
    <row r="137" spans="1:3" x14ac:dyDescent="0.3">
      <c r="A137" s="2" t="s">
        <v>403</v>
      </c>
      <c r="B137" s="3">
        <v>239.9</v>
      </c>
      <c r="C137" s="3">
        <v>242.67142374914263</v>
      </c>
    </row>
    <row r="138" spans="1:3" x14ac:dyDescent="0.3">
      <c r="A138" s="2" t="s">
        <v>1942</v>
      </c>
      <c r="B138" s="3">
        <v>119.9</v>
      </c>
      <c r="C138" s="3">
        <v>116.64945043950765</v>
      </c>
    </row>
    <row r="139" spans="1:3" x14ac:dyDescent="0.3">
      <c r="A139" s="2" t="s">
        <v>1548</v>
      </c>
      <c r="B139" s="3">
        <v>85</v>
      </c>
      <c r="C139" s="3">
        <v>84.533011011344527</v>
      </c>
    </row>
    <row r="140" spans="1:3" x14ac:dyDescent="0.3">
      <c r="A140" s="2" t="s">
        <v>852</v>
      </c>
      <c r="B140" s="3">
        <v>179</v>
      </c>
      <c r="C140" s="3">
        <v>176.39148003958005</v>
      </c>
    </row>
    <row r="141" spans="1:3" x14ac:dyDescent="0.3">
      <c r="A141" s="2" t="s">
        <v>286</v>
      </c>
      <c r="B141" s="3">
        <v>81.933333333333337</v>
      </c>
      <c r="C141" s="3">
        <v>78.04361159047069</v>
      </c>
    </row>
    <row r="142" spans="1:3" x14ac:dyDescent="0.3">
      <c r="A142" s="2" t="s">
        <v>789</v>
      </c>
      <c r="B142" s="3">
        <v>25.166666666666668</v>
      </c>
      <c r="C142" s="3">
        <v>25.237933168811093</v>
      </c>
    </row>
    <row r="143" spans="1:3" x14ac:dyDescent="0.3">
      <c r="A143" s="2" t="s">
        <v>93</v>
      </c>
      <c r="B143" s="3">
        <v>195</v>
      </c>
      <c r="C143" s="3">
        <v>207.61611090419007</v>
      </c>
    </row>
    <row r="144" spans="1:3" x14ac:dyDescent="0.3">
      <c r="A144" s="2" t="s">
        <v>913</v>
      </c>
      <c r="B144" s="3">
        <v>89</v>
      </c>
      <c r="C144" s="3">
        <v>89.078650952561929</v>
      </c>
    </row>
    <row r="145" spans="1:3" x14ac:dyDescent="0.3">
      <c r="A145" s="2" t="s">
        <v>1048</v>
      </c>
      <c r="B145" s="3">
        <v>35.89</v>
      </c>
      <c r="C145" s="3">
        <v>36.856246319941178</v>
      </c>
    </row>
    <row r="146" spans="1:3" x14ac:dyDescent="0.3">
      <c r="A146" s="2" t="s">
        <v>807</v>
      </c>
      <c r="B146" s="3">
        <v>79.989999999999995</v>
      </c>
      <c r="C146" s="3">
        <v>82.971200467236415</v>
      </c>
    </row>
    <row r="147" spans="1:3" x14ac:dyDescent="0.3">
      <c r="A147" s="2" t="s">
        <v>1983</v>
      </c>
      <c r="B147" s="3">
        <v>124.7</v>
      </c>
      <c r="C147" s="3">
        <v>136.6787233144845</v>
      </c>
    </row>
    <row r="148" spans="1:3" x14ac:dyDescent="0.3">
      <c r="A148" s="2" t="s">
        <v>725</v>
      </c>
      <c r="B148" s="3">
        <v>185.81</v>
      </c>
      <c r="C148" s="3">
        <v>177.85159437254538</v>
      </c>
    </row>
    <row r="149" spans="1:3" x14ac:dyDescent="0.3">
      <c r="A149" s="2" t="s">
        <v>51</v>
      </c>
      <c r="B149" s="3">
        <v>57.900000000000006</v>
      </c>
      <c r="C149" s="3">
        <v>54.527031049681426</v>
      </c>
    </row>
    <row r="150" spans="1:3" x14ac:dyDescent="0.3">
      <c r="A150" s="2" t="s">
        <v>983</v>
      </c>
      <c r="B150" s="3">
        <v>12.88</v>
      </c>
      <c r="C150" s="3">
        <v>13.963969323754494</v>
      </c>
    </row>
    <row r="151" spans="1:3" x14ac:dyDescent="0.3">
      <c r="A151" s="2" t="s">
        <v>1590</v>
      </c>
      <c r="B151" s="3">
        <v>65</v>
      </c>
      <c r="C151" s="3">
        <v>60.495206907736474</v>
      </c>
    </row>
    <row r="152" spans="1:3" x14ac:dyDescent="0.3">
      <c r="A152" s="2" t="s">
        <v>408</v>
      </c>
      <c r="B152" s="3">
        <v>28.400000000000002</v>
      </c>
      <c r="C152" s="3">
        <v>29.212123135990669</v>
      </c>
    </row>
    <row r="153" spans="1:3" x14ac:dyDescent="0.3">
      <c r="A153" s="2" t="s">
        <v>794</v>
      </c>
      <c r="B153" s="3">
        <v>54.9</v>
      </c>
      <c r="C153" s="3">
        <v>53.686761771907953</v>
      </c>
    </row>
    <row r="154" spans="1:3" x14ac:dyDescent="0.3">
      <c r="A154" s="2" t="s">
        <v>622</v>
      </c>
      <c r="B154" s="3">
        <v>196.24250000000001</v>
      </c>
      <c r="C154" s="3">
        <v>191.16191441905281</v>
      </c>
    </row>
    <row r="155" spans="1:3" x14ac:dyDescent="0.3">
      <c r="A155" s="2" t="s">
        <v>1410</v>
      </c>
      <c r="B155" s="3">
        <v>29.9</v>
      </c>
      <c r="C155" s="3">
        <v>30.333422617861</v>
      </c>
    </row>
    <row r="156" spans="1:3" x14ac:dyDescent="0.3">
      <c r="A156" s="2" t="s">
        <v>2207</v>
      </c>
      <c r="B156" s="3">
        <v>194.9</v>
      </c>
      <c r="C156" s="3">
        <v>191.04898772444383</v>
      </c>
    </row>
    <row r="157" spans="1:3" x14ac:dyDescent="0.3">
      <c r="A157" s="2" t="s">
        <v>217</v>
      </c>
      <c r="B157" s="3">
        <v>7.79</v>
      </c>
      <c r="C157" s="3">
        <v>8.5499267496710161</v>
      </c>
    </row>
    <row r="158" spans="1:3" x14ac:dyDescent="0.3">
      <c r="A158" s="2" t="s">
        <v>390</v>
      </c>
      <c r="B158" s="3">
        <v>57.028571428571425</v>
      </c>
      <c r="C158" s="3">
        <v>57.944800592354405</v>
      </c>
    </row>
    <row r="159" spans="1:3" x14ac:dyDescent="0.3">
      <c r="A159" s="2" t="s">
        <v>601</v>
      </c>
      <c r="B159" s="3">
        <v>33.97</v>
      </c>
      <c r="C159" s="3">
        <v>34.044927152881371</v>
      </c>
    </row>
    <row r="160" spans="1:3" x14ac:dyDescent="0.3">
      <c r="A160" s="2" t="s">
        <v>1602</v>
      </c>
      <c r="B160" s="3">
        <v>44.9</v>
      </c>
      <c r="C160" s="3">
        <v>43.41001323507998</v>
      </c>
    </row>
    <row r="161" spans="1:3" x14ac:dyDescent="0.3">
      <c r="A161" s="2" t="s">
        <v>2157</v>
      </c>
      <c r="B161" s="3">
        <v>189.9</v>
      </c>
      <c r="C161" s="3">
        <v>176.47345278768722</v>
      </c>
    </row>
    <row r="162" spans="1:3" x14ac:dyDescent="0.3">
      <c r="A162" s="2" t="s">
        <v>2186</v>
      </c>
      <c r="B162" s="3">
        <v>115</v>
      </c>
      <c r="C162" s="3">
        <v>121.42400740623107</v>
      </c>
    </row>
    <row r="163" spans="1:3" x14ac:dyDescent="0.3">
      <c r="A163" s="2" t="s">
        <v>1078</v>
      </c>
      <c r="B163" s="3">
        <v>52</v>
      </c>
      <c r="C163" s="3">
        <v>49.136025579761046</v>
      </c>
    </row>
    <row r="164" spans="1:3" x14ac:dyDescent="0.3">
      <c r="A164" s="2" t="s">
        <v>628</v>
      </c>
      <c r="B164" s="3">
        <v>120.65666666666668</v>
      </c>
      <c r="C164" s="3">
        <v>126.10614050694507</v>
      </c>
    </row>
    <row r="165" spans="1:3" x14ac:dyDescent="0.3">
      <c r="A165" s="2" t="s">
        <v>348</v>
      </c>
      <c r="B165" s="3">
        <v>109.99</v>
      </c>
      <c r="C165" s="3">
        <v>114.18455720016068</v>
      </c>
    </row>
    <row r="166" spans="1:3" x14ac:dyDescent="0.3">
      <c r="A166" s="2" t="s">
        <v>473</v>
      </c>
      <c r="B166" s="3">
        <v>135.26</v>
      </c>
      <c r="C166" s="3">
        <v>136.75015220728332</v>
      </c>
    </row>
    <row r="167" spans="1:3" x14ac:dyDescent="0.3">
      <c r="A167" s="2" t="s">
        <v>1002</v>
      </c>
      <c r="B167" s="3">
        <v>67</v>
      </c>
      <c r="C167" s="3">
        <v>68.49218906737876</v>
      </c>
    </row>
    <row r="168" spans="1:3" x14ac:dyDescent="0.3">
      <c r="A168" s="2" t="s">
        <v>443</v>
      </c>
      <c r="B168" s="3">
        <v>345.9</v>
      </c>
      <c r="C168" s="3">
        <v>362.69359523458974</v>
      </c>
    </row>
    <row r="169" spans="1:3" x14ac:dyDescent="0.3">
      <c r="A169" s="2" t="s">
        <v>768</v>
      </c>
      <c r="B169" s="3">
        <v>15.626666666666667</v>
      </c>
      <c r="C169" s="3">
        <v>15.654672694555599</v>
      </c>
    </row>
    <row r="170" spans="1:3" x14ac:dyDescent="0.3">
      <c r="A170" s="2" t="s">
        <v>1309</v>
      </c>
      <c r="B170" s="3">
        <v>827.99</v>
      </c>
      <c r="C170" s="3">
        <v>802.64624334101529</v>
      </c>
    </row>
    <row r="171" spans="1:3" x14ac:dyDescent="0.3">
      <c r="A171" s="2" t="s">
        <v>1774</v>
      </c>
      <c r="B171" s="3">
        <v>14.99</v>
      </c>
      <c r="C171" s="3">
        <v>14.454835838978649</v>
      </c>
    </row>
    <row r="172" spans="1:3" x14ac:dyDescent="0.3">
      <c r="A172" s="2" t="s">
        <v>229</v>
      </c>
      <c r="B172" s="3">
        <v>77.242105263157896</v>
      </c>
      <c r="C172" s="3">
        <v>76.338897440951754</v>
      </c>
    </row>
    <row r="173" spans="1:3" x14ac:dyDescent="0.3">
      <c r="A173" s="2" t="s">
        <v>2054</v>
      </c>
      <c r="B173" s="3">
        <v>69.989999999999995</v>
      </c>
      <c r="C173" s="3">
        <v>71.451345134319695</v>
      </c>
    </row>
    <row r="174" spans="1:3" x14ac:dyDescent="0.3">
      <c r="A174" s="2" t="s">
        <v>213</v>
      </c>
      <c r="B174" s="3">
        <v>96.9</v>
      </c>
      <c r="C174" s="3">
        <v>92.197698613239453</v>
      </c>
    </row>
    <row r="175" spans="1:3" x14ac:dyDescent="0.3">
      <c r="A175" s="2" t="s">
        <v>2041</v>
      </c>
      <c r="B175" s="3">
        <v>64.900000000000006</v>
      </c>
      <c r="C175" s="3">
        <v>67.488586639818919</v>
      </c>
    </row>
    <row r="176" spans="1:3" x14ac:dyDescent="0.3">
      <c r="A176" s="2" t="s">
        <v>927</v>
      </c>
      <c r="B176" s="3">
        <v>49.9</v>
      </c>
      <c r="C176" s="3">
        <v>49.499814672060296</v>
      </c>
    </row>
    <row r="177" spans="1:3" x14ac:dyDescent="0.3">
      <c r="A177" s="2" t="s">
        <v>2081</v>
      </c>
      <c r="B177" s="3">
        <v>59.9</v>
      </c>
      <c r="C177" s="3">
        <v>61.274858619698577</v>
      </c>
    </row>
    <row r="178" spans="1:3" x14ac:dyDescent="0.3">
      <c r="A178" s="2" t="s">
        <v>1986</v>
      </c>
      <c r="B178" s="3">
        <v>269.89999999999998</v>
      </c>
      <c r="C178" s="3">
        <v>290.88176080976228</v>
      </c>
    </row>
    <row r="179" spans="1:3" x14ac:dyDescent="0.3">
      <c r="A179" s="2" t="s">
        <v>1846</v>
      </c>
      <c r="B179" s="3">
        <v>139</v>
      </c>
      <c r="C179" s="3">
        <v>131.23027403075631</v>
      </c>
    </row>
    <row r="180" spans="1:3" x14ac:dyDescent="0.3">
      <c r="A180" s="2" t="s">
        <v>709</v>
      </c>
      <c r="B180" s="3">
        <v>239</v>
      </c>
      <c r="C180" s="3">
        <v>229.31040488771217</v>
      </c>
    </row>
    <row r="181" spans="1:3" x14ac:dyDescent="0.3">
      <c r="A181" s="2" t="s">
        <v>57</v>
      </c>
      <c r="B181" s="3">
        <v>61.56666666666667</v>
      </c>
      <c r="C181" s="3">
        <v>59.955431626247282</v>
      </c>
    </row>
    <row r="182" spans="1:3" x14ac:dyDescent="0.3">
      <c r="A182" s="2" t="s">
        <v>1271</v>
      </c>
      <c r="B182" s="3">
        <v>17.899999999999999</v>
      </c>
      <c r="C182" s="3">
        <v>18.354465748586499</v>
      </c>
    </row>
    <row r="183" spans="1:3" x14ac:dyDescent="0.3">
      <c r="A183" s="2" t="s">
        <v>426</v>
      </c>
      <c r="B183" s="3">
        <v>37.4</v>
      </c>
      <c r="C183" s="3">
        <v>34.796338418605224</v>
      </c>
    </row>
    <row r="184" spans="1:3" x14ac:dyDescent="0.3">
      <c r="A184" s="2" t="s">
        <v>1497</v>
      </c>
      <c r="B184" s="3">
        <v>319</v>
      </c>
      <c r="C184" s="3">
        <v>298.98174573531008</v>
      </c>
    </row>
    <row r="185" spans="1:3" x14ac:dyDescent="0.3">
      <c r="A185" s="2" t="s">
        <v>906</v>
      </c>
      <c r="B185" s="3">
        <v>139.9</v>
      </c>
      <c r="C185" s="3">
        <v>138.10328888536912</v>
      </c>
    </row>
    <row r="186" spans="1:3" x14ac:dyDescent="0.3">
      <c r="A186" s="2" t="s">
        <v>211</v>
      </c>
      <c r="B186" s="3">
        <v>103.56666666666668</v>
      </c>
      <c r="C186" s="3">
        <v>108.41596618909053</v>
      </c>
    </row>
    <row r="187" spans="1:3" x14ac:dyDescent="0.3">
      <c r="A187" s="2" t="s">
        <v>1090</v>
      </c>
      <c r="B187" s="3">
        <v>92.65</v>
      </c>
      <c r="C187" s="3">
        <v>96.11126824946696</v>
      </c>
    </row>
    <row r="188" spans="1:3" x14ac:dyDescent="0.3">
      <c r="A188" s="2" t="s">
        <v>1732</v>
      </c>
      <c r="B188" s="3">
        <v>29</v>
      </c>
      <c r="C188" s="3">
        <v>28.565560271531034</v>
      </c>
    </row>
    <row r="189" spans="1:3" x14ac:dyDescent="0.3">
      <c r="A189" s="2" t="s">
        <v>1056</v>
      </c>
      <c r="B189" s="3">
        <v>398</v>
      </c>
      <c r="C189" s="3">
        <v>415.13227495833144</v>
      </c>
    </row>
    <row r="190" spans="1:3" x14ac:dyDescent="0.3">
      <c r="A190" s="2" t="s">
        <v>1200</v>
      </c>
      <c r="B190" s="3">
        <v>133</v>
      </c>
      <c r="C190" s="3">
        <v>129.62491645287554</v>
      </c>
    </row>
    <row r="191" spans="1:3" x14ac:dyDescent="0.3">
      <c r="A191" s="2" t="s">
        <v>215</v>
      </c>
      <c r="B191" s="3">
        <v>121.99</v>
      </c>
      <c r="C191" s="3">
        <v>115.35386594071524</v>
      </c>
    </row>
    <row r="192" spans="1:3" x14ac:dyDescent="0.3">
      <c r="A192" s="2" t="s">
        <v>1587</v>
      </c>
      <c r="B192" s="3">
        <v>39.9</v>
      </c>
      <c r="C192" s="3">
        <v>38.840433307672065</v>
      </c>
    </row>
    <row r="193" spans="1:3" x14ac:dyDescent="0.3">
      <c r="A193" s="2" t="s">
        <v>176</v>
      </c>
      <c r="B193" s="3">
        <v>259.40176470588221</v>
      </c>
      <c r="C193" s="3">
        <v>263.4495774346791</v>
      </c>
    </row>
    <row r="194" spans="1:3" x14ac:dyDescent="0.3">
      <c r="A194" s="2" t="s">
        <v>1214</v>
      </c>
      <c r="B194" s="3">
        <v>22.9</v>
      </c>
      <c r="C194" s="3">
        <v>23.59397881611374</v>
      </c>
    </row>
    <row r="195" spans="1:3" x14ac:dyDescent="0.3">
      <c r="A195" s="2" t="s">
        <v>591</v>
      </c>
      <c r="B195" s="3">
        <v>71</v>
      </c>
      <c r="C195" s="3">
        <v>70.109563122167145</v>
      </c>
    </row>
    <row r="196" spans="1:3" x14ac:dyDescent="0.3">
      <c r="A196" s="2" t="s">
        <v>1189</v>
      </c>
      <c r="B196" s="3">
        <v>109</v>
      </c>
      <c r="C196" s="3">
        <v>104.48380553576072</v>
      </c>
    </row>
    <row r="197" spans="1:3" x14ac:dyDescent="0.3">
      <c r="A197" s="2" t="s">
        <v>1010</v>
      </c>
      <c r="B197" s="3">
        <v>24.797999999999998</v>
      </c>
      <c r="C197" s="3">
        <v>26.125395437363288</v>
      </c>
    </row>
    <row r="198" spans="1:3" x14ac:dyDescent="0.3">
      <c r="A198" s="2" t="s">
        <v>5</v>
      </c>
      <c r="B198" s="3">
        <v>76.649999999999991</v>
      </c>
      <c r="C198" s="3">
        <v>77.524290408684948</v>
      </c>
    </row>
    <row r="199" spans="1:3" x14ac:dyDescent="0.3">
      <c r="A199" s="2" t="s">
        <v>2071</v>
      </c>
      <c r="B199" s="3">
        <v>109.9</v>
      </c>
      <c r="C199" s="3">
        <v>102.69935997610597</v>
      </c>
    </row>
    <row r="200" spans="1:3" x14ac:dyDescent="0.3">
      <c r="A200" s="2" t="s">
        <v>190</v>
      </c>
      <c r="B200" s="3">
        <v>224.67500000000001</v>
      </c>
      <c r="C200" s="3">
        <v>221.94851921772229</v>
      </c>
    </row>
    <row r="201" spans="1:3" x14ac:dyDescent="0.3">
      <c r="A201" s="2" t="s">
        <v>1694</v>
      </c>
      <c r="B201" s="3">
        <v>159</v>
      </c>
      <c r="C201" s="3">
        <v>145.47077294647528</v>
      </c>
    </row>
    <row r="202" spans="1:3" x14ac:dyDescent="0.3">
      <c r="A202" s="2" t="s">
        <v>1683</v>
      </c>
      <c r="B202" s="3">
        <v>67.900000000000006</v>
      </c>
      <c r="C202" s="3">
        <v>71.723629408713194</v>
      </c>
    </row>
    <row r="203" spans="1:3" x14ac:dyDescent="0.3">
      <c r="A203" s="2" t="s">
        <v>29</v>
      </c>
      <c r="B203" s="3">
        <v>94.580540540540596</v>
      </c>
      <c r="C203" s="3">
        <v>94.742557578080067</v>
      </c>
    </row>
    <row r="204" spans="1:3" x14ac:dyDescent="0.3">
      <c r="A204" s="2" t="s">
        <v>745</v>
      </c>
      <c r="B204" s="3">
        <v>105.075</v>
      </c>
      <c r="C204" s="3">
        <v>101.11211440258062</v>
      </c>
    </row>
    <row r="205" spans="1:3" x14ac:dyDescent="0.3">
      <c r="A205" s="2" t="s">
        <v>1216</v>
      </c>
      <c r="B205" s="3">
        <v>83.412499999999994</v>
      </c>
      <c r="C205" s="3">
        <v>87.271863304901487</v>
      </c>
    </row>
    <row r="206" spans="1:3" x14ac:dyDescent="0.3">
      <c r="A206" s="2" t="s">
        <v>953</v>
      </c>
      <c r="B206" s="3">
        <v>152</v>
      </c>
      <c r="C206" s="3">
        <v>140.1653951312712</v>
      </c>
    </row>
    <row r="207" spans="1:3" x14ac:dyDescent="0.3">
      <c r="A207" s="2" t="s">
        <v>301</v>
      </c>
      <c r="B207" s="3">
        <v>102.25</v>
      </c>
      <c r="C207" s="3">
        <v>103.68225928790666</v>
      </c>
    </row>
    <row r="208" spans="1:3" x14ac:dyDescent="0.3">
      <c r="A208" s="2" t="s">
        <v>315</v>
      </c>
      <c r="B208" s="3">
        <v>43.787499999999994</v>
      </c>
      <c r="C208" s="3">
        <v>46.262174744749409</v>
      </c>
    </row>
    <row r="209" spans="1:3" x14ac:dyDescent="0.3">
      <c r="A209" s="2" t="s">
        <v>784</v>
      </c>
      <c r="B209" s="3">
        <v>59.9</v>
      </c>
      <c r="C209" s="3">
        <v>59.860653729333364</v>
      </c>
    </row>
    <row r="210" spans="1:3" x14ac:dyDescent="0.3">
      <c r="A210" s="2" t="s">
        <v>483</v>
      </c>
      <c r="B210" s="3">
        <v>138.42500000000001</v>
      </c>
      <c r="C210" s="3">
        <v>141.25802331611169</v>
      </c>
    </row>
    <row r="211" spans="1:3" x14ac:dyDescent="0.3">
      <c r="A211" s="2" t="s">
        <v>501</v>
      </c>
      <c r="B211" s="3">
        <v>24.99</v>
      </c>
      <c r="C211" s="3">
        <v>23.363287069727292</v>
      </c>
    </row>
    <row r="212" spans="1:3" x14ac:dyDescent="0.3">
      <c r="A212" s="2" t="s">
        <v>1176</v>
      </c>
      <c r="B212" s="3">
        <v>199</v>
      </c>
      <c r="C212" s="3">
        <v>198.05763977591457</v>
      </c>
    </row>
    <row r="213" spans="1:3" x14ac:dyDescent="0.3">
      <c r="A213" s="2" t="s">
        <v>246</v>
      </c>
      <c r="B213" s="3">
        <v>80.615384615384613</v>
      </c>
      <c r="C213" s="3">
        <v>79.374095135755113</v>
      </c>
    </row>
    <row r="214" spans="1:3" x14ac:dyDescent="0.3">
      <c r="A214" s="2" t="s">
        <v>1881</v>
      </c>
      <c r="B214" s="3">
        <v>89.9</v>
      </c>
      <c r="C214" s="3">
        <v>84.723378043963422</v>
      </c>
    </row>
    <row r="215" spans="1:3" x14ac:dyDescent="0.3">
      <c r="A215" s="2" t="s">
        <v>1564</v>
      </c>
      <c r="B215" s="3">
        <v>213</v>
      </c>
      <c r="C215" s="3">
        <v>204.60242551848211</v>
      </c>
    </row>
    <row r="216" spans="1:3" x14ac:dyDescent="0.3">
      <c r="A216" s="2" t="s">
        <v>1750</v>
      </c>
      <c r="B216" s="3">
        <v>239.99</v>
      </c>
      <c r="C216" s="3">
        <v>253.49772503358056</v>
      </c>
    </row>
    <row r="217" spans="1:3" x14ac:dyDescent="0.3">
      <c r="A217" s="2" t="s">
        <v>1999</v>
      </c>
      <c r="B217" s="3">
        <v>80</v>
      </c>
      <c r="C217" s="3">
        <v>75.889837539076652</v>
      </c>
    </row>
    <row r="218" spans="1:3" x14ac:dyDescent="0.3">
      <c r="A218" s="2" t="s">
        <v>168</v>
      </c>
      <c r="B218" s="3">
        <v>56.95</v>
      </c>
      <c r="C218" s="3">
        <v>60.055965119089862</v>
      </c>
    </row>
    <row r="219" spans="1:3" x14ac:dyDescent="0.3">
      <c r="A219" s="2" t="s">
        <v>937</v>
      </c>
      <c r="B219" s="3">
        <v>244.5</v>
      </c>
      <c r="C219" s="3">
        <v>238.34502519759019</v>
      </c>
    </row>
    <row r="220" spans="1:3" x14ac:dyDescent="0.3">
      <c r="A220" s="2" t="s">
        <v>1167</v>
      </c>
      <c r="B220" s="3">
        <v>27.9</v>
      </c>
      <c r="C220" s="3">
        <v>27.578883523518186</v>
      </c>
    </row>
    <row r="221" spans="1:3" x14ac:dyDescent="0.3">
      <c r="A221" s="2" t="s">
        <v>558</v>
      </c>
      <c r="B221" s="3">
        <v>266.56</v>
      </c>
      <c r="C221" s="3">
        <v>279.73931369880177</v>
      </c>
    </row>
    <row r="222" spans="1:3" x14ac:dyDescent="0.3">
      <c r="A222" s="2" t="s">
        <v>1183</v>
      </c>
      <c r="B222" s="3">
        <v>84.9</v>
      </c>
      <c r="C222" s="3">
        <v>78.713198254170322</v>
      </c>
    </row>
    <row r="223" spans="1:3" x14ac:dyDescent="0.3">
      <c r="A223" s="2" t="s">
        <v>922</v>
      </c>
      <c r="B223" s="3">
        <v>131.9</v>
      </c>
      <c r="C223" s="3">
        <v>130.37641750621106</v>
      </c>
    </row>
    <row r="224" spans="1:3" x14ac:dyDescent="0.3">
      <c r="A224" s="2" t="s">
        <v>2019</v>
      </c>
      <c r="B224" s="3">
        <v>109.99</v>
      </c>
      <c r="C224" s="3">
        <v>116.8671203957901</v>
      </c>
    </row>
    <row r="225" spans="1:3" x14ac:dyDescent="0.3">
      <c r="A225" s="2" t="s">
        <v>33</v>
      </c>
      <c r="B225" s="3">
        <v>126.56666666666668</v>
      </c>
      <c r="C225" s="3">
        <v>118.6176183442365</v>
      </c>
    </row>
    <row r="226" spans="1:3" x14ac:dyDescent="0.3">
      <c r="A226" s="2" t="s">
        <v>461</v>
      </c>
      <c r="B226" s="3">
        <v>223.53769230769228</v>
      </c>
      <c r="C226" s="3">
        <v>223.34889872052321</v>
      </c>
    </row>
    <row r="227" spans="1:3" x14ac:dyDescent="0.3">
      <c r="A227" s="2" t="s">
        <v>2061</v>
      </c>
      <c r="B227" s="3">
        <v>599.5</v>
      </c>
      <c r="C227" s="3">
        <v>553.75083867462672</v>
      </c>
    </row>
    <row r="228" spans="1:3" x14ac:dyDescent="0.3">
      <c r="A228" s="2" t="s">
        <v>173</v>
      </c>
      <c r="B228" s="3">
        <v>26.4</v>
      </c>
      <c r="C228" s="3">
        <v>28.395475843152706</v>
      </c>
    </row>
    <row r="229" spans="1:3" x14ac:dyDescent="0.3">
      <c r="A229" s="2" t="s">
        <v>186</v>
      </c>
      <c r="B229" s="3">
        <v>88.126363636363649</v>
      </c>
      <c r="C229" s="3">
        <v>88.03216499479727</v>
      </c>
    </row>
    <row r="230" spans="1:3" x14ac:dyDescent="0.3">
      <c r="A230" s="2" t="s">
        <v>1159</v>
      </c>
      <c r="B230" s="3">
        <v>1799</v>
      </c>
      <c r="C230" s="3">
        <v>1857.3886158353846</v>
      </c>
    </row>
    <row r="231" spans="1:3" x14ac:dyDescent="0.3">
      <c r="A231" s="2" t="s">
        <v>1416</v>
      </c>
      <c r="B231" s="3">
        <v>1350</v>
      </c>
      <c r="C231" s="3">
        <v>1292.1757999077574</v>
      </c>
    </row>
    <row r="232" spans="1:3" x14ac:dyDescent="0.3">
      <c r="A232" s="2" t="s">
        <v>1896</v>
      </c>
      <c r="B232" s="3">
        <v>101</v>
      </c>
      <c r="C232" s="3">
        <v>98.933681023151209</v>
      </c>
    </row>
    <row r="233" spans="1:3" x14ac:dyDescent="0.3">
      <c r="A233" s="2" t="s">
        <v>329</v>
      </c>
      <c r="B233" s="3">
        <v>73.233333333333334</v>
      </c>
      <c r="C233" s="3">
        <v>71.982885337115974</v>
      </c>
    </row>
    <row r="234" spans="1:3" x14ac:dyDescent="0.3">
      <c r="A234" s="2" t="s">
        <v>1555</v>
      </c>
      <c r="B234" s="3">
        <v>74.989999999999995</v>
      </c>
      <c r="C234" s="3">
        <v>68.003077786093101</v>
      </c>
    </row>
    <row r="235" spans="1:3" x14ac:dyDescent="0.3">
      <c r="A235" s="2" t="s">
        <v>2145</v>
      </c>
      <c r="B235" s="3">
        <v>29.9</v>
      </c>
      <c r="C235" s="3">
        <v>28.542038271442681</v>
      </c>
    </row>
    <row r="236" spans="1:3" x14ac:dyDescent="0.3">
      <c r="A236" s="2" t="s">
        <v>530</v>
      </c>
      <c r="B236" s="3">
        <v>57.95</v>
      </c>
      <c r="C236" s="3">
        <v>55.509837818131942</v>
      </c>
    </row>
    <row r="237" spans="1:3" x14ac:dyDescent="0.3">
      <c r="A237" s="2" t="s">
        <v>803</v>
      </c>
      <c r="B237" s="3">
        <v>135</v>
      </c>
      <c r="C237" s="3">
        <v>143.29228712415284</v>
      </c>
    </row>
    <row r="238" spans="1:3" x14ac:dyDescent="0.3">
      <c r="A238" s="2" t="s">
        <v>841</v>
      </c>
      <c r="B238" s="3">
        <v>29.99</v>
      </c>
      <c r="C238" s="3">
        <v>30.015009012705207</v>
      </c>
    </row>
    <row r="239" spans="1:3" x14ac:dyDescent="0.3">
      <c r="A239" s="2" t="s">
        <v>81</v>
      </c>
      <c r="B239" s="3">
        <v>37.667777777777779</v>
      </c>
      <c r="C239" s="3">
        <v>38.542559476282463</v>
      </c>
    </row>
    <row r="240" spans="1:3" x14ac:dyDescent="0.3">
      <c r="A240" s="2" t="s">
        <v>471</v>
      </c>
      <c r="B240" s="3">
        <v>69</v>
      </c>
      <c r="C240" s="3">
        <v>64.596132582241424</v>
      </c>
    </row>
    <row r="241" spans="1:3" x14ac:dyDescent="0.3">
      <c r="A241" s="2" t="s">
        <v>371</v>
      </c>
      <c r="B241" s="3">
        <v>11.53</v>
      </c>
      <c r="C241" s="3">
        <v>10.881804964741217</v>
      </c>
    </row>
    <row r="242" spans="1:3" x14ac:dyDescent="0.3">
      <c r="A242" s="2" t="s">
        <v>382</v>
      </c>
      <c r="B242" s="3">
        <v>62</v>
      </c>
      <c r="C242" s="3">
        <v>60.960086583857446</v>
      </c>
    </row>
    <row r="243" spans="1:3" x14ac:dyDescent="0.3">
      <c r="A243" s="2" t="s">
        <v>397</v>
      </c>
      <c r="B243" s="3">
        <v>36.97</v>
      </c>
      <c r="C243" s="3">
        <v>39.619049204627316</v>
      </c>
    </row>
    <row r="244" spans="1:3" x14ac:dyDescent="0.3">
      <c r="A244" s="2" t="s">
        <v>1550</v>
      </c>
      <c r="B244" s="3">
        <v>139</v>
      </c>
      <c r="C244" s="3">
        <v>136.28781481209796</v>
      </c>
    </row>
    <row r="245" spans="1:3" x14ac:dyDescent="0.3">
      <c r="A245" s="2" t="s">
        <v>1120</v>
      </c>
      <c r="B245" s="3">
        <v>145.9</v>
      </c>
      <c r="C245" s="3">
        <v>145.9443651077944</v>
      </c>
    </row>
    <row r="246" spans="1:3" x14ac:dyDescent="0.3">
      <c r="A246" s="2" t="s">
        <v>19</v>
      </c>
      <c r="B246" s="3">
        <v>810</v>
      </c>
      <c r="C246" s="3">
        <v>819.17102939777169</v>
      </c>
    </row>
    <row r="247" spans="1:3" x14ac:dyDescent="0.3">
      <c r="A247" s="2" t="s">
        <v>689</v>
      </c>
      <c r="B247" s="3">
        <v>224</v>
      </c>
      <c r="C247" s="3">
        <v>225.41509941262166</v>
      </c>
    </row>
    <row r="248" spans="1:3" x14ac:dyDescent="0.3">
      <c r="A248" s="2" t="s">
        <v>1101</v>
      </c>
      <c r="B248" s="3">
        <v>177.49</v>
      </c>
      <c r="C248" s="3">
        <v>190.96013811975942</v>
      </c>
    </row>
    <row r="249" spans="1:3" x14ac:dyDescent="0.3">
      <c r="A249" s="2" t="s">
        <v>961</v>
      </c>
      <c r="B249" s="3">
        <v>69.900000000000006</v>
      </c>
      <c r="C249" s="3">
        <v>68.582745693926924</v>
      </c>
    </row>
    <row r="250" spans="1:3" x14ac:dyDescent="0.3">
      <c r="A250" s="2" t="s">
        <v>2173</v>
      </c>
      <c r="B250" s="3">
        <v>151.19999999999999</v>
      </c>
      <c r="C250" s="3">
        <v>152.60238199808748</v>
      </c>
    </row>
    <row r="251" spans="1:3" x14ac:dyDescent="0.3">
      <c r="A251" s="2" t="s">
        <v>1802</v>
      </c>
      <c r="B251" s="3">
        <v>99</v>
      </c>
      <c r="C251" s="3">
        <v>104.74949896023192</v>
      </c>
    </row>
    <row r="252" spans="1:3" x14ac:dyDescent="0.3">
      <c r="A252" s="2" t="s">
        <v>848</v>
      </c>
      <c r="B252" s="3">
        <v>149.9</v>
      </c>
      <c r="C252" s="3">
        <v>140.14777915993463</v>
      </c>
    </row>
    <row r="253" spans="1:3" x14ac:dyDescent="0.3">
      <c r="A253" s="2" t="s">
        <v>904</v>
      </c>
      <c r="B253" s="3">
        <v>92.5</v>
      </c>
      <c r="C253" s="3">
        <v>91.468676323257682</v>
      </c>
    </row>
    <row r="254" spans="1:3" x14ac:dyDescent="0.3">
      <c r="A254" s="2" t="s">
        <v>9</v>
      </c>
      <c r="B254" s="3">
        <v>199</v>
      </c>
      <c r="C254" s="3">
        <v>193.07540695873897</v>
      </c>
    </row>
    <row r="255" spans="1:3" x14ac:dyDescent="0.3">
      <c r="A255" s="2" t="s">
        <v>280</v>
      </c>
      <c r="B255" s="3">
        <v>98.49</v>
      </c>
      <c r="C255" s="3">
        <v>95.308275254016024</v>
      </c>
    </row>
    <row r="256" spans="1:3" x14ac:dyDescent="0.3">
      <c r="A256" s="2" t="s">
        <v>2119</v>
      </c>
      <c r="B256" s="3">
        <v>189.9</v>
      </c>
      <c r="C256" s="3">
        <v>193.60142417643746</v>
      </c>
    </row>
    <row r="257" spans="1:3" x14ac:dyDescent="0.3">
      <c r="A257" s="2" t="s">
        <v>521</v>
      </c>
      <c r="B257" s="3">
        <v>59.9</v>
      </c>
      <c r="C257" s="3">
        <v>61.161456166980173</v>
      </c>
    </row>
    <row r="258" spans="1:3" x14ac:dyDescent="0.3">
      <c r="A258" s="2" t="s">
        <v>1225</v>
      </c>
      <c r="B258" s="3">
        <v>99.9</v>
      </c>
      <c r="C258" s="3">
        <v>92.317946201109379</v>
      </c>
    </row>
    <row r="259" spans="1:3" x14ac:dyDescent="0.3">
      <c r="A259" s="2" t="s">
        <v>1035</v>
      </c>
      <c r="B259" s="3">
        <v>403.495</v>
      </c>
      <c r="C259" s="3">
        <v>412.69463855031313</v>
      </c>
    </row>
    <row r="260" spans="1:3" x14ac:dyDescent="0.3">
      <c r="A260" s="2" t="s">
        <v>366</v>
      </c>
      <c r="B260" s="3">
        <v>96.566666666666677</v>
      </c>
      <c r="C260" s="3">
        <v>96.114730303987471</v>
      </c>
    </row>
    <row r="261" spans="1:3" x14ac:dyDescent="0.3">
      <c r="A261" s="2" t="s">
        <v>948</v>
      </c>
      <c r="B261" s="3">
        <v>396.76</v>
      </c>
      <c r="C261" s="3">
        <v>386.96904051738886</v>
      </c>
    </row>
    <row r="262" spans="1:3" x14ac:dyDescent="0.3">
      <c r="A262" s="2" t="s">
        <v>105</v>
      </c>
      <c r="B262" s="3">
        <v>14.95</v>
      </c>
      <c r="C262" s="3">
        <v>15.24647373447009</v>
      </c>
    </row>
    <row r="263" spans="1:3" x14ac:dyDescent="0.3">
      <c r="A263" s="2" t="s">
        <v>1302</v>
      </c>
      <c r="B263" s="3">
        <v>89</v>
      </c>
      <c r="C263" s="3">
        <v>95.084853157650684</v>
      </c>
    </row>
    <row r="264" spans="1:3" x14ac:dyDescent="0.3">
      <c r="A264" s="2" t="s">
        <v>1757</v>
      </c>
      <c r="B264" s="3">
        <v>79.900000000000006</v>
      </c>
      <c r="C264" s="3">
        <v>80.829234417665958</v>
      </c>
    </row>
    <row r="265" spans="1:3" x14ac:dyDescent="0.3">
      <c r="A265" s="2" t="s">
        <v>1685</v>
      </c>
      <c r="B265" s="3">
        <v>35</v>
      </c>
      <c r="C265" s="3">
        <v>37.96457219888557</v>
      </c>
    </row>
    <row r="266" spans="1:3" x14ac:dyDescent="0.3">
      <c r="A266" s="2" t="s">
        <v>672</v>
      </c>
      <c r="B266" s="3">
        <v>52.5</v>
      </c>
      <c r="C266" s="3">
        <v>57.408063921370328</v>
      </c>
    </row>
    <row r="267" spans="1:3" x14ac:dyDescent="0.3">
      <c r="A267" s="2" t="s">
        <v>1363</v>
      </c>
      <c r="B267" s="3">
        <v>329</v>
      </c>
      <c r="C267" s="3">
        <v>328.79589323941843</v>
      </c>
    </row>
    <row r="268" spans="1:3" x14ac:dyDescent="0.3">
      <c r="A268" s="2" t="s">
        <v>1149</v>
      </c>
      <c r="B268" s="3">
        <v>629.5</v>
      </c>
      <c r="C268" s="3">
        <v>660.98139368111094</v>
      </c>
    </row>
    <row r="269" spans="1:3" x14ac:dyDescent="0.3">
      <c r="A269" s="2" t="s">
        <v>1772</v>
      </c>
      <c r="B269" s="3">
        <v>36.9</v>
      </c>
      <c r="C269" s="3">
        <v>35.383519020981616</v>
      </c>
    </row>
    <row r="270" spans="1:3" x14ac:dyDescent="0.3">
      <c r="A270" s="2" t="s">
        <v>507</v>
      </c>
      <c r="B270" s="3">
        <v>974.80499999999995</v>
      </c>
      <c r="C270" s="3">
        <v>1001.3469977877014</v>
      </c>
    </row>
    <row r="271" spans="1:3" x14ac:dyDescent="0.3">
      <c r="A271" s="2" t="s">
        <v>2196</v>
      </c>
      <c r="B271" s="3">
        <v>49.9</v>
      </c>
      <c r="C271" s="3">
        <v>53.082182472377546</v>
      </c>
    </row>
    <row r="272" spans="1:3" x14ac:dyDescent="0.3">
      <c r="A272" s="2" t="s">
        <v>227</v>
      </c>
      <c r="B272" s="3">
        <v>142.62222222222226</v>
      </c>
      <c r="C272" s="3">
        <v>142.43287471855527</v>
      </c>
    </row>
    <row r="273" spans="1:3" x14ac:dyDescent="0.3">
      <c r="A273" s="2" t="s">
        <v>204</v>
      </c>
      <c r="B273" s="3">
        <v>189</v>
      </c>
      <c r="C273" s="3">
        <v>198.23008288741741</v>
      </c>
    </row>
    <row r="274" spans="1:3" x14ac:dyDescent="0.3">
      <c r="A274" s="2" t="s">
        <v>770</v>
      </c>
      <c r="B274" s="3">
        <v>3.49</v>
      </c>
      <c r="C274" s="3">
        <v>3.1998072843698857</v>
      </c>
    </row>
    <row r="275" spans="1:3" x14ac:dyDescent="0.3">
      <c r="A275" s="2" t="s">
        <v>2026</v>
      </c>
      <c r="B275" s="3">
        <v>109.9</v>
      </c>
      <c r="C275" s="3">
        <v>113.2521925832539</v>
      </c>
    </row>
    <row r="276" spans="1:3" x14ac:dyDescent="0.3">
      <c r="A276" s="2" t="s">
        <v>307</v>
      </c>
      <c r="B276" s="3">
        <v>96.974999999999994</v>
      </c>
      <c r="C276" s="3">
        <v>96.589434180207434</v>
      </c>
    </row>
    <row r="277" spans="1:3" x14ac:dyDescent="0.3">
      <c r="A277" s="2" t="s">
        <v>1335</v>
      </c>
      <c r="B277" s="3">
        <v>164</v>
      </c>
      <c r="C277" s="3">
        <v>171.2461774323981</v>
      </c>
    </row>
    <row r="278" spans="1:3" x14ac:dyDescent="0.3">
      <c r="A278" s="2" t="s">
        <v>273</v>
      </c>
      <c r="B278" s="3">
        <v>60.265999999999998</v>
      </c>
      <c r="C278" s="3">
        <v>60.765857877217208</v>
      </c>
    </row>
    <row r="279" spans="1:3" x14ac:dyDescent="0.3">
      <c r="A279" s="2" t="s">
        <v>15</v>
      </c>
      <c r="B279" s="3">
        <v>21.9</v>
      </c>
      <c r="C279" s="3">
        <v>20.892616081645919</v>
      </c>
    </row>
    <row r="280" spans="1:3" x14ac:dyDescent="0.3">
      <c r="A280" s="2" t="s">
        <v>1795</v>
      </c>
      <c r="B280" s="3">
        <v>32</v>
      </c>
      <c r="C280" s="3">
        <v>32.656935868616415</v>
      </c>
    </row>
    <row r="281" spans="1:3" x14ac:dyDescent="0.3">
      <c r="A281" s="2" t="s">
        <v>1096</v>
      </c>
      <c r="B281" s="3">
        <v>14.133333333333333</v>
      </c>
      <c r="C281" s="3">
        <v>13.776661089754336</v>
      </c>
    </row>
    <row r="282" spans="1:3" x14ac:dyDescent="0.3">
      <c r="A282" s="2" t="s">
        <v>49</v>
      </c>
      <c r="B282" s="3">
        <v>59.384615384615387</v>
      </c>
      <c r="C282" s="3">
        <v>58.897462863043351</v>
      </c>
    </row>
    <row r="283" spans="1:3" x14ac:dyDescent="0.3">
      <c r="A283" s="2" t="s">
        <v>571</v>
      </c>
      <c r="B283" s="3">
        <v>89.9</v>
      </c>
      <c r="C283" s="3">
        <v>98.523537457821845</v>
      </c>
    </row>
    <row r="284" spans="1:3" x14ac:dyDescent="0.3">
      <c r="A284" s="2" t="s">
        <v>967</v>
      </c>
      <c r="B284" s="3">
        <v>139.99</v>
      </c>
      <c r="C284" s="3">
        <v>152.04711639651825</v>
      </c>
    </row>
    <row r="285" spans="1:3" x14ac:dyDescent="0.3">
      <c r="A285" s="2" t="s">
        <v>1313</v>
      </c>
      <c r="B285" s="3">
        <v>107.5</v>
      </c>
      <c r="C285" s="3">
        <v>107.59118596477802</v>
      </c>
    </row>
    <row r="286" spans="1:3" x14ac:dyDescent="0.3">
      <c r="A286" s="2" t="s">
        <v>763</v>
      </c>
      <c r="B286" s="3">
        <v>72.5</v>
      </c>
      <c r="C286" s="3">
        <v>74.13236323032622</v>
      </c>
    </row>
    <row r="287" spans="1:3" x14ac:dyDescent="0.3">
      <c r="A287" s="2" t="s">
        <v>1528</v>
      </c>
      <c r="B287" s="3">
        <v>454</v>
      </c>
      <c r="C287" s="3">
        <v>477.18732888905879</v>
      </c>
    </row>
    <row r="288" spans="1:3" x14ac:dyDescent="0.3">
      <c r="A288" s="2" t="s">
        <v>1956</v>
      </c>
      <c r="B288" s="3">
        <v>32.5</v>
      </c>
      <c r="C288" s="3">
        <v>31.991942665398849</v>
      </c>
    </row>
    <row r="289" spans="1:3" x14ac:dyDescent="0.3">
      <c r="A289" s="2" t="s">
        <v>2073</v>
      </c>
      <c r="B289" s="3">
        <v>45</v>
      </c>
      <c r="C289" s="3">
        <v>43.043015343013295</v>
      </c>
    </row>
    <row r="290" spans="1:3" x14ac:dyDescent="0.3">
      <c r="A290" s="2" t="s">
        <v>1220</v>
      </c>
      <c r="B290" s="3">
        <v>43.97</v>
      </c>
      <c r="C290" s="3">
        <v>43.647202122740076</v>
      </c>
    </row>
    <row r="291" spans="1:3" x14ac:dyDescent="0.3">
      <c r="A291" s="2" t="s">
        <v>362</v>
      </c>
      <c r="B291" s="3">
        <v>65</v>
      </c>
      <c r="C291" s="3">
        <v>66.873150404493146</v>
      </c>
    </row>
    <row r="292" spans="1:3" x14ac:dyDescent="0.3">
      <c r="A292" s="2" t="s">
        <v>1775</v>
      </c>
      <c r="B292" s="3">
        <v>82.956666666666663</v>
      </c>
      <c r="C292" s="3">
        <v>79.650875117006095</v>
      </c>
    </row>
    <row r="293" spans="1:3" x14ac:dyDescent="0.3">
      <c r="A293" s="2" t="s">
        <v>454</v>
      </c>
      <c r="B293" s="3">
        <v>158.9</v>
      </c>
      <c r="C293" s="3">
        <v>159.19770118500301</v>
      </c>
    </row>
    <row r="294" spans="1:3" x14ac:dyDescent="0.3">
      <c r="A294" s="2" t="s">
        <v>889</v>
      </c>
      <c r="B294" s="3">
        <v>159.9</v>
      </c>
      <c r="C294" s="3">
        <v>153.52006440305368</v>
      </c>
    </row>
    <row r="295" spans="1:3" x14ac:dyDescent="0.3">
      <c r="A295" s="2" t="s">
        <v>1423</v>
      </c>
      <c r="B295" s="3">
        <v>30.49</v>
      </c>
      <c r="C295" s="3">
        <v>32.233252195219499</v>
      </c>
    </row>
    <row r="296" spans="1:3" x14ac:dyDescent="0.3">
      <c r="A296" s="2" t="s">
        <v>352</v>
      </c>
      <c r="B296" s="3">
        <v>39.200000000000003</v>
      </c>
      <c r="C296" s="3">
        <v>37.368260134088374</v>
      </c>
    </row>
    <row r="297" spans="1:3" x14ac:dyDescent="0.3">
      <c r="A297" s="2" t="s">
        <v>538</v>
      </c>
      <c r="B297" s="3">
        <v>91.566666666666677</v>
      </c>
      <c r="C297" s="3">
        <v>92.91280545025792</v>
      </c>
    </row>
    <row r="298" spans="1:3" x14ac:dyDescent="0.3">
      <c r="A298" s="2" t="s">
        <v>679</v>
      </c>
      <c r="B298" s="3">
        <v>82.666666666666671</v>
      </c>
      <c r="C298" s="3">
        <v>88.292605934794253</v>
      </c>
    </row>
    <row r="299" spans="1:3" x14ac:dyDescent="0.3">
      <c r="A299" s="2" t="s">
        <v>1787</v>
      </c>
      <c r="B299" s="3">
        <v>53.8</v>
      </c>
      <c r="C299" s="3">
        <v>56.280425304280442</v>
      </c>
    </row>
    <row r="300" spans="1:3" x14ac:dyDescent="0.3">
      <c r="A300" s="2" t="s">
        <v>131</v>
      </c>
      <c r="B300" s="3">
        <v>74.196666666666673</v>
      </c>
      <c r="C300" s="3">
        <v>72.759577308610744</v>
      </c>
    </row>
    <row r="301" spans="1:3" x14ac:dyDescent="0.3">
      <c r="A301" s="2" t="s">
        <v>1467</v>
      </c>
      <c r="B301" s="3">
        <v>50.766666666666673</v>
      </c>
      <c r="C301" s="3">
        <v>47.685901454030081</v>
      </c>
    </row>
    <row r="302" spans="1:3" x14ac:dyDescent="0.3">
      <c r="A302" s="2" t="s">
        <v>1884</v>
      </c>
      <c r="B302" s="3">
        <v>314.99</v>
      </c>
      <c r="C302" s="3">
        <v>292.5968636630983</v>
      </c>
    </row>
    <row r="303" spans="1:3" x14ac:dyDescent="0.3">
      <c r="A303" s="2" t="s">
        <v>518</v>
      </c>
      <c r="B303" s="3">
        <v>59.9</v>
      </c>
      <c r="C303" s="3">
        <v>55.850631912614332</v>
      </c>
    </row>
    <row r="304" spans="1:3" x14ac:dyDescent="0.3">
      <c r="A304" s="2" t="s">
        <v>1593</v>
      </c>
      <c r="B304" s="3">
        <v>58.2</v>
      </c>
      <c r="C304" s="3">
        <v>55.836751531330357</v>
      </c>
    </row>
    <row r="305" spans="1:3" x14ac:dyDescent="0.3">
      <c r="A305" s="2" t="s">
        <v>836</v>
      </c>
      <c r="B305" s="3">
        <v>15</v>
      </c>
      <c r="C305" s="3">
        <v>15.617695379694496</v>
      </c>
    </row>
    <row r="306" spans="1:3" x14ac:dyDescent="0.3">
      <c r="A306" s="2" t="s">
        <v>493</v>
      </c>
      <c r="B306" s="3">
        <v>79.400000000000006</v>
      </c>
      <c r="C306" s="3">
        <v>80.008937858637182</v>
      </c>
    </row>
    <row r="307" spans="1:3" x14ac:dyDescent="0.3">
      <c r="A307" s="2" t="s">
        <v>1045</v>
      </c>
      <c r="B307" s="3">
        <v>123.23333333333335</v>
      </c>
      <c r="C307" s="3">
        <v>128.37029133330341</v>
      </c>
    </row>
    <row r="308" spans="1:3" x14ac:dyDescent="0.3">
      <c r="A308" s="2" t="s">
        <v>277</v>
      </c>
      <c r="B308" s="3">
        <v>59</v>
      </c>
      <c r="C308" s="3">
        <v>60.82771728750518</v>
      </c>
    </row>
    <row r="309" spans="1:3" x14ac:dyDescent="0.3">
      <c r="A309" s="2" t="s">
        <v>630</v>
      </c>
      <c r="B309" s="3">
        <v>49.89</v>
      </c>
      <c r="C309" s="3">
        <v>49.786477706783103</v>
      </c>
    </row>
    <row r="310" spans="1:3" x14ac:dyDescent="0.3">
      <c r="A310" s="2" t="s">
        <v>252</v>
      </c>
      <c r="B310" s="3">
        <v>96</v>
      </c>
      <c r="C310" s="3">
        <v>95.293766532849148</v>
      </c>
    </row>
    <row r="311" spans="1:3" x14ac:dyDescent="0.3">
      <c r="A311" s="2" t="s">
        <v>1990</v>
      </c>
      <c r="B311" s="3">
        <v>105.96999999999998</v>
      </c>
      <c r="C311" s="3">
        <v>107.56515561190622</v>
      </c>
    </row>
    <row r="312" spans="1:3" x14ac:dyDescent="0.3">
      <c r="A312" s="2" t="s">
        <v>220</v>
      </c>
      <c r="B312" s="3">
        <v>7.6</v>
      </c>
      <c r="C312" s="3">
        <v>7.631208367011153</v>
      </c>
    </row>
    <row r="313" spans="1:3" x14ac:dyDescent="0.3">
      <c r="A313" s="2" t="s">
        <v>17</v>
      </c>
      <c r="B313" s="3">
        <v>19.899999999999999</v>
      </c>
      <c r="C313" s="3">
        <v>21.178391588085002</v>
      </c>
    </row>
    <row r="314" spans="1:3" x14ac:dyDescent="0.3">
      <c r="A314" s="2" t="s">
        <v>1430</v>
      </c>
      <c r="B314" s="3">
        <v>89.99</v>
      </c>
      <c r="C314" s="3">
        <v>92.895175172356161</v>
      </c>
    </row>
    <row r="315" spans="1:3" x14ac:dyDescent="0.3">
      <c r="A315" s="2" t="s">
        <v>894</v>
      </c>
      <c r="B315" s="3">
        <v>43.9</v>
      </c>
      <c r="C315" s="3">
        <v>43.148493253713376</v>
      </c>
    </row>
    <row r="316" spans="1:3" x14ac:dyDescent="0.3">
      <c r="A316" s="2" t="s">
        <v>524</v>
      </c>
      <c r="B316" s="3">
        <v>71.237499999999997</v>
      </c>
      <c r="C316" s="3">
        <v>71.341637461055171</v>
      </c>
    </row>
    <row r="317" spans="1:3" x14ac:dyDescent="0.3">
      <c r="A317" s="2" t="s">
        <v>161</v>
      </c>
      <c r="B317" s="3">
        <v>168.8</v>
      </c>
      <c r="C317" s="3">
        <v>176.12924106275838</v>
      </c>
    </row>
    <row r="318" spans="1:3" x14ac:dyDescent="0.3">
      <c r="A318" s="2" t="s">
        <v>1170</v>
      </c>
      <c r="B318" s="3">
        <v>55.323333333333331</v>
      </c>
      <c r="C318" s="3">
        <v>56.943036350818694</v>
      </c>
    </row>
    <row r="319" spans="1:3" x14ac:dyDescent="0.3">
      <c r="A319" s="2" t="s">
        <v>324</v>
      </c>
      <c r="B319" s="3">
        <v>39</v>
      </c>
      <c r="C319" s="3">
        <v>38.625121796995593</v>
      </c>
    </row>
    <row r="320" spans="1:3" x14ac:dyDescent="0.3">
      <c r="A320" s="2" t="s">
        <v>657</v>
      </c>
      <c r="B320" s="3">
        <v>74.066666666666663</v>
      </c>
      <c r="C320" s="3">
        <v>76.08434099141985</v>
      </c>
    </row>
    <row r="321" spans="1:3" x14ac:dyDescent="0.3">
      <c r="A321" s="2" t="s">
        <v>2163</v>
      </c>
      <c r="B321" s="3">
        <v>35</v>
      </c>
      <c r="C321" s="3">
        <v>32.920413115541137</v>
      </c>
    </row>
    <row r="322" spans="1:3" x14ac:dyDescent="0.3">
      <c r="A322" s="2" t="s">
        <v>1325</v>
      </c>
      <c r="B322" s="3">
        <v>16.989999999999998</v>
      </c>
      <c r="C322" s="3">
        <v>17.621497644599238</v>
      </c>
    </row>
    <row r="323" spans="1:3" x14ac:dyDescent="0.3">
      <c r="A323" s="2" t="s">
        <v>699</v>
      </c>
      <c r="B323" s="3">
        <v>120</v>
      </c>
      <c r="C323" s="3">
        <v>121.16788726414852</v>
      </c>
    </row>
    <row r="324" spans="1:3" x14ac:dyDescent="0.3">
      <c r="A324" s="2" t="s">
        <v>244</v>
      </c>
      <c r="B324" s="3">
        <v>109.9</v>
      </c>
      <c r="C324" s="3">
        <v>107.79919278120036</v>
      </c>
    </row>
    <row r="325" spans="1:3" x14ac:dyDescent="0.3">
      <c r="A325" s="2" t="s">
        <v>237</v>
      </c>
      <c r="B325" s="3">
        <v>33.89</v>
      </c>
      <c r="C325" s="3">
        <v>34.789986089660701</v>
      </c>
    </row>
    <row r="326" spans="1:3" x14ac:dyDescent="0.3">
      <c r="A326" s="2" t="s">
        <v>1740</v>
      </c>
      <c r="B326" s="3">
        <v>109.99000000000001</v>
      </c>
      <c r="C326" s="3">
        <v>110.30484545415824</v>
      </c>
    </row>
    <row r="327" spans="1:3" x14ac:dyDescent="0.3">
      <c r="A327" s="2" t="s">
        <v>143</v>
      </c>
      <c r="B327" s="3">
        <v>71.99199999999999</v>
      </c>
      <c r="C327" s="3">
        <v>73.988973317580161</v>
      </c>
    </row>
    <row r="328" spans="1:3" x14ac:dyDescent="0.3">
      <c r="A328" s="2" t="s">
        <v>299</v>
      </c>
      <c r="B328" s="3">
        <v>39.85</v>
      </c>
      <c r="C328" s="3">
        <v>41.843406775984157</v>
      </c>
    </row>
    <row r="329" spans="1:3" x14ac:dyDescent="0.3">
      <c r="A329" s="2" t="s">
        <v>1912</v>
      </c>
      <c r="B329" s="3">
        <v>379.9</v>
      </c>
      <c r="C329" s="3">
        <v>356.0929790955521</v>
      </c>
    </row>
    <row r="330" spans="1:3" x14ac:dyDescent="0.3">
      <c r="A330" s="2" t="s">
        <v>929</v>
      </c>
      <c r="B330" s="3">
        <v>579.99</v>
      </c>
      <c r="C330" s="3">
        <v>534.64008101604099</v>
      </c>
    </row>
    <row r="331" spans="1:3" x14ac:dyDescent="0.3">
      <c r="A331" s="2" t="s">
        <v>1391</v>
      </c>
      <c r="B331" s="3">
        <v>118.13</v>
      </c>
      <c r="C331" s="3">
        <v>114.16606034888052</v>
      </c>
    </row>
    <row r="332" spans="1:3" x14ac:dyDescent="0.3">
      <c r="A332" s="2" t="s">
        <v>231</v>
      </c>
      <c r="B332" s="3">
        <v>21.5</v>
      </c>
      <c r="C332" s="3">
        <v>19.400044453048974</v>
      </c>
    </row>
    <row r="333" spans="1:3" x14ac:dyDescent="0.3">
      <c r="A333" s="2" t="s">
        <v>1692</v>
      </c>
      <c r="B333" s="3">
        <v>131.99</v>
      </c>
      <c r="C333" s="3">
        <v>129.57946454732317</v>
      </c>
    </row>
    <row r="334" spans="1:3" x14ac:dyDescent="0.3">
      <c r="A334" s="2" t="s">
        <v>2204</v>
      </c>
      <c r="B334" s="3">
        <v>100</v>
      </c>
      <c r="C334" s="3">
        <v>102.4868984478185</v>
      </c>
    </row>
    <row r="335" spans="1:3" x14ac:dyDescent="0.3">
      <c r="A335" s="2" t="s">
        <v>640</v>
      </c>
      <c r="B335" s="3">
        <v>155.05571428571429</v>
      </c>
      <c r="C335" s="3">
        <v>164.01349942198362</v>
      </c>
    </row>
    <row r="336" spans="1:3" x14ac:dyDescent="0.3">
      <c r="A336" s="2" t="s">
        <v>1507</v>
      </c>
      <c r="B336" s="3">
        <v>329.9</v>
      </c>
      <c r="C336" s="3">
        <v>314.02392930260362</v>
      </c>
    </row>
    <row r="337" spans="1:3" x14ac:dyDescent="0.3">
      <c r="A337" s="2" t="s">
        <v>1083</v>
      </c>
      <c r="B337" s="3">
        <v>48.9</v>
      </c>
      <c r="C337" s="3">
        <v>46.313369666133326</v>
      </c>
    </row>
    <row r="338" spans="1:3" x14ac:dyDescent="0.3">
      <c r="A338" s="2" t="s">
        <v>65</v>
      </c>
      <c r="B338" s="3">
        <v>115.74000000000001</v>
      </c>
      <c r="C338" s="3">
        <v>110.72710855413186</v>
      </c>
    </row>
    <row r="339" spans="1:3" x14ac:dyDescent="0.3">
      <c r="A339" s="2" t="s">
        <v>1129</v>
      </c>
      <c r="B339" s="3">
        <v>59.9</v>
      </c>
      <c r="C339" s="3">
        <v>59.647490154172232</v>
      </c>
    </row>
    <row r="340" spans="1:3" x14ac:dyDescent="0.3">
      <c r="A340" s="2" t="s">
        <v>1373</v>
      </c>
      <c r="B340" s="3">
        <v>1337.9899999999998</v>
      </c>
      <c r="C340" s="3">
        <v>1431.8126900904313</v>
      </c>
    </row>
    <row r="341" spans="1:3" x14ac:dyDescent="0.3">
      <c r="A341" s="2" t="s">
        <v>384</v>
      </c>
      <c r="B341" s="3">
        <v>179.33333333333334</v>
      </c>
      <c r="C341" s="3">
        <v>177.51785415705788</v>
      </c>
    </row>
    <row r="342" spans="1:3" x14ac:dyDescent="0.3">
      <c r="A342" s="2" t="s">
        <v>867</v>
      </c>
      <c r="B342" s="3">
        <v>103.9</v>
      </c>
      <c r="C342" s="3">
        <v>102.98077766960034</v>
      </c>
    </row>
    <row r="343" spans="1:3" x14ac:dyDescent="0.3">
      <c r="A343" s="2" t="s">
        <v>1876</v>
      </c>
      <c r="B343" s="3">
        <v>179.9</v>
      </c>
      <c r="C343" s="3">
        <v>172.22906657155386</v>
      </c>
    </row>
    <row r="344" spans="1:3" x14ac:dyDescent="0.3">
      <c r="A344" s="2" t="s">
        <v>1620</v>
      </c>
      <c r="B344" s="3">
        <v>136.995</v>
      </c>
      <c r="C344" s="3">
        <v>131.96505984456849</v>
      </c>
    </row>
    <row r="345" spans="1:3" x14ac:dyDescent="0.3">
      <c r="A345" s="2" t="s">
        <v>79</v>
      </c>
      <c r="B345" s="3">
        <v>126.64761904761902</v>
      </c>
      <c r="C345" s="3">
        <v>123.81624524793573</v>
      </c>
    </row>
    <row r="346" spans="1:3" x14ac:dyDescent="0.3">
      <c r="A346" s="2" t="s">
        <v>354</v>
      </c>
      <c r="B346" s="3">
        <v>125.66666666666667</v>
      </c>
      <c r="C346" s="3">
        <v>129.39031530407928</v>
      </c>
    </row>
    <row r="347" spans="1:3" x14ac:dyDescent="0.3">
      <c r="A347" s="2" t="s">
        <v>1133</v>
      </c>
      <c r="B347" s="3">
        <v>79.8</v>
      </c>
      <c r="C347" s="3">
        <v>82.518610835394895</v>
      </c>
    </row>
    <row r="348" spans="1:3" x14ac:dyDescent="0.3">
      <c r="A348" s="2" t="s">
        <v>2068</v>
      </c>
      <c r="B348" s="3">
        <v>349</v>
      </c>
      <c r="C348" s="3">
        <v>380.42362639824154</v>
      </c>
    </row>
    <row r="349" spans="1:3" x14ac:dyDescent="0.3">
      <c r="A349" s="2" t="s">
        <v>1649</v>
      </c>
      <c r="B349" s="3">
        <v>48.98</v>
      </c>
      <c r="C349" s="3">
        <v>53.199174282795155</v>
      </c>
    </row>
    <row r="350" spans="1:3" x14ac:dyDescent="0.3">
      <c r="A350" s="2" t="s">
        <v>2184</v>
      </c>
      <c r="B350" s="3">
        <v>59.89</v>
      </c>
      <c r="C350" s="3">
        <v>56.832533710595627</v>
      </c>
    </row>
    <row r="351" spans="1:3" x14ac:dyDescent="0.3">
      <c r="A351" s="2" t="s">
        <v>47</v>
      </c>
      <c r="B351" s="3">
        <v>142.57103448275853</v>
      </c>
      <c r="C351" s="3">
        <v>144.01299374877644</v>
      </c>
    </row>
    <row r="352" spans="1:3" x14ac:dyDescent="0.3">
      <c r="A352" s="2" t="s">
        <v>200</v>
      </c>
      <c r="B352" s="3">
        <v>233.98099999999999</v>
      </c>
      <c r="C352" s="3">
        <v>232.04751120121668</v>
      </c>
    </row>
    <row r="353" spans="1:3" x14ac:dyDescent="0.3">
      <c r="A353" s="2" t="s">
        <v>882</v>
      </c>
      <c r="B353" s="3">
        <v>7.5</v>
      </c>
      <c r="C353" s="3">
        <v>7.394318463446826</v>
      </c>
    </row>
    <row r="354" spans="1:3" x14ac:dyDescent="0.3">
      <c r="A354" s="2" t="s">
        <v>1165</v>
      </c>
      <c r="B354" s="3">
        <v>18.896666666666665</v>
      </c>
      <c r="C354" s="3">
        <v>19.129345559533771</v>
      </c>
    </row>
    <row r="355" spans="1:3" x14ac:dyDescent="0.3">
      <c r="A355" s="2" t="s">
        <v>609</v>
      </c>
      <c r="B355" s="3">
        <v>23.7</v>
      </c>
      <c r="C355" s="3">
        <v>22.797532191106555</v>
      </c>
    </row>
    <row r="356" spans="1:3" x14ac:dyDescent="0.3">
      <c r="A356" s="2" t="s">
        <v>1242</v>
      </c>
      <c r="B356" s="3">
        <v>105.74000000000001</v>
      </c>
      <c r="C356" s="3">
        <v>105.14083351600613</v>
      </c>
    </row>
    <row r="357" spans="1:3" x14ac:dyDescent="0.3">
      <c r="A357" s="2" t="s">
        <v>1850</v>
      </c>
      <c r="B357" s="3">
        <v>116</v>
      </c>
      <c r="C357" s="3">
        <v>117.53882428563611</v>
      </c>
    </row>
    <row r="358" spans="1:3" x14ac:dyDescent="0.3">
      <c r="A358" s="2" t="s">
        <v>198</v>
      </c>
      <c r="B358" s="3">
        <v>314.2475</v>
      </c>
      <c r="C358" s="3">
        <v>328.65610798629757</v>
      </c>
    </row>
    <row r="359" spans="1:3" x14ac:dyDescent="0.3">
      <c r="A359" s="2" t="s">
        <v>1142</v>
      </c>
      <c r="B359" s="3">
        <v>195</v>
      </c>
      <c r="C359" s="3">
        <v>184.19424557637447</v>
      </c>
    </row>
    <row r="360" spans="1:3" x14ac:dyDescent="0.3">
      <c r="A360" s="2" t="s">
        <v>864</v>
      </c>
      <c r="B360" s="3">
        <v>59.9</v>
      </c>
      <c r="C360" s="3">
        <v>60.62936516711278</v>
      </c>
    </row>
    <row r="361" spans="1:3" x14ac:dyDescent="0.3">
      <c r="A361" s="2" t="s">
        <v>1066</v>
      </c>
      <c r="B361" s="3">
        <v>115.32857142857142</v>
      </c>
      <c r="C361" s="3">
        <v>116.03095391771693</v>
      </c>
    </row>
    <row r="362" spans="1:3" x14ac:dyDescent="0.3">
      <c r="A362" s="2" t="s">
        <v>991</v>
      </c>
      <c r="B362" s="3">
        <v>84.9</v>
      </c>
      <c r="C362" s="3">
        <v>87.634501670284408</v>
      </c>
    </row>
    <row r="363" spans="1:3" x14ac:dyDescent="0.3">
      <c r="A363" s="2" t="s">
        <v>1743</v>
      </c>
      <c r="B363" s="3">
        <v>179.99</v>
      </c>
      <c r="C363" s="3">
        <v>189.39499549097633</v>
      </c>
    </row>
    <row r="364" spans="1:3" x14ac:dyDescent="0.3">
      <c r="A364" s="2" t="s">
        <v>577</v>
      </c>
      <c r="B364" s="3">
        <v>85</v>
      </c>
      <c r="C364" s="3">
        <v>91.145038485268202</v>
      </c>
    </row>
    <row r="365" spans="1:3" x14ac:dyDescent="0.3">
      <c r="A365" s="2" t="s">
        <v>275</v>
      </c>
      <c r="B365" s="3">
        <v>469</v>
      </c>
      <c r="C365" s="3">
        <v>478.89171172200577</v>
      </c>
    </row>
    <row r="366" spans="1:3" x14ac:dyDescent="0.3">
      <c r="A366" s="2" t="s">
        <v>857</v>
      </c>
      <c r="B366" s="3">
        <v>45</v>
      </c>
      <c r="C366" s="3">
        <v>46.054708444334189</v>
      </c>
    </row>
    <row r="367" spans="1:3" x14ac:dyDescent="0.3">
      <c r="A367" s="2" t="s">
        <v>817</v>
      </c>
      <c r="B367" s="3">
        <v>610</v>
      </c>
      <c r="C367" s="3">
        <v>565.39705661764378</v>
      </c>
    </row>
    <row r="368" spans="1:3" x14ac:dyDescent="0.3">
      <c r="A368" s="2" t="s">
        <v>1793</v>
      </c>
      <c r="B368" s="3">
        <v>69.900000000000006</v>
      </c>
      <c r="C368" s="3">
        <v>69.229468613719263</v>
      </c>
    </row>
    <row r="369" spans="1:3" x14ac:dyDescent="0.3">
      <c r="A369" s="2" t="s">
        <v>1428</v>
      </c>
      <c r="B369" s="3">
        <v>119.5</v>
      </c>
      <c r="C369" s="3">
        <v>123.35954037622652</v>
      </c>
    </row>
    <row r="370" spans="1:3" x14ac:dyDescent="0.3">
      <c r="A370" s="2" t="s">
        <v>171</v>
      </c>
      <c r="B370" s="3">
        <v>83.9</v>
      </c>
      <c r="C370" s="3">
        <v>80.260014174352293</v>
      </c>
    </row>
    <row r="371" spans="1:3" x14ac:dyDescent="0.3">
      <c r="A371" s="2" t="s">
        <v>288</v>
      </c>
      <c r="B371" s="3">
        <v>206.29666666666665</v>
      </c>
      <c r="C371" s="3">
        <v>211.96745474682584</v>
      </c>
    </row>
    <row r="372" spans="1:3" x14ac:dyDescent="0.3">
      <c r="A372" s="2" t="s">
        <v>149</v>
      </c>
      <c r="B372" s="3">
        <v>83.660000000000011</v>
      </c>
      <c r="C372" s="3">
        <v>87.162961350257106</v>
      </c>
    </row>
    <row r="373" spans="1:3" x14ac:dyDescent="0.3">
      <c r="A373" s="2" t="s">
        <v>364</v>
      </c>
      <c r="B373" s="3">
        <v>133.87857142857143</v>
      </c>
      <c r="C373" s="3">
        <v>139.72727915263263</v>
      </c>
    </row>
    <row r="374" spans="1:3" x14ac:dyDescent="0.3">
      <c r="A374" s="2" t="s">
        <v>339</v>
      </c>
      <c r="B374" s="3">
        <v>29.962</v>
      </c>
      <c r="C374" s="3">
        <v>30.485152819670201</v>
      </c>
    </row>
    <row r="375" spans="1:3" x14ac:dyDescent="0.3">
      <c r="A375" s="2" t="s">
        <v>27</v>
      </c>
      <c r="B375" s="3">
        <v>45</v>
      </c>
      <c r="C375" s="3">
        <v>40.775059822253873</v>
      </c>
    </row>
    <row r="376" spans="1:3" x14ac:dyDescent="0.3">
      <c r="A376" s="2" t="s">
        <v>369</v>
      </c>
      <c r="B376" s="3">
        <v>18</v>
      </c>
      <c r="C376" s="3">
        <v>18.7819748032917</v>
      </c>
    </row>
    <row r="377" spans="1:3" x14ac:dyDescent="0.3">
      <c r="A377" s="2" t="s">
        <v>260</v>
      </c>
      <c r="B377" s="3">
        <v>74.95</v>
      </c>
      <c r="C377" s="3">
        <v>76.183432238927878</v>
      </c>
    </row>
    <row r="378" spans="1:3" x14ac:dyDescent="0.3">
      <c r="A378" s="2" t="s">
        <v>1540</v>
      </c>
      <c r="B378" s="3">
        <v>89.9</v>
      </c>
      <c r="C378" s="3">
        <v>86.206253522764598</v>
      </c>
    </row>
    <row r="379" spans="1:3" x14ac:dyDescent="0.3">
      <c r="A379" s="2" t="s">
        <v>113</v>
      </c>
      <c r="B379" s="3">
        <v>92.966666666666654</v>
      </c>
      <c r="C379" s="3">
        <v>96.006001009011072</v>
      </c>
    </row>
    <row r="380" spans="1:3" x14ac:dyDescent="0.3">
      <c r="A380" s="2" t="s">
        <v>1940</v>
      </c>
      <c r="B380" s="3">
        <v>46.9</v>
      </c>
      <c r="C380" s="3">
        <v>45.547862898464238</v>
      </c>
    </row>
    <row r="381" spans="1:3" x14ac:dyDescent="0.3">
      <c r="A381" s="2" t="s">
        <v>933</v>
      </c>
      <c r="B381" s="3">
        <v>399.9</v>
      </c>
      <c r="C381" s="3">
        <v>362.59721394970398</v>
      </c>
    </row>
    <row r="382" spans="1:3" x14ac:dyDescent="0.3">
      <c r="A382" s="2" t="s">
        <v>282</v>
      </c>
      <c r="B382" s="3">
        <v>85.1</v>
      </c>
      <c r="C382" s="3">
        <v>85.542777639037155</v>
      </c>
    </row>
    <row r="383" spans="1:3" x14ac:dyDescent="0.3">
      <c r="A383" s="2" t="s">
        <v>626</v>
      </c>
      <c r="B383" s="3">
        <v>299</v>
      </c>
      <c r="C383" s="3">
        <v>319.63080963603454</v>
      </c>
    </row>
    <row r="384" spans="1:3" x14ac:dyDescent="0.3">
      <c r="A384" s="2" t="s">
        <v>667</v>
      </c>
      <c r="B384" s="3">
        <v>101.83461538461538</v>
      </c>
      <c r="C384" s="3">
        <v>102.91882075921318</v>
      </c>
    </row>
    <row r="385" spans="1:3" x14ac:dyDescent="0.3">
      <c r="A385" s="2" t="s">
        <v>99</v>
      </c>
      <c r="B385" s="3">
        <v>35.99</v>
      </c>
      <c r="C385" s="3">
        <v>36.718570919678108</v>
      </c>
    </row>
    <row r="386" spans="1:3" x14ac:dyDescent="0.3">
      <c r="A386" s="2" t="s">
        <v>773</v>
      </c>
      <c r="B386" s="3">
        <v>63</v>
      </c>
      <c r="C386" s="3">
        <v>58.811498112920937</v>
      </c>
    </row>
    <row r="387" spans="1:3" x14ac:dyDescent="0.3">
      <c r="A387" s="2" t="s">
        <v>831</v>
      </c>
      <c r="B387" s="3">
        <v>113.31666666666666</v>
      </c>
      <c r="C387" s="3">
        <v>103.95712864652631</v>
      </c>
    </row>
    <row r="388" spans="1:3" x14ac:dyDescent="0.3">
      <c r="A388" s="2" t="s">
        <v>1643</v>
      </c>
      <c r="B388" s="3">
        <v>204.45</v>
      </c>
      <c r="C388" s="3">
        <v>198.65216570541759</v>
      </c>
    </row>
    <row r="389" spans="1:3" x14ac:dyDescent="0.3">
      <c r="A389" s="2" t="s">
        <v>2137</v>
      </c>
      <c r="B389" s="3">
        <v>87.51</v>
      </c>
      <c r="C389" s="3">
        <v>92.401271714882128</v>
      </c>
    </row>
    <row r="390" spans="1:3" x14ac:dyDescent="0.3">
      <c r="A390" s="2" t="s">
        <v>341</v>
      </c>
      <c r="B390" s="3">
        <v>14.89</v>
      </c>
      <c r="C390" s="3">
        <v>16.178196504985792</v>
      </c>
    </row>
    <row r="391" spans="1:3" x14ac:dyDescent="0.3">
      <c r="A391" s="2" t="s">
        <v>71</v>
      </c>
      <c r="B391" s="3">
        <v>16.565789473684209</v>
      </c>
      <c r="C391" s="3">
        <v>16.728438211904535</v>
      </c>
    </row>
    <row r="392" spans="1:3" x14ac:dyDescent="0.3">
      <c r="A392" s="2" t="s">
        <v>1209</v>
      </c>
      <c r="B392" s="3">
        <v>479</v>
      </c>
      <c r="C392" s="3">
        <v>504.31043551047998</v>
      </c>
    </row>
    <row r="393" spans="1:3" x14ac:dyDescent="0.3">
      <c r="A393" s="2" t="s">
        <v>1321</v>
      </c>
      <c r="B393" s="3">
        <v>99</v>
      </c>
      <c r="C393" s="3">
        <v>100.46803332528258</v>
      </c>
    </row>
    <row r="394" spans="1:3" x14ac:dyDescent="0.3">
      <c r="A394" s="2" t="s">
        <v>250</v>
      </c>
      <c r="B394" s="3">
        <v>54.18</v>
      </c>
      <c r="C394" s="3">
        <v>54.46396795827124</v>
      </c>
    </row>
    <row r="395" spans="1:3" x14ac:dyDescent="0.3">
      <c r="A395" s="2" t="s">
        <v>41</v>
      </c>
      <c r="B395" s="3">
        <v>36.25</v>
      </c>
      <c r="C395" s="3">
        <v>36.128464375635446</v>
      </c>
    </row>
    <row r="396" spans="1:3" x14ac:dyDescent="0.3">
      <c r="A396" s="2" t="s">
        <v>959</v>
      </c>
      <c r="B396" s="3">
        <v>738.9</v>
      </c>
      <c r="C396" s="3">
        <v>667.7797548532227</v>
      </c>
    </row>
    <row r="397" spans="1:3" x14ac:dyDescent="0.3">
      <c r="A397" s="2" t="s">
        <v>730</v>
      </c>
      <c r="B397" s="3">
        <v>15.32</v>
      </c>
      <c r="C397" s="3">
        <v>14.82111920967437</v>
      </c>
    </row>
    <row r="398" spans="1:3" x14ac:dyDescent="0.3">
      <c r="A398" s="2" t="s">
        <v>563</v>
      </c>
      <c r="B398" s="3">
        <v>56.882000000000005</v>
      </c>
      <c r="C398" s="3">
        <v>56.58979733157139</v>
      </c>
    </row>
    <row r="399" spans="1:3" x14ac:dyDescent="0.3">
      <c r="A399" s="2" t="s">
        <v>147</v>
      </c>
      <c r="B399" s="3">
        <v>85.526666666666657</v>
      </c>
      <c r="C399" s="3">
        <v>84.494455009917914</v>
      </c>
    </row>
    <row r="400" spans="1:3" x14ac:dyDescent="0.3">
      <c r="A400" s="2" t="s">
        <v>188</v>
      </c>
      <c r="B400" s="3">
        <v>142.44499999999999</v>
      </c>
      <c r="C400" s="3">
        <v>152.53747724244798</v>
      </c>
    </row>
    <row r="401" spans="1:3" x14ac:dyDescent="0.3">
      <c r="A401" s="2" t="s">
        <v>1499</v>
      </c>
      <c r="B401" s="3">
        <v>135</v>
      </c>
      <c r="C401" s="3">
        <v>137.85135090561835</v>
      </c>
    </row>
    <row r="402" spans="1:3" x14ac:dyDescent="0.3">
      <c r="A402" s="2" t="s">
        <v>595</v>
      </c>
      <c r="B402" s="3">
        <v>199</v>
      </c>
      <c r="C402" s="3">
        <v>203.64655719335329</v>
      </c>
    </row>
    <row r="403" spans="1:3" x14ac:dyDescent="0.3">
      <c r="A403" s="2" t="s">
        <v>1437</v>
      </c>
      <c r="B403" s="3">
        <v>63.099999999999994</v>
      </c>
      <c r="C403" s="3">
        <v>61.645519650817278</v>
      </c>
    </row>
    <row r="404" spans="1:3" x14ac:dyDescent="0.3">
      <c r="A404" s="2" t="s">
        <v>998</v>
      </c>
      <c r="B404" s="3">
        <v>45.966666666666669</v>
      </c>
      <c r="C404" s="3">
        <v>45.436766717055299</v>
      </c>
    </row>
    <row r="405" spans="1:3" x14ac:dyDescent="0.3">
      <c r="A405" s="2" t="s">
        <v>121</v>
      </c>
      <c r="B405" s="3">
        <v>44.9</v>
      </c>
      <c r="C405" s="3">
        <v>42.531944160547212</v>
      </c>
    </row>
    <row r="406" spans="1:3" x14ac:dyDescent="0.3">
      <c r="A406" s="2" t="s">
        <v>127</v>
      </c>
      <c r="B406" s="3">
        <v>492.75</v>
      </c>
      <c r="C406" s="3">
        <v>496.12063499504609</v>
      </c>
    </row>
    <row r="407" spans="1:3" x14ac:dyDescent="0.3">
      <c r="A407" s="2" t="s">
        <v>497</v>
      </c>
      <c r="B407" s="3">
        <v>199</v>
      </c>
      <c r="C407" s="3">
        <v>206.91015200553792</v>
      </c>
    </row>
    <row r="408" spans="1:3" x14ac:dyDescent="0.3">
      <c r="A408" s="2" t="s">
        <v>69</v>
      </c>
      <c r="B408" s="3">
        <v>16.067777777777778</v>
      </c>
      <c r="C408" s="3">
        <v>15.933703305298243</v>
      </c>
    </row>
    <row r="409" spans="1:3" x14ac:dyDescent="0.3">
      <c r="A409" s="2" t="s">
        <v>1698</v>
      </c>
      <c r="B409" s="3">
        <v>616.90000000000009</v>
      </c>
      <c r="C409" s="3">
        <v>574.22628706768842</v>
      </c>
    </row>
    <row r="410" spans="1:3" x14ac:dyDescent="0.3">
      <c r="A410" s="2" t="s">
        <v>414</v>
      </c>
      <c r="B410" s="3">
        <v>177.9</v>
      </c>
      <c r="C410" s="3">
        <v>175.56125967279544</v>
      </c>
    </row>
    <row r="411" spans="1:3" x14ac:dyDescent="0.3">
      <c r="A411" s="2" t="s">
        <v>1745</v>
      </c>
      <c r="B411" s="3">
        <v>39.99</v>
      </c>
      <c r="C411" s="3">
        <v>42.958415121370685</v>
      </c>
    </row>
    <row r="412" spans="1:3" x14ac:dyDescent="0.3">
      <c r="A412" s="2" t="s">
        <v>111</v>
      </c>
      <c r="B412" s="3">
        <v>91.576538461538476</v>
      </c>
      <c r="C412" s="3">
        <v>91.853290328745075</v>
      </c>
    </row>
    <row r="413" spans="1:3" x14ac:dyDescent="0.3">
      <c r="A413" s="2" t="s">
        <v>1287</v>
      </c>
      <c r="B413" s="3">
        <v>31.659999999999997</v>
      </c>
      <c r="C413" s="3">
        <v>32.877967972635929</v>
      </c>
    </row>
    <row r="414" spans="1:3" x14ac:dyDescent="0.3">
      <c r="A414" s="2" t="s">
        <v>1269</v>
      </c>
      <c r="B414" s="3">
        <v>73.900000000000006</v>
      </c>
      <c r="C414" s="3">
        <v>68.912286546002647</v>
      </c>
    </row>
    <row r="415" spans="1:3" x14ac:dyDescent="0.3">
      <c r="A415" s="2" t="s">
        <v>1040</v>
      </c>
      <c r="B415" s="3">
        <v>59.9</v>
      </c>
      <c r="C415" s="3">
        <v>57.242986782353057</v>
      </c>
    </row>
    <row r="416" spans="1:3" x14ac:dyDescent="0.3">
      <c r="A416" s="2" t="s">
        <v>1462</v>
      </c>
      <c r="B416" s="3">
        <v>108</v>
      </c>
      <c r="C416" s="3">
        <v>107.00829877716328</v>
      </c>
    </row>
    <row r="417" spans="1:3" x14ac:dyDescent="0.3">
      <c r="A417" s="2" t="s">
        <v>327</v>
      </c>
      <c r="B417" s="3">
        <v>269</v>
      </c>
      <c r="C417" s="3">
        <v>268.82901332505276</v>
      </c>
    </row>
    <row r="418" spans="1:3" x14ac:dyDescent="0.3">
      <c r="A418" s="2" t="s">
        <v>791</v>
      </c>
      <c r="B418" s="3">
        <v>497</v>
      </c>
      <c r="C418" s="3">
        <v>476.92884867102953</v>
      </c>
    </row>
    <row r="419" spans="1:3" x14ac:dyDescent="0.3">
      <c r="A419" s="2" t="s">
        <v>1575</v>
      </c>
      <c r="B419" s="3">
        <v>36.9</v>
      </c>
      <c r="C419" s="3">
        <v>40.049371407266747</v>
      </c>
    </row>
    <row r="420" spans="1:3" x14ac:dyDescent="0.3">
      <c r="A420" s="2" t="s">
        <v>420</v>
      </c>
      <c r="B420" s="3">
        <v>52.99</v>
      </c>
      <c r="C420" s="3">
        <v>53.127855012557575</v>
      </c>
    </row>
    <row r="421" spans="1:3" x14ac:dyDescent="0.3">
      <c r="A421" s="2" t="s">
        <v>1917</v>
      </c>
      <c r="B421" s="3">
        <v>63.99</v>
      </c>
      <c r="C421" s="3">
        <v>66.95754437181165</v>
      </c>
    </row>
    <row r="422" spans="1:3" x14ac:dyDescent="0.3">
      <c r="A422" s="2" t="s">
        <v>1103</v>
      </c>
      <c r="B422" s="3">
        <v>76.099999999999994</v>
      </c>
      <c r="C422" s="3">
        <v>73.465066213459053</v>
      </c>
    </row>
    <row r="423" spans="1:3" x14ac:dyDescent="0.3">
      <c r="A423" s="2" t="s">
        <v>2103</v>
      </c>
      <c r="B423" s="3">
        <v>90</v>
      </c>
      <c r="C423" s="3">
        <v>82.31792405712801</v>
      </c>
    </row>
    <row r="424" spans="1:3" x14ac:dyDescent="0.3">
      <c r="A424" s="2" t="s">
        <v>1818</v>
      </c>
      <c r="B424" s="3">
        <v>107.4</v>
      </c>
      <c r="C424" s="3">
        <v>116.32984593614417</v>
      </c>
    </row>
    <row r="425" spans="1:3" x14ac:dyDescent="0.3">
      <c r="A425" s="2" t="s">
        <v>505</v>
      </c>
      <c r="B425" s="3">
        <v>158</v>
      </c>
      <c r="C425" s="3">
        <v>156.03006442931135</v>
      </c>
    </row>
    <row r="426" spans="1:3" x14ac:dyDescent="0.3">
      <c r="A426" s="2" t="s">
        <v>119</v>
      </c>
      <c r="B426" s="3">
        <v>169.45</v>
      </c>
      <c r="C426" s="3">
        <v>155.84612243676466</v>
      </c>
    </row>
    <row r="427" spans="1:3" x14ac:dyDescent="0.3">
      <c r="A427" s="2" t="s">
        <v>1478</v>
      </c>
      <c r="B427" s="3">
        <v>130</v>
      </c>
      <c r="C427" s="3">
        <v>138.35854259323813</v>
      </c>
    </row>
    <row r="428" spans="1:3" x14ac:dyDescent="0.3">
      <c r="A428" s="2" t="s">
        <v>1872</v>
      </c>
      <c r="B428" s="3">
        <v>24.990000000000002</v>
      </c>
      <c r="C428" s="3">
        <v>24.47212710261206</v>
      </c>
    </row>
    <row r="429" spans="1:3" x14ac:dyDescent="0.3">
      <c r="A429" s="2" t="s">
        <v>1414</v>
      </c>
      <c r="B429" s="3">
        <v>99.99</v>
      </c>
      <c r="C429" s="3">
        <v>99.991044582395276</v>
      </c>
    </row>
    <row r="430" spans="1:3" x14ac:dyDescent="0.3">
      <c r="A430" s="2" t="s">
        <v>85</v>
      </c>
      <c r="B430" s="3">
        <v>159.41999999999999</v>
      </c>
      <c r="C430" s="3">
        <v>163.47491724217056</v>
      </c>
    </row>
    <row r="431" spans="1:3" x14ac:dyDescent="0.3">
      <c r="A431" s="2" t="s">
        <v>2214</v>
      </c>
      <c r="B431" s="3">
        <v>99.99</v>
      </c>
      <c r="C431" s="3">
        <v>101.61800037277804</v>
      </c>
    </row>
    <row r="432" spans="1:3" x14ac:dyDescent="0.3">
      <c r="A432" s="2" t="s">
        <v>1060</v>
      </c>
      <c r="B432" s="3">
        <v>60</v>
      </c>
      <c r="C432" s="3">
        <v>58.437998038476394</v>
      </c>
    </row>
    <row r="433" spans="1:3" x14ac:dyDescent="0.3">
      <c r="A433" s="2" t="s">
        <v>1026</v>
      </c>
      <c r="B433" s="3">
        <v>101.99</v>
      </c>
      <c r="C433" s="3">
        <v>110.50691081015356</v>
      </c>
    </row>
    <row r="434" spans="1:3" x14ac:dyDescent="0.3">
      <c r="A434" s="2" t="s">
        <v>11</v>
      </c>
      <c r="B434" s="3">
        <v>12.99</v>
      </c>
      <c r="C434" s="3">
        <v>14.0165489270845</v>
      </c>
    </row>
    <row r="435" spans="1:3" x14ac:dyDescent="0.3">
      <c r="A435" s="2" t="s">
        <v>718</v>
      </c>
      <c r="B435" s="3">
        <v>99.9</v>
      </c>
      <c r="C435" s="3">
        <v>98.553389115315198</v>
      </c>
    </row>
    <row r="436" spans="1:3" x14ac:dyDescent="0.3">
      <c r="A436" s="2" t="s">
        <v>1799</v>
      </c>
      <c r="B436" s="3">
        <v>172.65666666666667</v>
      </c>
      <c r="C436" s="3">
        <v>167.84479236371939</v>
      </c>
    </row>
    <row r="437" spans="1:3" x14ac:dyDescent="0.3">
      <c r="A437" s="2" t="s">
        <v>541</v>
      </c>
      <c r="B437" s="3">
        <v>189.9</v>
      </c>
      <c r="C437" s="3">
        <v>192.32598371275847</v>
      </c>
    </row>
    <row r="438" spans="1:3" x14ac:dyDescent="0.3">
      <c r="A438" s="2" t="s">
        <v>109</v>
      </c>
      <c r="B438" s="3">
        <v>46.39200000000001</v>
      </c>
      <c r="C438" s="3">
        <v>47.645571107406482</v>
      </c>
    </row>
    <row r="439" spans="1:3" x14ac:dyDescent="0.3">
      <c r="A439" s="2" t="s">
        <v>239</v>
      </c>
      <c r="B439" s="3">
        <v>130.27000000000001</v>
      </c>
      <c r="C439" s="3">
        <v>131.3204472605172</v>
      </c>
    </row>
    <row r="440" spans="1:3" x14ac:dyDescent="0.3">
      <c r="A440" s="2" t="s">
        <v>67</v>
      </c>
      <c r="B440" s="3">
        <v>20.93</v>
      </c>
      <c r="C440" s="3">
        <v>20.835581459629406</v>
      </c>
    </row>
    <row r="441" spans="1:3" x14ac:dyDescent="0.3">
      <c r="A441" s="2" t="s">
        <v>151</v>
      </c>
      <c r="B441" s="3">
        <v>39.9</v>
      </c>
      <c r="C441" s="3">
        <v>40.052514399270947</v>
      </c>
    </row>
    <row r="442" spans="1:3" x14ac:dyDescent="0.3">
      <c r="A442" s="2" t="s">
        <v>1889</v>
      </c>
      <c r="B442" s="3">
        <v>69.900000000000006</v>
      </c>
      <c r="C442" s="3">
        <v>74.592723358250154</v>
      </c>
    </row>
    <row r="443" spans="1:3" x14ac:dyDescent="0.3">
      <c r="A443" s="2" t="s">
        <v>75</v>
      </c>
      <c r="B443" s="3">
        <v>49.75</v>
      </c>
      <c r="C443" s="3">
        <v>54.156427869053189</v>
      </c>
    </row>
    <row r="444" spans="1:3" x14ac:dyDescent="0.3">
      <c r="A444" s="2" t="s">
        <v>2030</v>
      </c>
      <c r="B444" s="3">
        <v>297</v>
      </c>
      <c r="C444" s="3">
        <v>311.84579038274921</v>
      </c>
    </row>
    <row r="445" spans="1:3" x14ac:dyDescent="0.3">
      <c r="A445" s="2" t="s">
        <v>973</v>
      </c>
      <c r="B445" s="3">
        <v>121.59666666666668</v>
      </c>
      <c r="C445" s="3">
        <v>125.6763676369839</v>
      </c>
    </row>
    <row r="446" spans="1:3" x14ac:dyDescent="0.3">
      <c r="A446" s="2" t="s">
        <v>676</v>
      </c>
      <c r="B446" s="3">
        <v>127.48</v>
      </c>
      <c r="C446" s="3">
        <v>131.57337133455871</v>
      </c>
    </row>
    <row r="447" spans="1:3" x14ac:dyDescent="0.3">
      <c r="A447" s="2" t="s">
        <v>73</v>
      </c>
      <c r="B447" s="3">
        <v>89</v>
      </c>
      <c r="C447" s="3">
        <v>89.402086787012635</v>
      </c>
    </row>
    <row r="448" spans="1:3" x14ac:dyDescent="0.3">
      <c r="A448" s="2" t="s">
        <v>21</v>
      </c>
      <c r="B448" s="3">
        <v>85.00800000000001</v>
      </c>
      <c r="C448" s="3">
        <v>86.543791493038796</v>
      </c>
    </row>
    <row r="449" spans="1:3" x14ac:dyDescent="0.3">
      <c r="A449" s="2" t="s">
        <v>436</v>
      </c>
      <c r="B449" s="3">
        <v>48.5</v>
      </c>
      <c r="C449" s="3">
        <v>50.31151101479557</v>
      </c>
    </row>
    <row r="450" spans="1:3" x14ac:dyDescent="0.3">
      <c r="A450" s="2" t="s">
        <v>642</v>
      </c>
      <c r="B450" s="3">
        <v>79.900000000000006</v>
      </c>
      <c r="C450" s="3">
        <v>72.673510428310266</v>
      </c>
    </row>
    <row r="451" spans="1:3" x14ac:dyDescent="0.3">
      <c r="A451" s="2" t="s">
        <v>963</v>
      </c>
      <c r="B451" s="3">
        <v>579</v>
      </c>
      <c r="C451" s="3">
        <v>562.01431802066372</v>
      </c>
    </row>
    <row r="452" spans="1:3" x14ac:dyDescent="0.3">
      <c r="A452" s="2" t="s">
        <v>669</v>
      </c>
      <c r="B452" s="3">
        <v>123</v>
      </c>
      <c r="C452" s="3">
        <v>131.57393830598335</v>
      </c>
    </row>
    <row r="453" spans="1:3" x14ac:dyDescent="0.3">
      <c r="A453" s="2" t="s">
        <v>343</v>
      </c>
      <c r="B453" s="3">
        <v>99</v>
      </c>
      <c r="C453" s="3">
        <v>89.881621996846462</v>
      </c>
    </row>
    <row r="454" spans="1:3" x14ac:dyDescent="0.3">
      <c r="A454" s="2" t="s">
        <v>583</v>
      </c>
      <c r="B454" s="3">
        <v>44.989999999999995</v>
      </c>
      <c r="C454" s="3">
        <v>45.792752921498135</v>
      </c>
    </row>
    <row r="455" spans="1:3" x14ac:dyDescent="0.3">
      <c r="A455" s="2" t="s">
        <v>1162</v>
      </c>
      <c r="B455" s="3">
        <v>54.9</v>
      </c>
      <c r="C455" s="3">
        <v>55.077617051275936</v>
      </c>
    </row>
    <row r="456" spans="1:3" x14ac:dyDescent="0.3">
      <c r="A456" s="2" t="s">
        <v>850</v>
      </c>
      <c r="B456" s="3">
        <v>139</v>
      </c>
      <c r="C456" s="3">
        <v>127.19023167776422</v>
      </c>
    </row>
    <row r="457" spans="1:3" x14ac:dyDescent="0.3">
      <c r="A457" s="2" t="s">
        <v>1195</v>
      </c>
      <c r="B457" s="3">
        <v>153.46</v>
      </c>
      <c r="C457" s="3">
        <v>151.97184824818979</v>
      </c>
    </row>
    <row r="458" spans="1:3" x14ac:dyDescent="0.3">
      <c r="A458" s="2" t="s">
        <v>985</v>
      </c>
      <c r="B458" s="3">
        <v>309.89999999999998</v>
      </c>
      <c r="C458" s="3">
        <v>328.44703073758774</v>
      </c>
    </row>
    <row r="459" spans="1:3" x14ac:dyDescent="0.3">
      <c r="A459" s="2" t="s">
        <v>1639</v>
      </c>
      <c r="B459" s="3">
        <v>87</v>
      </c>
      <c r="C459" s="3">
        <v>93.632654350800351</v>
      </c>
    </row>
    <row r="460" spans="1:3" x14ac:dyDescent="0.3">
      <c r="A460" s="2" t="s">
        <v>651</v>
      </c>
      <c r="B460" s="3">
        <v>83.933333333333337</v>
      </c>
      <c r="C460" s="3">
        <v>87.339937016900862</v>
      </c>
    </row>
    <row r="461" spans="1:3" x14ac:dyDescent="0.3">
      <c r="A461" s="2" t="s">
        <v>975</v>
      </c>
      <c r="B461" s="3">
        <v>187.2</v>
      </c>
      <c r="C461" s="3">
        <v>195.28885719827872</v>
      </c>
    </row>
    <row r="462" spans="1:3" x14ac:dyDescent="0.3">
      <c r="A462" s="2" t="s">
        <v>1124</v>
      </c>
      <c r="B462" s="3">
        <v>55.9</v>
      </c>
      <c r="C462" s="3">
        <v>56.323640957289363</v>
      </c>
    </row>
    <row r="463" spans="1:3" x14ac:dyDescent="0.3">
      <c r="A463" s="2" t="s">
        <v>1382</v>
      </c>
      <c r="B463" s="3">
        <v>186.5</v>
      </c>
      <c r="C463" s="3">
        <v>177.78911614369275</v>
      </c>
    </row>
    <row r="464" spans="1:3" x14ac:dyDescent="0.3">
      <c r="A464" s="2" t="s">
        <v>510</v>
      </c>
      <c r="B464" s="3">
        <v>362.45</v>
      </c>
      <c r="C464" s="3">
        <v>371.58742606587771</v>
      </c>
    </row>
    <row r="465" spans="1:3" x14ac:dyDescent="0.3">
      <c r="A465" s="2" t="s">
        <v>683</v>
      </c>
      <c r="B465" s="3">
        <v>62</v>
      </c>
      <c r="C465" s="3">
        <v>57.625949308904168</v>
      </c>
    </row>
    <row r="466" spans="1:3" x14ac:dyDescent="0.3">
      <c r="A466" s="2" t="s">
        <v>1015</v>
      </c>
      <c r="B466" s="3">
        <v>130.4</v>
      </c>
      <c r="C466" s="3">
        <v>142.56418343569732</v>
      </c>
    </row>
    <row r="467" spans="1:3" x14ac:dyDescent="0.3">
      <c r="A467" s="2" t="s">
        <v>1611</v>
      </c>
      <c r="B467" s="3">
        <v>153</v>
      </c>
      <c r="C467" s="3">
        <v>139.16874161934521</v>
      </c>
    </row>
    <row r="468" spans="1:3" x14ac:dyDescent="0.3">
      <c r="A468" s="2" t="s">
        <v>1783</v>
      </c>
      <c r="B468" s="3">
        <v>48.9</v>
      </c>
      <c r="C468" s="3">
        <v>46.672147550242165</v>
      </c>
    </row>
    <row r="469" spans="1:3" x14ac:dyDescent="0.3">
      <c r="A469" s="2" t="s">
        <v>917</v>
      </c>
      <c r="B469" s="3">
        <v>139.9</v>
      </c>
      <c r="C469" s="3">
        <v>130.59864314895736</v>
      </c>
    </row>
    <row r="470" spans="1:3" x14ac:dyDescent="0.3">
      <c r="A470" s="2" t="s">
        <v>996</v>
      </c>
      <c r="B470" s="3">
        <v>59</v>
      </c>
      <c r="C470" s="3">
        <v>59.499145090715182</v>
      </c>
    </row>
    <row r="471" spans="1:3" x14ac:dyDescent="0.3">
      <c r="A471" s="2" t="s">
        <v>528</v>
      </c>
      <c r="B471" s="3">
        <v>124.995</v>
      </c>
      <c r="C471" s="3">
        <v>125.26706314362968</v>
      </c>
    </row>
    <row r="472" spans="1:3" x14ac:dyDescent="0.3">
      <c r="A472" s="2" t="s">
        <v>1604</v>
      </c>
      <c r="B472" s="3">
        <v>139</v>
      </c>
      <c r="C472" s="3">
        <v>143.69355514175038</v>
      </c>
    </row>
    <row r="473" spans="1:3" x14ac:dyDescent="0.3">
      <c r="A473" s="2" t="s">
        <v>1469</v>
      </c>
      <c r="B473" s="3">
        <v>126.79</v>
      </c>
      <c r="C473" s="3">
        <v>121.86096553764372</v>
      </c>
    </row>
    <row r="474" spans="1:3" x14ac:dyDescent="0.3">
      <c r="A474" s="2" t="s">
        <v>284</v>
      </c>
      <c r="B474" s="3">
        <v>229.99</v>
      </c>
      <c r="C474" s="3">
        <v>218.95906871408181</v>
      </c>
    </row>
    <row r="475" spans="1:3" x14ac:dyDescent="0.3">
      <c r="A475" s="2" t="s">
        <v>1222</v>
      </c>
      <c r="B475" s="3">
        <v>40.75</v>
      </c>
      <c r="C475" s="3">
        <v>42.09831107427722</v>
      </c>
    </row>
    <row r="476" spans="1:3" x14ac:dyDescent="0.3">
      <c r="A476" s="2" t="s">
        <v>1018</v>
      </c>
      <c r="B476" s="3">
        <v>44.6</v>
      </c>
      <c r="C476" s="3">
        <v>49.040156082852299</v>
      </c>
    </row>
    <row r="477" spans="1:3" x14ac:dyDescent="0.3">
      <c r="A477" s="2" t="s">
        <v>1837</v>
      </c>
      <c r="B477" s="3">
        <v>189</v>
      </c>
      <c r="C477" s="3">
        <v>182.38145026806021</v>
      </c>
    </row>
    <row r="478" spans="1:3" x14ac:dyDescent="0.3">
      <c r="A478" s="2" t="s">
        <v>624</v>
      </c>
      <c r="B478" s="3">
        <v>125.45</v>
      </c>
      <c r="C478" s="3">
        <v>127.95895429136147</v>
      </c>
    </row>
    <row r="479" spans="1:3" x14ac:dyDescent="0.3">
      <c r="A479" s="2" t="s">
        <v>134</v>
      </c>
      <c r="B479" s="3">
        <v>149.9</v>
      </c>
      <c r="C479" s="3">
        <v>149.26453773458493</v>
      </c>
    </row>
    <row r="480" spans="1:3" x14ac:dyDescent="0.3">
      <c r="A480" s="2" t="s">
        <v>2121</v>
      </c>
      <c r="B480" s="3">
        <v>379.9</v>
      </c>
      <c r="C480" s="3">
        <v>414.08586903642009</v>
      </c>
    </row>
    <row r="481" spans="1:3" x14ac:dyDescent="0.3">
      <c r="A481" s="2" t="s">
        <v>1690</v>
      </c>
      <c r="B481" s="3">
        <v>55</v>
      </c>
      <c r="C481" s="3">
        <v>53.770271041999202</v>
      </c>
    </row>
    <row r="482" spans="1:3" x14ac:dyDescent="0.3">
      <c r="A482" s="2" t="s">
        <v>694</v>
      </c>
      <c r="B482" s="3">
        <v>33.39</v>
      </c>
      <c r="C482" s="3">
        <v>33.084502443931157</v>
      </c>
    </row>
    <row r="483" spans="1:3" x14ac:dyDescent="0.3">
      <c r="A483" s="2" t="s">
        <v>1399</v>
      </c>
      <c r="B483" s="3">
        <v>104.9</v>
      </c>
      <c r="C483" s="3">
        <v>103.79703603953104</v>
      </c>
    </row>
    <row r="484" spans="1:3" x14ac:dyDescent="0.3">
      <c r="A484" s="2" t="s">
        <v>1030</v>
      </c>
      <c r="B484" s="3">
        <v>359</v>
      </c>
      <c r="C484" s="3">
        <v>333.89461660912804</v>
      </c>
    </row>
    <row r="485" spans="1:3" x14ac:dyDescent="0.3">
      <c r="A485" s="2" t="s">
        <v>101</v>
      </c>
      <c r="B485" s="3">
        <v>115.73333333333333</v>
      </c>
      <c r="C485" s="3">
        <v>114.9679987860909</v>
      </c>
    </row>
    <row r="486" spans="1:3" x14ac:dyDescent="0.3">
      <c r="A486" s="2" t="s">
        <v>665</v>
      </c>
      <c r="B486" s="3">
        <v>305.66666666666669</v>
      </c>
      <c r="C486" s="3">
        <v>295.38510093768235</v>
      </c>
    </row>
    <row r="487" spans="1:3" x14ac:dyDescent="0.3">
      <c r="A487" s="2" t="s">
        <v>551</v>
      </c>
      <c r="B487" s="3">
        <v>271.94333333333333</v>
      </c>
      <c r="C487" s="3">
        <v>272.37930826032135</v>
      </c>
    </row>
    <row r="488" spans="1:3" x14ac:dyDescent="0.3">
      <c r="A488" s="2" t="s">
        <v>1901</v>
      </c>
      <c r="B488" s="3">
        <v>270</v>
      </c>
      <c r="C488" s="3">
        <v>257.92202022055397</v>
      </c>
    </row>
    <row r="489" spans="1:3" x14ac:dyDescent="0.3">
      <c r="A489" s="2" t="s">
        <v>1932</v>
      </c>
      <c r="B489" s="3">
        <v>1680</v>
      </c>
      <c r="C489" s="3">
        <v>1657.3728052507611</v>
      </c>
    </row>
    <row r="490" spans="1:3" x14ac:dyDescent="0.3">
      <c r="A490" s="2" t="s">
        <v>182</v>
      </c>
      <c r="B490" s="3">
        <v>149</v>
      </c>
      <c r="C490" s="3">
        <v>142.68482053492616</v>
      </c>
    </row>
    <row r="491" spans="1:3" x14ac:dyDescent="0.3">
      <c r="A491" s="2" t="s">
        <v>1978</v>
      </c>
      <c r="B491" s="3">
        <v>119.9</v>
      </c>
      <c r="C491" s="3">
        <v>131.77200967069368</v>
      </c>
    </row>
    <row r="492" spans="1:3" x14ac:dyDescent="0.3">
      <c r="A492" s="2" t="s">
        <v>839</v>
      </c>
      <c r="B492" s="3">
        <v>66.990000000000009</v>
      </c>
      <c r="C492" s="3">
        <v>67.200084374044991</v>
      </c>
    </row>
    <row r="493" spans="1:3" x14ac:dyDescent="0.3">
      <c r="A493" s="2" t="s">
        <v>635</v>
      </c>
      <c r="B493" s="3">
        <v>229.99</v>
      </c>
      <c r="C493" s="3">
        <v>225.31093581799928</v>
      </c>
    </row>
    <row r="494" spans="1:3" x14ac:dyDescent="0.3">
      <c r="A494" s="2" t="s">
        <v>1191</v>
      </c>
      <c r="B494" s="3">
        <v>37.43333333333333</v>
      </c>
      <c r="C494" s="3">
        <v>36.822123757886175</v>
      </c>
    </row>
    <row r="495" spans="1:3" x14ac:dyDescent="0.3">
      <c r="A495" s="2" t="s">
        <v>1503</v>
      </c>
      <c r="B495" s="3">
        <v>36.65</v>
      </c>
      <c r="C495" s="3">
        <v>37.139146090045855</v>
      </c>
    </row>
    <row r="496" spans="1:3" x14ac:dyDescent="0.3">
      <c r="A496" s="2" t="s">
        <v>1920</v>
      </c>
      <c r="B496" s="3">
        <v>65.5</v>
      </c>
      <c r="C496" s="3">
        <v>70.750139229682873</v>
      </c>
    </row>
    <row r="497" spans="1:3" x14ac:dyDescent="0.3">
      <c r="A497" s="2" t="s">
        <v>1971</v>
      </c>
      <c r="B497" s="3">
        <v>12.99</v>
      </c>
      <c r="C497" s="3">
        <v>12.848722045045257</v>
      </c>
    </row>
    <row r="498" spans="1:3" x14ac:dyDescent="0.3">
      <c r="A498" s="2" t="s">
        <v>2093</v>
      </c>
      <c r="B498" s="3">
        <v>145</v>
      </c>
      <c r="C498" s="3">
        <v>144.57550810578337</v>
      </c>
    </row>
    <row r="499" spans="1:3" x14ac:dyDescent="0.3">
      <c r="A499" s="2" t="s">
        <v>714</v>
      </c>
      <c r="B499" s="3">
        <v>109.99000000000001</v>
      </c>
      <c r="C499" s="3">
        <v>115.28366849185367</v>
      </c>
    </row>
    <row r="500" spans="1:3" x14ac:dyDescent="0.3">
      <c r="A500" s="2" t="s">
        <v>823</v>
      </c>
      <c r="B500" s="3">
        <v>12.98</v>
      </c>
      <c r="C500" s="3">
        <v>13.189910274340068</v>
      </c>
    </row>
    <row r="501" spans="1:3" x14ac:dyDescent="0.3">
      <c r="A501" s="2" t="s">
        <v>533</v>
      </c>
      <c r="B501" s="3">
        <v>849</v>
      </c>
      <c r="C501" s="3">
        <v>868.71152611633363</v>
      </c>
    </row>
    <row r="502" spans="1:3" x14ac:dyDescent="0.3">
      <c r="A502" s="2" t="s">
        <v>1658</v>
      </c>
      <c r="B502" s="3">
        <v>129.78</v>
      </c>
      <c r="C502" s="3">
        <v>124.98547114009592</v>
      </c>
    </row>
    <row r="503" spans="1:3" x14ac:dyDescent="0.3">
      <c r="A503" s="2" t="s">
        <v>1981</v>
      </c>
      <c r="B503" s="3">
        <v>149.9</v>
      </c>
      <c r="C503" s="3">
        <v>145.0351287766276</v>
      </c>
    </row>
    <row r="504" spans="1:3" x14ac:dyDescent="0.3">
      <c r="A504" s="2" t="s">
        <v>1340</v>
      </c>
      <c r="B504" s="3">
        <v>149.9</v>
      </c>
      <c r="C504" s="3">
        <v>145.45610539728352</v>
      </c>
    </row>
    <row r="505" spans="1:3" x14ac:dyDescent="0.3">
      <c r="A505" s="2" t="s">
        <v>23</v>
      </c>
      <c r="B505" s="3">
        <v>63.2425</v>
      </c>
      <c r="C505" s="3">
        <v>65.284234609446585</v>
      </c>
    </row>
    <row r="506" spans="1:3" x14ac:dyDescent="0.3">
      <c r="A506" s="2" t="s">
        <v>1893</v>
      </c>
      <c r="B506" s="3">
        <v>1428.95</v>
      </c>
      <c r="C506" s="3">
        <v>1400.2474799258514</v>
      </c>
    </row>
    <row r="507" spans="1:3" x14ac:dyDescent="0.3">
      <c r="A507" s="2" t="s">
        <v>1344</v>
      </c>
      <c r="B507" s="3">
        <v>161.9</v>
      </c>
      <c r="C507" s="3">
        <v>167.22526240444355</v>
      </c>
    </row>
    <row r="508" spans="1:3" x14ac:dyDescent="0.3">
      <c r="A508" s="2" t="s">
        <v>1827</v>
      </c>
      <c r="B508" s="3">
        <v>70</v>
      </c>
      <c r="C508" s="3">
        <v>76.814664618471795</v>
      </c>
    </row>
    <row r="509" spans="1:3" x14ac:dyDescent="0.3">
      <c r="A509" s="2" t="s">
        <v>1606</v>
      </c>
      <c r="B509" s="3">
        <v>399.99</v>
      </c>
      <c r="C509" s="3">
        <v>391.84163884585138</v>
      </c>
    </row>
    <row r="510" spans="1:3" x14ac:dyDescent="0.3">
      <c r="A510" s="2" t="s">
        <v>1137</v>
      </c>
      <c r="B510" s="3">
        <v>29.9</v>
      </c>
      <c r="C510" s="3">
        <v>31.19907308013574</v>
      </c>
    </row>
    <row r="511" spans="1:3" x14ac:dyDescent="0.3">
      <c r="A511" s="2" t="s">
        <v>468</v>
      </c>
      <c r="B511" s="3">
        <v>130</v>
      </c>
      <c r="C511" s="3">
        <v>127.87436101579011</v>
      </c>
    </row>
    <row r="512" spans="1:3" x14ac:dyDescent="0.3">
      <c r="A512" s="2" t="s">
        <v>332</v>
      </c>
      <c r="B512" s="3">
        <v>89.9</v>
      </c>
      <c r="C512" s="3">
        <v>85.054566585691745</v>
      </c>
    </row>
    <row r="513" spans="1:3" x14ac:dyDescent="0.3">
      <c r="A513" s="2" t="s">
        <v>1457</v>
      </c>
      <c r="B513" s="3">
        <v>99.9</v>
      </c>
      <c r="C513" s="3">
        <v>95.768316948391515</v>
      </c>
    </row>
    <row r="514" spans="1:3" x14ac:dyDescent="0.3">
      <c r="A514" s="2" t="s">
        <v>743</v>
      </c>
      <c r="B514" s="3">
        <v>61.2</v>
      </c>
      <c r="C514" s="3">
        <v>58.592103841351097</v>
      </c>
    </row>
    <row r="515" spans="1:3" x14ac:dyDescent="0.3">
      <c r="A515" s="2" t="s">
        <v>434</v>
      </c>
      <c r="B515" s="3">
        <v>27.9</v>
      </c>
      <c r="C515" s="3">
        <v>27.755373770624203</v>
      </c>
    </row>
    <row r="516" spans="1:3" x14ac:dyDescent="0.3">
      <c r="A516" s="2" t="s">
        <v>464</v>
      </c>
      <c r="B516" s="3">
        <v>55.05</v>
      </c>
      <c r="C516" s="3">
        <v>52.354086456388274</v>
      </c>
    </row>
    <row r="517" spans="1:3" x14ac:dyDescent="0.3">
      <c r="A517" s="2" t="s">
        <v>55</v>
      </c>
      <c r="B517" s="3">
        <v>289</v>
      </c>
      <c r="C517" s="3">
        <v>264.56354363455051</v>
      </c>
    </row>
    <row r="518" spans="1:3" x14ac:dyDescent="0.3">
      <c r="A518" s="2" t="s">
        <v>376</v>
      </c>
      <c r="B518" s="3">
        <v>120.56666666666666</v>
      </c>
      <c r="C518" s="3">
        <v>120.10849393165262</v>
      </c>
    </row>
    <row r="519" spans="1:3" x14ac:dyDescent="0.3">
      <c r="A519" s="2" t="s">
        <v>603</v>
      </c>
      <c r="B519" s="3">
        <v>149</v>
      </c>
      <c r="C519" s="3">
        <v>144.36840473927541</v>
      </c>
    </row>
    <row r="520" spans="1:3" x14ac:dyDescent="0.3">
      <c r="A520" s="2" t="s">
        <v>1178</v>
      </c>
      <c r="B520" s="3">
        <v>125</v>
      </c>
      <c r="C520" s="3">
        <v>126.65391464472869</v>
      </c>
    </row>
    <row r="521" spans="1:3" x14ac:dyDescent="0.3">
      <c r="A521" s="2" t="s">
        <v>2142</v>
      </c>
      <c r="B521" s="3">
        <v>89.9</v>
      </c>
      <c r="C521" s="3">
        <v>95.551957910687889</v>
      </c>
    </row>
    <row r="522" spans="1:3" x14ac:dyDescent="0.3">
      <c r="A522" s="2" t="s">
        <v>876</v>
      </c>
      <c r="B522" s="3">
        <v>35</v>
      </c>
      <c r="C522" s="3">
        <v>35.135003537375084</v>
      </c>
    </row>
    <row r="523" spans="1:3" x14ac:dyDescent="0.3">
      <c r="A523" s="2" t="s">
        <v>549</v>
      </c>
      <c r="B523" s="3">
        <v>106.19000000000001</v>
      </c>
      <c r="C523" s="3">
        <v>108.96752779483344</v>
      </c>
    </row>
    <row r="524" spans="1:3" x14ac:dyDescent="0.3">
      <c r="A524" s="2" t="s">
        <v>309</v>
      </c>
      <c r="B524" s="3">
        <v>124.6</v>
      </c>
      <c r="C524" s="3">
        <v>123.15677671566793</v>
      </c>
    </row>
    <row r="525" spans="1:3" x14ac:dyDescent="0.3">
      <c r="A525" s="2" t="s">
        <v>1804</v>
      </c>
      <c r="B525" s="3">
        <v>90</v>
      </c>
      <c r="C525" s="3">
        <v>85.489904203342988</v>
      </c>
    </row>
    <row r="526" spans="1:3" x14ac:dyDescent="0.3">
      <c r="A526" s="2" t="s">
        <v>103</v>
      </c>
      <c r="B526" s="3">
        <v>174.92571428571429</v>
      </c>
      <c r="C526" s="3">
        <v>178.95076988861402</v>
      </c>
    </row>
    <row r="527" spans="1:3" x14ac:dyDescent="0.3">
      <c r="A527" s="2" t="s">
        <v>1948</v>
      </c>
      <c r="B527" s="3">
        <v>364.98</v>
      </c>
      <c r="C527" s="3">
        <v>395.35476929781203</v>
      </c>
    </row>
    <row r="528" spans="1:3" x14ac:dyDescent="0.3">
      <c r="A528" s="2" t="s">
        <v>2202</v>
      </c>
      <c r="B528" s="3">
        <v>63.99</v>
      </c>
      <c r="C528" s="3">
        <v>60.936596780330653</v>
      </c>
    </row>
    <row r="529" spans="1:3" x14ac:dyDescent="0.3">
      <c r="A529" s="2" t="s">
        <v>458</v>
      </c>
      <c r="B529" s="3">
        <v>50</v>
      </c>
      <c r="C529" s="3">
        <v>50.722813618802022</v>
      </c>
    </row>
    <row r="530" spans="1:3" x14ac:dyDescent="0.3">
      <c r="A530" s="2" t="s">
        <v>179</v>
      </c>
      <c r="B530" s="3">
        <v>69</v>
      </c>
      <c r="C530" s="3">
        <v>72.623503015971238</v>
      </c>
    </row>
    <row r="531" spans="1:3" x14ac:dyDescent="0.3">
      <c r="A531" s="2" t="s">
        <v>1988</v>
      </c>
      <c r="B531" s="3">
        <v>46.9</v>
      </c>
      <c r="C531" s="3">
        <v>50.88897536165161</v>
      </c>
    </row>
    <row r="532" spans="1:3" x14ac:dyDescent="0.3">
      <c r="A532" s="2" t="s">
        <v>825</v>
      </c>
      <c r="B532" s="3">
        <v>125.90000000000002</v>
      </c>
      <c r="C532" s="3">
        <v>122.68533064715042</v>
      </c>
    </row>
    <row r="533" spans="1:3" x14ac:dyDescent="0.3">
      <c r="A533" s="2" t="s">
        <v>223</v>
      </c>
      <c r="B533" s="3">
        <v>110.31999999999998</v>
      </c>
      <c r="C533" s="3">
        <v>112.4395386408454</v>
      </c>
    </row>
    <row r="534" spans="1:3" x14ac:dyDescent="0.3">
      <c r="A534" s="2" t="s">
        <v>1613</v>
      </c>
      <c r="B534" s="3">
        <v>57.9</v>
      </c>
      <c r="C534" s="3">
        <v>54.419363298029225</v>
      </c>
    </row>
    <row r="535" spans="1:3" x14ac:dyDescent="0.3">
      <c r="A535" s="2" t="s">
        <v>233</v>
      </c>
      <c r="B535" s="3">
        <v>127.90625</v>
      </c>
      <c r="C535" s="3">
        <v>124.20291100222872</v>
      </c>
    </row>
    <row r="536" spans="1:3" x14ac:dyDescent="0.3">
      <c r="A536" s="2" t="s">
        <v>53</v>
      </c>
      <c r="B536" s="3">
        <v>219.9</v>
      </c>
      <c r="C536" s="3">
        <v>235.86169285959397</v>
      </c>
    </row>
    <row r="537" spans="1:3" x14ac:dyDescent="0.3">
      <c r="A537" s="2" t="s">
        <v>1389</v>
      </c>
      <c r="B537" s="3">
        <v>103.32333333333334</v>
      </c>
      <c r="C537" s="3">
        <v>94.712993302467694</v>
      </c>
    </row>
    <row r="538" spans="1:3" x14ac:dyDescent="0.3">
      <c r="A538" s="2" t="s">
        <v>646</v>
      </c>
      <c r="B538" s="3">
        <v>71.660000000000011</v>
      </c>
      <c r="C538" s="3">
        <v>66.127113399097695</v>
      </c>
    </row>
    <row r="539" spans="1:3" x14ac:dyDescent="0.3">
      <c r="A539" s="2" t="s">
        <v>618</v>
      </c>
      <c r="B539" s="3">
        <v>18.25</v>
      </c>
      <c r="C539" s="3">
        <v>19.713534854695769</v>
      </c>
    </row>
    <row r="540" spans="1:3" x14ac:dyDescent="0.3">
      <c r="A540" s="2" t="s">
        <v>290</v>
      </c>
      <c r="B540" s="3">
        <v>50.614285714285707</v>
      </c>
      <c r="C540" s="3">
        <v>53.486693080255968</v>
      </c>
    </row>
    <row r="541" spans="1:3" x14ac:dyDescent="0.3">
      <c r="A541" s="2" t="s">
        <v>1973</v>
      </c>
      <c r="B541" s="3">
        <v>29.99</v>
      </c>
      <c r="C541" s="3">
        <v>29.90899624858957</v>
      </c>
    </row>
    <row r="542" spans="1:3" x14ac:dyDescent="0.3">
      <c r="A542" s="2" t="s">
        <v>1000</v>
      </c>
      <c r="B542" s="3">
        <v>79.900000000000006</v>
      </c>
      <c r="C542" s="3">
        <v>76.319625090138828</v>
      </c>
    </row>
    <row r="543" spans="1:3" x14ac:dyDescent="0.3">
      <c r="A543" s="2" t="s">
        <v>1379</v>
      </c>
      <c r="B543" s="3">
        <v>58.9</v>
      </c>
      <c r="C543" s="3">
        <v>61.647663751501319</v>
      </c>
    </row>
    <row r="544" spans="1:3" x14ac:dyDescent="0.3">
      <c r="A544" s="2" t="s">
        <v>2046</v>
      </c>
      <c r="B544" s="3">
        <v>519</v>
      </c>
      <c r="C544" s="3">
        <v>556.55981737516299</v>
      </c>
    </row>
    <row r="545" spans="1:3" x14ac:dyDescent="0.3">
      <c r="A545" s="2" t="s">
        <v>25</v>
      </c>
      <c r="B545" s="3">
        <v>63.323636363636375</v>
      </c>
      <c r="C545" s="3">
        <v>63.286010291243009</v>
      </c>
    </row>
    <row r="546" spans="1:3" x14ac:dyDescent="0.3">
      <c r="A546" s="2" t="s">
        <v>313</v>
      </c>
      <c r="B546" s="3">
        <v>91.788750000000022</v>
      </c>
      <c r="C546" s="3">
        <v>88.509405377633911</v>
      </c>
    </row>
    <row r="547" spans="1:3" x14ac:dyDescent="0.3">
      <c r="A547" s="2" t="s">
        <v>547</v>
      </c>
      <c r="B547" s="3">
        <v>349.9</v>
      </c>
      <c r="C547" s="3">
        <v>351.96441014766378</v>
      </c>
    </row>
    <row r="548" spans="1:3" x14ac:dyDescent="0.3">
      <c r="A548" s="2" t="s">
        <v>1905</v>
      </c>
      <c r="B548" s="3">
        <v>34.9</v>
      </c>
      <c r="C548" s="3">
        <v>34.046908809994406</v>
      </c>
    </row>
    <row r="549" spans="1:3" x14ac:dyDescent="0.3">
      <c r="A549" s="2" t="s">
        <v>874</v>
      </c>
      <c r="B549" s="3">
        <v>101</v>
      </c>
      <c r="C549" s="3">
        <v>103.48038534093806</v>
      </c>
    </row>
    <row r="550" spans="1:3" x14ac:dyDescent="0.3">
      <c r="A550" s="2" t="s">
        <v>1375</v>
      </c>
      <c r="B550" s="3">
        <v>89</v>
      </c>
      <c r="C550" s="3">
        <v>82.683361838242291</v>
      </c>
    </row>
    <row r="551" spans="1:3" x14ac:dyDescent="0.3">
      <c r="A551" s="2" t="s">
        <v>1810</v>
      </c>
      <c r="B551" s="3">
        <v>229.9</v>
      </c>
      <c r="C551" s="3">
        <v>235.5303956034542</v>
      </c>
    </row>
    <row r="552" spans="1:3" x14ac:dyDescent="0.3">
      <c r="A552" s="2" t="s">
        <v>1013</v>
      </c>
      <c r="B552" s="3">
        <v>629.9</v>
      </c>
      <c r="C552" s="3">
        <v>597.93940555582481</v>
      </c>
    </row>
    <row r="553" spans="1:3" x14ac:dyDescent="0.3">
      <c r="A553" s="2" t="s">
        <v>1444</v>
      </c>
      <c r="B553" s="3">
        <v>158</v>
      </c>
      <c r="C553" s="3">
        <v>152.57542605170889</v>
      </c>
    </row>
    <row r="554" spans="1:3" x14ac:dyDescent="0.3">
      <c r="A554" s="2" t="s">
        <v>638</v>
      </c>
      <c r="B554" s="3">
        <v>156</v>
      </c>
      <c r="C554" s="3">
        <v>169.64685317347269</v>
      </c>
    </row>
    <row r="555" spans="1:3" x14ac:dyDescent="0.3">
      <c r="A555" s="2" t="s">
        <v>292</v>
      </c>
      <c r="B555" s="3">
        <v>14</v>
      </c>
      <c r="C555" s="3">
        <v>12.686568710287153</v>
      </c>
    </row>
    <row r="556" spans="1:3" x14ac:dyDescent="0.3">
      <c r="A556" s="2" t="s">
        <v>428</v>
      </c>
      <c r="B556" s="3">
        <v>394.495</v>
      </c>
      <c r="C556" s="3">
        <v>375.90253754914556</v>
      </c>
    </row>
    <row r="557" spans="1:3" x14ac:dyDescent="0.3">
      <c r="A557" s="2" t="s">
        <v>163</v>
      </c>
      <c r="B557" s="3">
        <v>63.233333333333327</v>
      </c>
      <c r="C557" s="3">
        <v>61.481948446948728</v>
      </c>
    </row>
    <row r="558" spans="1:3" x14ac:dyDescent="0.3">
      <c r="A558" s="2" t="s">
        <v>1862</v>
      </c>
      <c r="B558" s="3">
        <v>99</v>
      </c>
      <c r="C558" s="3">
        <v>90.061424052015667</v>
      </c>
    </row>
    <row r="559" spans="1:3" x14ac:dyDescent="0.3">
      <c r="A559" s="2" t="s">
        <v>2225</v>
      </c>
      <c r="B559" s="3">
        <v>81.400000000000006</v>
      </c>
      <c r="C559" s="3">
        <v>84.729244778083142</v>
      </c>
    </row>
    <row r="560" spans="1:3" x14ac:dyDescent="0.3">
      <c r="A560" s="2" t="s">
        <v>845</v>
      </c>
      <c r="B560" s="3">
        <v>139.66666666666666</v>
      </c>
      <c r="C560" s="3">
        <v>152.72062366535502</v>
      </c>
    </row>
    <row r="561" spans="1:3" x14ac:dyDescent="0.3">
      <c r="A561" s="2" t="s">
        <v>1567</v>
      </c>
      <c r="B561" s="3">
        <v>109.9</v>
      </c>
      <c r="C561" s="3">
        <v>107.31865062621351</v>
      </c>
    </row>
    <row r="562" spans="1:3" x14ac:dyDescent="0.3">
      <c r="A562" s="2" t="s">
        <v>1006</v>
      </c>
      <c r="B562" s="3">
        <v>110</v>
      </c>
      <c r="C562" s="3">
        <v>112.01223868318577</v>
      </c>
    </row>
    <row r="563" spans="1:3" x14ac:dyDescent="0.3">
      <c r="A563" s="2" t="s">
        <v>1448</v>
      </c>
      <c r="B563" s="3">
        <v>52.39</v>
      </c>
      <c r="C563" s="3">
        <v>52.160100798739116</v>
      </c>
    </row>
    <row r="564" spans="1:3" x14ac:dyDescent="0.3">
      <c r="A564" s="2" t="s">
        <v>1735</v>
      </c>
      <c r="B564" s="3">
        <v>89.99</v>
      </c>
      <c r="C564" s="3">
        <v>98.447578775160494</v>
      </c>
    </row>
    <row r="565" spans="1:3" x14ac:dyDescent="0.3">
      <c r="A565" s="2" t="s">
        <v>691</v>
      </c>
      <c r="B565" s="3">
        <v>105.74000000000001</v>
      </c>
      <c r="C565" s="3">
        <v>100.97194266891121</v>
      </c>
    </row>
    <row r="566" spans="1:3" x14ac:dyDescent="0.3">
      <c r="A566" s="2" t="s">
        <v>1903</v>
      </c>
      <c r="B566" s="3">
        <v>10.99</v>
      </c>
      <c r="C566" s="3">
        <v>10.067143071261558</v>
      </c>
    </row>
    <row r="567" spans="1:3" x14ac:dyDescent="0.3">
      <c r="A567" s="2" t="s">
        <v>1519</v>
      </c>
      <c r="B567" s="3">
        <v>964.95</v>
      </c>
      <c r="C567" s="3">
        <v>935.47435929205039</v>
      </c>
    </row>
    <row r="568" spans="1:3" x14ac:dyDescent="0.3">
      <c r="A568" s="2" t="s">
        <v>1033</v>
      </c>
      <c r="B568" s="3">
        <v>40.990909090909085</v>
      </c>
      <c r="C568" s="3">
        <v>41.496262316687535</v>
      </c>
    </row>
    <row r="569" spans="1:3" x14ac:dyDescent="0.3">
      <c r="A569" s="2" t="s">
        <v>1140</v>
      </c>
      <c r="B569" s="3">
        <v>113.89</v>
      </c>
      <c r="C569" s="3">
        <v>116.9203845472708</v>
      </c>
    </row>
    <row r="570" spans="1:3" x14ac:dyDescent="0.3">
      <c r="A570" s="2" t="s">
        <v>1647</v>
      </c>
      <c r="B570" s="3">
        <v>98</v>
      </c>
      <c r="C570" s="3">
        <v>93.617199468155647</v>
      </c>
    </row>
    <row r="571" spans="1:3" x14ac:dyDescent="0.3">
      <c r="A571" s="2" t="s">
        <v>129</v>
      </c>
      <c r="B571" s="3">
        <v>94.9</v>
      </c>
      <c r="C571" s="3">
        <v>98.377852547857671</v>
      </c>
    </row>
    <row r="572" spans="1:3" x14ac:dyDescent="0.3">
      <c r="A572" s="2" t="s">
        <v>1352</v>
      </c>
      <c r="B572" s="3">
        <v>49.8</v>
      </c>
      <c r="C572" s="3">
        <v>53.378335880825233</v>
      </c>
    </row>
    <row r="573" spans="1:3" x14ac:dyDescent="0.3">
      <c r="A573" s="2" t="s">
        <v>2024</v>
      </c>
      <c r="B573" s="3">
        <v>19.899999999999999</v>
      </c>
      <c r="C573" s="3">
        <v>21.492948359377756</v>
      </c>
    </row>
    <row r="574" spans="1:3" x14ac:dyDescent="0.3">
      <c r="A574" s="2" t="s">
        <v>452</v>
      </c>
      <c r="B574" s="3">
        <v>33.99</v>
      </c>
      <c r="C574" s="3">
        <v>36.651044566162092</v>
      </c>
    </row>
    <row r="575" spans="1:3" x14ac:dyDescent="0.3">
      <c r="A575" s="2" t="s">
        <v>1823</v>
      </c>
      <c r="B575" s="3">
        <v>36.9</v>
      </c>
      <c r="C575" s="3">
        <v>36.204026612730345</v>
      </c>
    </row>
    <row r="576" spans="1:3" x14ac:dyDescent="0.3">
      <c r="A576" s="2" t="s">
        <v>1584</v>
      </c>
      <c r="B576" s="3">
        <v>37.9</v>
      </c>
      <c r="C576" s="3">
        <v>37.942116974966169</v>
      </c>
    </row>
    <row r="577" spans="1:3" x14ac:dyDescent="0.3">
      <c r="A577" s="2" t="s">
        <v>1151</v>
      </c>
      <c r="B577" s="3">
        <v>105</v>
      </c>
      <c r="C577" s="3">
        <v>94.599862586089372</v>
      </c>
    </row>
    <row r="578" spans="1:3" x14ac:dyDescent="0.3">
      <c r="A578" s="2" t="s">
        <v>1703</v>
      </c>
      <c r="B578" s="3">
        <v>129.9</v>
      </c>
      <c r="C578" s="3">
        <v>141.8858382312518</v>
      </c>
    </row>
    <row r="579" spans="1:3" x14ac:dyDescent="0.3">
      <c r="A579" s="2" t="s">
        <v>749</v>
      </c>
      <c r="B579" s="3">
        <v>75.489999999999995</v>
      </c>
      <c r="C579" s="3">
        <v>70.848251055049857</v>
      </c>
    </row>
    <row r="580" spans="1:3" x14ac:dyDescent="0.3">
      <c r="A580" s="2" t="s">
        <v>1218</v>
      </c>
      <c r="B580" s="3">
        <v>989</v>
      </c>
      <c r="C580" s="3">
        <v>940.59250965329102</v>
      </c>
    </row>
    <row r="581" spans="1:3" x14ac:dyDescent="0.3">
      <c r="A581" s="2" t="s">
        <v>267</v>
      </c>
      <c r="B581" s="3">
        <v>62.871428571428574</v>
      </c>
      <c r="C581" s="3">
        <v>61.39581008460187</v>
      </c>
    </row>
    <row r="582" spans="1:3" x14ac:dyDescent="0.3">
      <c r="A582" s="2" t="s">
        <v>481</v>
      </c>
      <c r="B582" s="3">
        <v>125.9</v>
      </c>
      <c r="C582" s="3">
        <v>119.81601726514654</v>
      </c>
    </row>
    <row r="583" spans="1:3" x14ac:dyDescent="0.3">
      <c r="A583" s="2" t="s">
        <v>2194</v>
      </c>
      <c r="B583" s="3">
        <v>149</v>
      </c>
      <c r="C583" s="3">
        <v>136.08963149554543</v>
      </c>
    </row>
    <row r="584" spans="1:3" x14ac:dyDescent="0.3">
      <c r="A584" s="2" t="s">
        <v>254</v>
      </c>
      <c r="B584" s="3">
        <v>32.49</v>
      </c>
      <c r="C584" s="3">
        <v>32.585441489445401</v>
      </c>
    </row>
    <row r="585" spans="1:3" x14ac:dyDescent="0.3">
      <c r="A585" s="2" t="s">
        <v>880</v>
      </c>
      <c r="B585" s="3">
        <v>49.8</v>
      </c>
      <c r="C585" s="3">
        <v>51.351196138075423</v>
      </c>
    </row>
    <row r="586" spans="1:3" x14ac:dyDescent="0.3">
      <c r="A586" s="2" t="s">
        <v>747</v>
      </c>
      <c r="B586" s="3">
        <v>112.93030303030308</v>
      </c>
      <c r="C586" s="3">
        <v>112.75354582886769</v>
      </c>
    </row>
    <row r="587" spans="1:3" x14ac:dyDescent="0.3">
      <c r="A587" s="2" t="s">
        <v>661</v>
      </c>
      <c r="B587" s="3">
        <v>32.15</v>
      </c>
      <c r="C587" s="3">
        <v>31.476705387829888</v>
      </c>
    </row>
    <row r="588" spans="1:3" x14ac:dyDescent="0.3">
      <c r="A588" s="2" t="s">
        <v>776</v>
      </c>
      <c r="B588" s="3">
        <v>159</v>
      </c>
      <c r="C588" s="3">
        <v>163.42861939751032</v>
      </c>
    </row>
    <row r="589" spans="1:3" x14ac:dyDescent="0.3">
      <c r="A589" s="2" t="s">
        <v>736</v>
      </c>
      <c r="B589" s="3">
        <v>32.296666666666667</v>
      </c>
      <c r="C589" s="3">
        <v>30.203487575735561</v>
      </c>
    </row>
    <row r="590" spans="1:3" x14ac:dyDescent="0.3">
      <c r="A590" s="2" t="s">
        <v>1655</v>
      </c>
      <c r="B590" s="3">
        <v>39.9</v>
      </c>
      <c r="C590" s="3">
        <v>42.750042797044244</v>
      </c>
    </row>
    <row r="591" spans="1:3" x14ac:dyDescent="0.3">
      <c r="A591" s="2" t="s">
        <v>157</v>
      </c>
      <c r="B591" s="3">
        <v>92.61666666666666</v>
      </c>
      <c r="C591" s="3">
        <v>90.620645573060628</v>
      </c>
    </row>
    <row r="592" spans="1:3" x14ac:dyDescent="0.3">
      <c r="A592" s="2" t="s">
        <v>799</v>
      </c>
      <c r="B592" s="3">
        <v>46.75</v>
      </c>
      <c r="C592" s="3">
        <v>49.423306241655823</v>
      </c>
    </row>
    <row r="593" spans="1:3" x14ac:dyDescent="0.3">
      <c r="A593" s="2" t="s">
        <v>925</v>
      </c>
      <c r="B593" s="3">
        <v>195</v>
      </c>
      <c r="C593" s="3">
        <v>207.33533804261216</v>
      </c>
    </row>
    <row r="594" spans="1:3" x14ac:dyDescent="0.3">
      <c r="A594" s="2" t="s">
        <v>1866</v>
      </c>
      <c r="B594" s="3">
        <v>69.900000000000006</v>
      </c>
      <c r="C594" s="3">
        <v>63.047523444242103</v>
      </c>
    </row>
    <row r="595" spans="1:3" x14ac:dyDescent="0.3">
      <c r="A595" s="2" t="s">
        <v>2095</v>
      </c>
      <c r="B595" s="3">
        <v>304.89999999999998</v>
      </c>
      <c r="C595" s="3">
        <v>302.21183894870614</v>
      </c>
    </row>
    <row r="596" spans="1:3" x14ac:dyDescent="0.3">
      <c r="A596" s="2" t="s">
        <v>7</v>
      </c>
      <c r="B596" s="3">
        <v>108.23333333333333</v>
      </c>
      <c r="C596" s="3">
        <v>114.04147302272025</v>
      </c>
    </row>
    <row r="597" spans="1:3" x14ac:dyDescent="0.3">
      <c r="A597" s="2" t="s">
        <v>304</v>
      </c>
      <c r="B597" s="3">
        <v>148.13</v>
      </c>
      <c r="C597" s="3">
        <v>148.1563952232525</v>
      </c>
    </row>
    <row r="598" spans="1:3" x14ac:dyDescent="0.3">
      <c r="A598" s="2" t="s">
        <v>1281</v>
      </c>
      <c r="B598" s="3">
        <v>113.23333333333335</v>
      </c>
      <c r="C598" s="3">
        <v>118.97084583746795</v>
      </c>
    </row>
    <row r="599" spans="1:3" x14ac:dyDescent="0.3">
      <c r="A599" s="2" t="s">
        <v>1439</v>
      </c>
      <c r="B599" s="3">
        <v>67.566666666666677</v>
      </c>
      <c r="C599" s="3">
        <v>70.934079044911371</v>
      </c>
    </row>
    <row r="600" spans="1:3" x14ac:dyDescent="0.3">
      <c r="A600" s="2" t="s">
        <v>13</v>
      </c>
      <c r="B600" s="3">
        <v>199.9</v>
      </c>
      <c r="C600" s="3">
        <v>216.16575778075511</v>
      </c>
    </row>
    <row r="601" spans="1:3" x14ac:dyDescent="0.3">
      <c r="A601" s="2" t="s">
        <v>1958</v>
      </c>
      <c r="B601" s="3">
        <v>37.9</v>
      </c>
      <c r="C601" s="3">
        <v>40.392925255450322</v>
      </c>
    </row>
    <row r="602" spans="1:3" x14ac:dyDescent="0.3">
      <c r="A602" s="2" t="s">
        <v>663</v>
      </c>
      <c r="B602" s="3">
        <v>249</v>
      </c>
      <c r="C602" s="3">
        <v>228.95366640357253</v>
      </c>
    </row>
    <row r="603" spans="1:3" x14ac:dyDescent="0.3">
      <c r="A603" s="2" t="s">
        <v>1194</v>
      </c>
      <c r="B603" s="3">
        <v>109.90000000000002</v>
      </c>
      <c r="C603" s="3">
        <v>101.17942053136032</v>
      </c>
    </row>
    <row r="604" spans="1:3" x14ac:dyDescent="0.3">
      <c r="A604" s="2" t="s">
        <v>1562</v>
      </c>
      <c r="B604" s="3">
        <v>79.900000000000006</v>
      </c>
      <c r="C604" s="3">
        <v>83.957312337228799</v>
      </c>
    </row>
    <row r="605" spans="1:3" x14ac:dyDescent="0.3">
      <c r="A605" s="2" t="s">
        <v>760</v>
      </c>
      <c r="B605" s="3">
        <v>28.8</v>
      </c>
      <c r="C605" s="3">
        <v>30.906744195490631</v>
      </c>
    </row>
    <row r="606" spans="1:3" x14ac:dyDescent="0.3">
      <c r="A606" s="2" t="s">
        <v>685</v>
      </c>
      <c r="B606" s="3">
        <v>102</v>
      </c>
      <c r="C606" s="3">
        <v>109.96929094453525</v>
      </c>
    </row>
    <row r="607" spans="1:3" x14ac:dyDescent="0.3">
      <c r="A607" s="2" t="s">
        <v>1844</v>
      </c>
      <c r="B607" s="3">
        <v>54.650000000000006</v>
      </c>
      <c r="C607" s="3">
        <v>56.226850416950015</v>
      </c>
    </row>
    <row r="608" spans="1:3" x14ac:dyDescent="0.3">
      <c r="A608" s="2" t="s">
        <v>1459</v>
      </c>
      <c r="B608" s="3">
        <v>189.9</v>
      </c>
      <c r="C608" s="3">
        <v>181.861644096156</v>
      </c>
    </row>
    <row r="609" spans="1:3" x14ac:dyDescent="0.3">
      <c r="A609" s="2" t="s">
        <v>2218</v>
      </c>
      <c r="B609" s="3">
        <v>137</v>
      </c>
      <c r="C609" s="3">
        <v>134.88758295954611</v>
      </c>
    </row>
    <row r="610" spans="1:3" x14ac:dyDescent="0.3">
      <c r="A610" s="2" t="s">
        <v>155</v>
      </c>
      <c r="B610" s="3">
        <v>98</v>
      </c>
      <c r="C610" s="3">
        <v>100.49182297726971</v>
      </c>
    </row>
    <row r="611" spans="1:3" x14ac:dyDescent="0.3">
      <c r="A611" s="2" t="s">
        <v>319</v>
      </c>
      <c r="B611" s="3">
        <v>64.900000000000006</v>
      </c>
      <c r="C611" s="3">
        <v>61.767044809149091</v>
      </c>
    </row>
    <row r="612" spans="1:3" x14ac:dyDescent="0.3">
      <c r="A612" s="2" t="s">
        <v>1412</v>
      </c>
      <c r="B612" s="3">
        <v>379</v>
      </c>
      <c r="C612" s="3">
        <v>342.85925206990618</v>
      </c>
    </row>
    <row r="613" spans="1:3" x14ac:dyDescent="0.3">
      <c r="A613" s="2" t="s">
        <v>1663</v>
      </c>
      <c r="B613" s="3">
        <v>39.9</v>
      </c>
      <c r="C613" s="3">
        <v>39.429636099663696</v>
      </c>
    </row>
    <row r="614" spans="1:3" x14ac:dyDescent="0.3">
      <c r="A614" s="2" t="s">
        <v>711</v>
      </c>
      <c r="B614" s="3">
        <v>13.99</v>
      </c>
      <c r="C614" s="3">
        <v>15.025358710186168</v>
      </c>
    </row>
    <row r="615" spans="1:3" x14ac:dyDescent="0.3">
      <c r="A615" s="2" t="s">
        <v>1307</v>
      </c>
      <c r="B615" s="3">
        <v>19.899999999999999</v>
      </c>
      <c r="C615" s="3">
        <v>20.512000047550593</v>
      </c>
    </row>
    <row r="616" spans="1:3" x14ac:dyDescent="0.3">
      <c r="A616" s="2" t="s">
        <v>63</v>
      </c>
      <c r="B616" s="3">
        <v>447</v>
      </c>
      <c r="C616" s="3">
        <v>441.37573235871059</v>
      </c>
    </row>
    <row r="617" spans="1:3" x14ac:dyDescent="0.3">
      <c r="A617" s="2" t="s">
        <v>241</v>
      </c>
      <c r="B617" s="3">
        <v>23.800000000000004</v>
      </c>
      <c r="C617" s="3">
        <v>24.265070752795232</v>
      </c>
    </row>
    <row r="618" spans="1:3" x14ac:dyDescent="0.3">
      <c r="A618" s="2" t="s">
        <v>2052</v>
      </c>
      <c r="B618" s="3">
        <v>89.18</v>
      </c>
      <c r="C618" s="3">
        <v>85.306747609879167</v>
      </c>
    </row>
    <row r="619" spans="1:3" x14ac:dyDescent="0.3">
      <c r="A619" s="2" t="s">
        <v>1482</v>
      </c>
      <c r="B619" s="3">
        <v>51.402499999999996</v>
      </c>
      <c r="C619" s="3">
        <v>50.999435801258272</v>
      </c>
    </row>
    <row r="620" spans="1:3" x14ac:dyDescent="0.3">
      <c r="A620" s="2" t="s">
        <v>2210</v>
      </c>
      <c r="B620" s="3">
        <v>443</v>
      </c>
      <c r="C620" s="3">
        <v>432.50767001181543</v>
      </c>
    </row>
    <row r="621" spans="1:3" x14ac:dyDescent="0.3">
      <c r="A621" s="2" t="s">
        <v>1908</v>
      </c>
      <c r="B621" s="3">
        <v>69.900000000000006</v>
      </c>
      <c r="C621" s="3">
        <v>69.728892364053507</v>
      </c>
    </row>
    <row r="622" spans="1:3" x14ac:dyDescent="0.3">
      <c r="A622" s="2" t="s">
        <v>611</v>
      </c>
      <c r="B622" s="3">
        <v>11.9</v>
      </c>
      <c r="C622" s="3">
        <v>12.764218307355875</v>
      </c>
    </row>
    <row r="623" spans="1:3" x14ac:dyDescent="0.3">
      <c r="A623" s="2" t="s">
        <v>107</v>
      </c>
      <c r="B623" s="3">
        <v>149.9</v>
      </c>
      <c r="C623" s="3">
        <v>149.48003143628523</v>
      </c>
    </row>
    <row r="624" spans="1:3" x14ac:dyDescent="0.3">
      <c r="A624" s="2" t="s">
        <v>401</v>
      </c>
      <c r="B624" s="3">
        <v>68.831538461538472</v>
      </c>
      <c r="C624" s="3">
        <v>68.610537132514523</v>
      </c>
    </row>
    <row r="625" spans="1:3" x14ac:dyDescent="0.3">
      <c r="A625" s="2" t="s">
        <v>257</v>
      </c>
      <c r="B625" s="3">
        <v>113.97999999999999</v>
      </c>
      <c r="C625" s="3">
        <v>116.6077073046162</v>
      </c>
    </row>
    <row r="626" spans="1:3" x14ac:dyDescent="0.3">
      <c r="A626" s="2" t="s">
        <v>2110</v>
      </c>
      <c r="B626" s="3">
        <v>489</v>
      </c>
      <c r="C626" s="3">
        <v>483.67049610074929</v>
      </c>
    </row>
    <row r="627" spans="1:3" x14ac:dyDescent="0.3">
      <c r="A627" s="2" t="s">
        <v>957</v>
      </c>
      <c r="B627" s="3">
        <v>32.43</v>
      </c>
      <c r="C627" s="3">
        <v>34.109681818262061</v>
      </c>
    </row>
    <row r="628" spans="1:3" x14ac:dyDescent="0.3">
      <c r="A628" s="2" t="s">
        <v>1155</v>
      </c>
      <c r="B628" s="3">
        <v>39.99</v>
      </c>
      <c r="C628" s="3">
        <v>40.292839396164133</v>
      </c>
    </row>
    <row r="629" spans="1:3" x14ac:dyDescent="0.3">
      <c r="A629" s="2" t="s">
        <v>1597</v>
      </c>
      <c r="B629" s="3">
        <v>41.9</v>
      </c>
      <c r="C629" s="3">
        <v>44.528981660512947</v>
      </c>
    </row>
    <row r="630" spans="1:3" x14ac:dyDescent="0.3">
      <c r="A630" s="2" t="s">
        <v>797</v>
      </c>
      <c r="B630" s="3">
        <v>127.45</v>
      </c>
      <c r="C630" s="3">
        <v>118.37766852790634</v>
      </c>
    </row>
    <row r="631" spans="1:3" x14ac:dyDescent="0.3">
      <c r="A631" s="2" t="s">
        <v>45</v>
      </c>
      <c r="B631" s="3">
        <v>32.418095238095241</v>
      </c>
      <c r="C631" s="3">
        <v>32.692813874937748</v>
      </c>
    </row>
    <row r="632" spans="1:3" x14ac:dyDescent="0.3">
      <c r="A632" s="2" t="s">
        <v>359</v>
      </c>
      <c r="B632" s="3">
        <v>144.94499999999999</v>
      </c>
      <c r="C632" s="3">
        <v>148.30963085143719</v>
      </c>
    </row>
    <row r="633" spans="1:3" x14ac:dyDescent="0.3">
      <c r="A633" s="2" t="s">
        <v>909</v>
      </c>
      <c r="B633" s="3">
        <v>69.13</v>
      </c>
      <c r="C633" s="3">
        <v>66.628145543144697</v>
      </c>
    </row>
    <row r="634" spans="1:3" x14ac:dyDescent="0.3">
      <c r="A634" s="2" t="s">
        <v>1946</v>
      </c>
      <c r="B634" s="3">
        <v>276.99</v>
      </c>
      <c r="C634" s="3">
        <v>298.76102657633317</v>
      </c>
    </row>
    <row r="635" spans="1:3" x14ac:dyDescent="0.3">
      <c r="A635" s="2" t="s">
        <v>445</v>
      </c>
      <c r="B635" s="3">
        <v>462.31666666666666</v>
      </c>
      <c r="C635" s="3">
        <v>496.08879104627113</v>
      </c>
    </row>
    <row r="636" spans="1:3" x14ac:dyDescent="0.3">
      <c r="A636" s="2" t="s">
        <v>1763</v>
      </c>
      <c r="B636" s="3">
        <v>336</v>
      </c>
      <c r="C636" s="3">
        <v>305.46173400387841</v>
      </c>
    </row>
    <row r="637" spans="1:3" x14ac:dyDescent="0.3">
      <c r="A637" s="2" t="s">
        <v>649</v>
      </c>
      <c r="B637" s="3">
        <v>153.66666666666666</v>
      </c>
      <c r="C637" s="3">
        <v>153.35575605134588</v>
      </c>
    </row>
    <row r="638" spans="1:3" x14ac:dyDescent="0.3">
      <c r="A638" s="2" t="s">
        <v>1665</v>
      </c>
      <c r="B638" s="3">
        <v>779</v>
      </c>
      <c r="C638" s="3">
        <v>747.4717859343865</v>
      </c>
    </row>
    <row r="639" spans="1:3" x14ac:dyDescent="0.3">
      <c r="A639" s="2" t="s">
        <v>1629</v>
      </c>
      <c r="B639" s="3">
        <v>73.989999999999995</v>
      </c>
      <c r="C639" s="3">
        <v>79.090412209570843</v>
      </c>
    </row>
    <row r="640" spans="1:3" x14ac:dyDescent="0.3">
      <c r="A640" s="2" t="s">
        <v>1107</v>
      </c>
      <c r="B640" s="3">
        <v>49.9</v>
      </c>
      <c r="C640" s="3">
        <v>50.369766972668117</v>
      </c>
    </row>
    <row r="641" spans="1:3" x14ac:dyDescent="0.3">
      <c r="A641" s="2" t="s">
        <v>393</v>
      </c>
      <c r="B641" s="3">
        <v>119.90000000000002</v>
      </c>
      <c r="C641" s="3">
        <v>110.4053883566598</v>
      </c>
    </row>
    <row r="642" spans="1:3" x14ac:dyDescent="0.3">
      <c r="A642" s="2" t="s">
        <v>456</v>
      </c>
      <c r="B642" s="3">
        <v>43.65</v>
      </c>
      <c r="C642" s="3">
        <v>42.539010448210682</v>
      </c>
    </row>
    <row r="643" spans="1:3" x14ac:dyDescent="0.3">
      <c r="A643" s="2" t="s">
        <v>194</v>
      </c>
      <c r="B643" s="3">
        <v>27.993333333333336</v>
      </c>
      <c r="C643" s="3">
        <v>29.945443559718409</v>
      </c>
    </row>
    <row r="644" spans="1:3" x14ac:dyDescent="0.3">
      <c r="A644" s="2" t="s">
        <v>1115</v>
      </c>
      <c r="B644" s="3">
        <v>99.9</v>
      </c>
      <c r="C644" s="3">
        <v>103.72372217237715</v>
      </c>
    </row>
    <row r="645" spans="1:3" x14ac:dyDescent="0.3">
      <c r="A645" s="2" t="s">
        <v>741</v>
      </c>
      <c r="B645" s="3">
        <v>50</v>
      </c>
      <c r="C645" s="3">
        <v>51.08243690045979</v>
      </c>
    </row>
    <row r="646" spans="1:3" x14ac:dyDescent="0.3">
      <c r="A646" s="2" t="s">
        <v>159</v>
      </c>
      <c r="B646" s="3">
        <v>63.9</v>
      </c>
      <c r="C646" s="3">
        <v>65.967909475918731</v>
      </c>
    </row>
    <row r="647" spans="1:3" x14ac:dyDescent="0.3">
      <c r="A647" s="2" t="s">
        <v>1230</v>
      </c>
      <c r="B647" s="3">
        <v>28.917999999999999</v>
      </c>
      <c r="C647" s="3">
        <v>29.338199252275579</v>
      </c>
    </row>
    <row r="648" spans="1:3" x14ac:dyDescent="0.3">
      <c r="A648" s="2" t="s">
        <v>1329</v>
      </c>
      <c r="B648" s="3">
        <v>180</v>
      </c>
      <c r="C648" s="3">
        <v>192.15347510419579</v>
      </c>
    </row>
    <row r="649" spans="1:3" x14ac:dyDescent="0.3">
      <c r="A649" s="2" t="s">
        <v>2181</v>
      </c>
      <c r="B649" s="3">
        <v>14.9</v>
      </c>
      <c r="C649" s="3">
        <v>14.578004939597392</v>
      </c>
    </row>
    <row r="650" spans="1:3" x14ac:dyDescent="0.3">
      <c r="A650" s="2" t="s">
        <v>1419</v>
      </c>
      <c r="B650" s="3">
        <v>34.99</v>
      </c>
      <c r="C650" s="3">
        <v>31.878670252687975</v>
      </c>
    </row>
    <row r="651" spans="1:3" x14ac:dyDescent="0.3">
      <c r="A651" s="2" t="s">
        <v>1153</v>
      </c>
      <c r="B651" s="3">
        <v>24.99</v>
      </c>
      <c r="C651" s="3">
        <v>23.632569408905457</v>
      </c>
    </row>
    <row r="652" spans="1:3" x14ac:dyDescent="0.3">
      <c r="A652" s="2" t="s">
        <v>739</v>
      </c>
      <c r="B652" s="3">
        <v>144.99</v>
      </c>
      <c r="C652" s="3">
        <v>148.71705293647318</v>
      </c>
    </row>
    <row r="653" spans="1:3" x14ac:dyDescent="0.3">
      <c r="A653" s="2" t="s">
        <v>491</v>
      </c>
      <c r="B653" s="3">
        <v>29.9</v>
      </c>
      <c r="C653" s="3">
        <v>30.093452984002056</v>
      </c>
    </row>
    <row r="654" spans="1:3" x14ac:dyDescent="0.3">
      <c r="A654" s="2" t="s">
        <v>90</v>
      </c>
      <c r="B654" s="3">
        <v>49.16</v>
      </c>
      <c r="C654" s="3">
        <v>44.645738990411019</v>
      </c>
    </row>
    <row r="655" spans="1:3" x14ac:dyDescent="0.3">
      <c r="A655" s="2" t="s">
        <v>202</v>
      </c>
      <c r="B655" s="3">
        <v>74.900000000000006</v>
      </c>
      <c r="C655" s="3">
        <v>76.117260271356542</v>
      </c>
    </row>
    <row r="656" spans="1:3" x14ac:dyDescent="0.3">
      <c r="A656" s="2" t="s">
        <v>1074</v>
      </c>
      <c r="B656" s="3">
        <v>51.95</v>
      </c>
      <c r="C656" s="3">
        <v>54.129742712298608</v>
      </c>
    </row>
    <row r="657" spans="1:3" x14ac:dyDescent="0.3">
      <c r="A657" s="2" t="s">
        <v>980</v>
      </c>
      <c r="B657" s="3">
        <v>39</v>
      </c>
      <c r="C657" s="3">
        <v>42.005642582637385</v>
      </c>
    </row>
    <row r="658" spans="1:3" x14ac:dyDescent="0.3">
      <c r="A658" s="2" t="s">
        <v>88</v>
      </c>
      <c r="B658" s="3">
        <v>20.215</v>
      </c>
      <c r="C658" s="3">
        <v>20.135706342235888</v>
      </c>
    </row>
    <row r="659" spans="1:3" x14ac:dyDescent="0.3">
      <c r="A659" s="2" t="s">
        <v>704</v>
      </c>
      <c r="B659" s="3">
        <v>249.48</v>
      </c>
      <c r="C659" s="3">
        <v>262.59632717535419</v>
      </c>
    </row>
    <row r="660" spans="1:3" x14ac:dyDescent="0.3">
      <c r="A660" s="2" t="s">
        <v>1572</v>
      </c>
      <c r="B660" s="3">
        <v>185</v>
      </c>
      <c r="C660" s="3">
        <v>175.43453843404757</v>
      </c>
    </row>
    <row r="661" spans="1:3" x14ac:dyDescent="0.3">
      <c r="A661" s="2" t="s">
        <v>2150</v>
      </c>
      <c r="B661" s="3">
        <v>112.9</v>
      </c>
      <c r="C661" s="3">
        <v>102.24939993873528</v>
      </c>
    </row>
    <row r="662" spans="1:3" x14ac:dyDescent="0.3">
      <c r="A662" s="2" t="s">
        <v>632</v>
      </c>
      <c r="B662" s="3">
        <v>8</v>
      </c>
      <c r="C662" s="3">
        <v>8.0199840361669921</v>
      </c>
    </row>
    <row r="663" spans="1:3" x14ac:dyDescent="0.3">
      <c r="A663" s="2" t="s">
        <v>1961</v>
      </c>
      <c r="B663" s="3">
        <v>95.99</v>
      </c>
      <c r="C663" s="3">
        <v>96.653311170459801</v>
      </c>
    </row>
    <row r="664" spans="1:3" x14ac:dyDescent="0.3">
      <c r="A664" s="2" t="s">
        <v>1135</v>
      </c>
      <c r="B664" s="3">
        <v>327.5</v>
      </c>
      <c r="C664" s="3">
        <v>335.59133042496853</v>
      </c>
    </row>
    <row r="665" spans="1:3" x14ac:dyDescent="0.3">
      <c r="A665" s="2" t="s">
        <v>450</v>
      </c>
      <c r="B665" s="3">
        <v>31.9</v>
      </c>
      <c r="C665" s="3">
        <v>30.14425044020463</v>
      </c>
    </row>
    <row r="666" spans="1:3" x14ac:dyDescent="0.3">
      <c r="A666" s="2" t="s">
        <v>184</v>
      </c>
      <c r="B666" s="3">
        <v>72.066666666666663</v>
      </c>
      <c r="C666" s="3">
        <v>70.485081026559826</v>
      </c>
    </row>
    <row r="667" spans="1:3" x14ac:dyDescent="0.3">
      <c r="A667" s="2" t="s">
        <v>544</v>
      </c>
      <c r="B667" s="3">
        <v>94.9</v>
      </c>
      <c r="C667" s="3">
        <v>92.281365153205684</v>
      </c>
    </row>
    <row r="668" spans="1:3" x14ac:dyDescent="0.3">
      <c r="A668" s="2" t="s">
        <v>674</v>
      </c>
      <c r="B668" s="3">
        <v>52.300000000000004</v>
      </c>
      <c r="C668" s="3">
        <v>50.821004686797146</v>
      </c>
    </row>
    <row r="669" spans="1:3" x14ac:dyDescent="0.3">
      <c r="A669" s="2" t="s">
        <v>942</v>
      </c>
      <c r="B669" s="3">
        <v>47.65</v>
      </c>
      <c r="C669" s="3">
        <v>45.940349669556731</v>
      </c>
    </row>
    <row r="670" spans="1:3" x14ac:dyDescent="0.3">
      <c r="A670" s="2" t="s">
        <v>322</v>
      </c>
      <c r="B670" s="3">
        <v>82.622222222222234</v>
      </c>
      <c r="C670" s="3">
        <v>84.104451238919566</v>
      </c>
    </row>
    <row r="671" spans="1:3" x14ac:dyDescent="0.3">
      <c r="A671" s="2" t="s">
        <v>644</v>
      </c>
      <c r="B671" s="3">
        <v>227.43333333333331</v>
      </c>
      <c r="C671" s="3">
        <v>228.81336151420612</v>
      </c>
    </row>
    <row r="672" spans="1:3" x14ac:dyDescent="0.3">
      <c r="A672" s="2" t="s">
        <v>145</v>
      </c>
      <c r="B672" s="3">
        <v>43.569999999999993</v>
      </c>
      <c r="C672" s="3">
        <v>44.506732964606265</v>
      </c>
    </row>
    <row r="673" spans="1:3" x14ac:dyDescent="0.3">
      <c r="A673" s="2" t="s">
        <v>1952</v>
      </c>
      <c r="B673" s="3">
        <v>180</v>
      </c>
      <c r="C673" s="3">
        <v>181.39348015996811</v>
      </c>
    </row>
    <row r="674" spans="1:3" x14ac:dyDescent="0.3">
      <c r="A674" s="2" t="s">
        <v>1442</v>
      </c>
      <c r="B674" s="3">
        <v>34.9</v>
      </c>
      <c r="C674" s="3">
        <v>34.70979582152178</v>
      </c>
    </row>
    <row r="675" spans="1:3" x14ac:dyDescent="0.3">
      <c r="A675" s="2" t="s">
        <v>35</v>
      </c>
      <c r="B675" s="3">
        <v>639</v>
      </c>
      <c r="C675" s="3">
        <v>700.56355328100051</v>
      </c>
    </row>
    <row r="676" spans="1:3" x14ac:dyDescent="0.3">
      <c r="A676" s="2" t="s">
        <v>1577</v>
      </c>
      <c r="B676" s="3">
        <v>50</v>
      </c>
      <c r="C676" s="3">
        <v>46.072600107987213</v>
      </c>
    </row>
    <row r="677" spans="1:3" x14ac:dyDescent="0.3">
      <c r="A677" s="2" t="s">
        <v>1112</v>
      </c>
      <c r="B677" s="3">
        <v>138</v>
      </c>
      <c r="C677" s="3">
        <v>132.63239735423844</v>
      </c>
    </row>
    <row r="678" spans="1:3" x14ac:dyDescent="0.3">
      <c r="A678" s="2" t="s">
        <v>1780</v>
      </c>
      <c r="B678" s="3">
        <v>99</v>
      </c>
      <c r="C678" s="3">
        <v>99.661598074876053</v>
      </c>
    </row>
    <row r="679" spans="1:3" x14ac:dyDescent="0.3">
      <c r="A679" s="2" t="s">
        <v>37</v>
      </c>
      <c r="B679" s="3">
        <v>184.46666666666667</v>
      </c>
      <c r="C679" s="3">
        <v>179.01077583792198</v>
      </c>
    </row>
    <row r="680" spans="1:3" x14ac:dyDescent="0.3">
      <c r="A680" s="2" t="s">
        <v>1770</v>
      </c>
      <c r="B680" s="3">
        <v>44.924999999999997</v>
      </c>
      <c r="C680" s="3">
        <v>47.436267946389172</v>
      </c>
    </row>
    <row r="681" spans="1:3" x14ac:dyDescent="0.3">
      <c r="A681" s="2" t="s">
        <v>97</v>
      </c>
      <c r="B681" s="3">
        <v>79.5</v>
      </c>
      <c r="C681" s="3">
        <v>80.0396623476299</v>
      </c>
    </row>
    <row r="682" spans="1:3" x14ac:dyDescent="0.3">
      <c r="A682" s="2" t="s">
        <v>2147</v>
      </c>
      <c r="B682" s="3">
        <v>59.9</v>
      </c>
      <c r="C682" s="3">
        <v>56.180035184081376</v>
      </c>
    </row>
    <row r="683" spans="1:3" x14ac:dyDescent="0.3">
      <c r="A683" s="2" t="s">
        <v>1678</v>
      </c>
      <c r="B683" s="3">
        <v>102.5</v>
      </c>
      <c r="C683" s="3">
        <v>99.795076900810329</v>
      </c>
    </row>
    <row r="684" spans="1:3" x14ac:dyDescent="0.3">
      <c r="A684" s="2" t="s">
        <v>83</v>
      </c>
      <c r="B684" s="3">
        <v>39.49</v>
      </c>
      <c r="C684" s="3">
        <v>40.858534345882404</v>
      </c>
    </row>
    <row r="685" spans="1:3" x14ac:dyDescent="0.3">
      <c r="A685" s="2" t="s">
        <v>1206</v>
      </c>
      <c r="B685" s="3">
        <v>51.5</v>
      </c>
      <c r="C685" s="3">
        <v>50.935642697815076</v>
      </c>
    </row>
    <row r="686" spans="1:3" x14ac:dyDescent="0.3">
      <c r="A686" s="2" t="s">
        <v>2232</v>
      </c>
      <c r="B686" s="3"/>
      <c r="C686" s="3"/>
    </row>
    <row r="687" spans="1:3" x14ac:dyDescent="0.3">
      <c r="A687" s="2" t="s">
        <v>2233</v>
      </c>
      <c r="B687" s="3">
        <v>121.608949999998</v>
      </c>
      <c r="C687" s="3">
        <v>121.63560350188612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6108-009B-4BC9-8105-B4ADB614D31C}">
  <dimension ref="A1:H2001"/>
  <sheetViews>
    <sheetView workbookViewId="0">
      <selection activeCell="I6" sqref="A1:XFD1048576"/>
    </sheetView>
  </sheetViews>
  <sheetFormatPr defaultRowHeight="14.4" x14ac:dyDescent="0.3"/>
  <cols>
    <col min="1" max="2" width="33.6640625" bestFit="1" customWidth="1"/>
    <col min="3" max="3" width="8" bestFit="1" customWidth="1"/>
    <col min="4" max="4" width="11.6640625" bestFit="1" customWidth="1"/>
    <col min="5" max="5" width="15.21875" bestFit="1" customWidth="1"/>
    <col min="6" max="6" width="12.6640625" bestFit="1" customWidth="1"/>
    <col min="7" max="7" width="17" bestFit="1" customWidth="1"/>
    <col min="8" max="8" width="12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2226</v>
      </c>
      <c r="F1" t="s">
        <v>2227</v>
      </c>
      <c r="G1" t="s">
        <v>2228</v>
      </c>
      <c r="H1" t="s">
        <v>2229</v>
      </c>
    </row>
    <row r="2" spans="1:8" x14ac:dyDescent="0.3">
      <c r="A2" t="s">
        <v>4</v>
      </c>
      <c r="B2" t="s">
        <v>5</v>
      </c>
      <c r="C2">
        <v>58.9</v>
      </c>
      <c r="D2">
        <v>13.29</v>
      </c>
      <c r="E2">
        <f ca="1">C2*(1+RAND()*0.2-0.1)</f>
        <v>56.114723752348247</v>
      </c>
      <c r="F2">
        <f ca="1">C2-E2</f>
        <v>2.7852762476517512</v>
      </c>
      <c r="G2">
        <f ca="1">(C2-E2)/E2</f>
        <v>4.9635390881438583E-2</v>
      </c>
      <c r="H2" t="str">
        <f ca="1">IF(E2="","competitive",IF(ABS(C2-E2)/E2&lt;=0.05,"competitive",IF(C2&gt;E2,"overpriced","underprived")))</f>
        <v>competitive</v>
      </c>
    </row>
    <row r="3" spans="1:8" x14ac:dyDescent="0.3">
      <c r="A3" t="s">
        <v>6</v>
      </c>
      <c r="B3" t="s">
        <v>7</v>
      </c>
      <c r="C3">
        <v>239.9</v>
      </c>
      <c r="D3">
        <v>19.93</v>
      </c>
      <c r="E3">
        <f t="shared" ref="E3:E66" ca="1" si="0">C3*(1+RAND()*0.2-0.1)</f>
        <v>236.20415539262393</v>
      </c>
      <c r="F3">
        <f t="shared" ref="F3:F66" ca="1" si="1">C3-E3</f>
        <v>3.695844607376074</v>
      </c>
      <c r="G3">
        <f t="shared" ref="G3:G66" ca="1" si="2">(C3-E3)/E3</f>
        <v>1.5646822983417699E-2</v>
      </c>
      <c r="H3" t="str">
        <f t="shared" ref="H3:H66" ca="1" si="3">IF(E3="","competitive",IF(ABS(C3-E3)/E3&lt;=0.05,"competitive",IF(C3&gt;E3,"overpriced","underprived")))</f>
        <v>competitive</v>
      </c>
    </row>
    <row r="4" spans="1:8" x14ac:dyDescent="0.3">
      <c r="A4" t="s">
        <v>8</v>
      </c>
      <c r="B4" t="s">
        <v>9</v>
      </c>
      <c r="C4">
        <v>199</v>
      </c>
      <c r="D4">
        <v>17.87</v>
      </c>
      <c r="E4">
        <f t="shared" ca="1" si="0"/>
        <v>185.90588731606985</v>
      </c>
      <c r="F4">
        <f t="shared" ca="1" si="1"/>
        <v>13.094112683930149</v>
      </c>
      <c r="G4">
        <f t="shared" ca="1" si="2"/>
        <v>7.0434093685629529E-2</v>
      </c>
      <c r="H4" t="str">
        <f t="shared" ca="1" si="3"/>
        <v>overpriced</v>
      </c>
    </row>
    <row r="5" spans="1:8" x14ac:dyDescent="0.3">
      <c r="A5" t="s">
        <v>10</v>
      </c>
      <c r="B5" t="s">
        <v>11</v>
      </c>
      <c r="C5">
        <v>12.99</v>
      </c>
      <c r="D5">
        <v>12.79</v>
      </c>
      <c r="E5">
        <f t="shared" ca="1" si="0"/>
        <v>13.792995786336332</v>
      </c>
      <c r="F5">
        <f t="shared" ca="1" si="1"/>
        <v>-0.80299578633633217</v>
      </c>
      <c r="G5">
        <f t="shared" ca="1" si="2"/>
        <v>-5.8217648926696459E-2</v>
      </c>
      <c r="H5" t="str">
        <f t="shared" ca="1" si="3"/>
        <v>underprived</v>
      </c>
    </row>
    <row r="6" spans="1:8" x14ac:dyDescent="0.3">
      <c r="A6" t="s">
        <v>12</v>
      </c>
      <c r="B6" t="s">
        <v>13</v>
      </c>
      <c r="C6">
        <v>199.9</v>
      </c>
      <c r="D6">
        <v>18.14</v>
      </c>
      <c r="E6">
        <f t="shared" ca="1" si="0"/>
        <v>217.80932631138847</v>
      </c>
      <c r="F6">
        <f t="shared" ca="1" si="1"/>
        <v>-17.909326311388469</v>
      </c>
      <c r="G6">
        <f t="shared" ca="1" si="2"/>
        <v>-8.222479089708315E-2</v>
      </c>
      <c r="H6" t="str">
        <f t="shared" ca="1" si="3"/>
        <v>underprived</v>
      </c>
    </row>
    <row r="7" spans="1:8" x14ac:dyDescent="0.3">
      <c r="A7" t="s">
        <v>14</v>
      </c>
      <c r="B7" t="s">
        <v>15</v>
      </c>
      <c r="C7">
        <v>21.9</v>
      </c>
      <c r="D7">
        <v>12.69</v>
      </c>
      <c r="E7">
        <f t="shared" ca="1" si="0"/>
        <v>22.093479732649698</v>
      </c>
      <c r="F7">
        <f t="shared" ca="1" si="1"/>
        <v>-0.19347973264969909</v>
      </c>
      <c r="G7">
        <f t="shared" ca="1" si="2"/>
        <v>-8.7573227482031796E-3</v>
      </c>
      <c r="H7" t="str">
        <f t="shared" ca="1" si="3"/>
        <v>competitive</v>
      </c>
    </row>
    <row r="8" spans="1:8" x14ac:dyDescent="0.3">
      <c r="A8" t="s">
        <v>16</v>
      </c>
      <c r="B8" t="s">
        <v>17</v>
      </c>
      <c r="C8">
        <v>19.899999999999999</v>
      </c>
      <c r="D8">
        <v>11.85</v>
      </c>
      <c r="E8">
        <f t="shared" ca="1" si="0"/>
        <v>21.328710426984578</v>
      </c>
      <c r="F8">
        <f t="shared" ca="1" si="1"/>
        <v>-1.4287104269845798</v>
      </c>
      <c r="G8">
        <f t="shared" ca="1" si="2"/>
        <v>-6.698531689834418E-2</v>
      </c>
      <c r="H8" t="str">
        <f t="shared" ca="1" si="3"/>
        <v>underprived</v>
      </c>
    </row>
    <row r="9" spans="1:8" x14ac:dyDescent="0.3">
      <c r="A9" t="s">
        <v>18</v>
      </c>
      <c r="B9" t="s">
        <v>19</v>
      </c>
      <c r="C9">
        <v>810</v>
      </c>
      <c r="D9">
        <v>70.75</v>
      </c>
      <c r="E9">
        <f t="shared" ca="1" si="0"/>
        <v>757.51720059938998</v>
      </c>
      <c r="F9">
        <f t="shared" ca="1" si="1"/>
        <v>52.48279940061002</v>
      </c>
      <c r="G9">
        <f t="shared" ca="1" si="2"/>
        <v>6.9282650425736461E-2</v>
      </c>
      <c r="H9" t="str">
        <f t="shared" ca="1" si="3"/>
        <v>overpriced</v>
      </c>
    </row>
    <row r="10" spans="1:8" x14ac:dyDescent="0.3">
      <c r="A10" t="s">
        <v>20</v>
      </c>
      <c r="B10" t="s">
        <v>21</v>
      </c>
      <c r="C10">
        <v>145.94999999999999</v>
      </c>
      <c r="D10">
        <v>11.65</v>
      </c>
      <c r="E10">
        <f t="shared" ca="1" si="0"/>
        <v>143.88548323107952</v>
      </c>
      <c r="F10">
        <f t="shared" ca="1" si="1"/>
        <v>2.0645167689204698</v>
      </c>
      <c r="G10">
        <f t="shared" ca="1" si="2"/>
        <v>1.4348332594504088E-2</v>
      </c>
      <c r="H10" t="str">
        <f t="shared" ca="1" si="3"/>
        <v>competitive</v>
      </c>
    </row>
    <row r="11" spans="1:8" x14ac:dyDescent="0.3">
      <c r="A11" t="s">
        <v>22</v>
      </c>
      <c r="B11" t="s">
        <v>23</v>
      </c>
      <c r="C11">
        <v>53.99</v>
      </c>
      <c r="D11">
        <v>11.4</v>
      </c>
      <c r="E11">
        <f t="shared" ca="1" si="0"/>
        <v>52.832781485935378</v>
      </c>
      <c r="F11">
        <f t="shared" ca="1" si="1"/>
        <v>1.1572185140646241</v>
      </c>
      <c r="G11">
        <f t="shared" ca="1" si="2"/>
        <v>2.1903418323199343E-2</v>
      </c>
      <c r="H11" t="str">
        <f t="shared" ca="1" si="3"/>
        <v>competitive</v>
      </c>
    </row>
    <row r="12" spans="1:8" x14ac:dyDescent="0.3">
      <c r="A12" t="s">
        <v>24</v>
      </c>
      <c r="B12" t="s">
        <v>25</v>
      </c>
      <c r="C12">
        <v>59.99</v>
      </c>
      <c r="D12">
        <v>8.8800000000000008</v>
      </c>
      <c r="E12">
        <f t="shared" ca="1" si="0"/>
        <v>63.874973492016863</v>
      </c>
      <c r="F12">
        <f t="shared" ca="1" si="1"/>
        <v>-3.8849734920168615</v>
      </c>
      <c r="G12">
        <f t="shared" ca="1" si="2"/>
        <v>-6.0821528051239158E-2</v>
      </c>
      <c r="H12" t="str">
        <f t="shared" ca="1" si="3"/>
        <v>underprived</v>
      </c>
    </row>
    <row r="13" spans="1:8" x14ac:dyDescent="0.3">
      <c r="A13" t="s">
        <v>26</v>
      </c>
      <c r="B13" t="s">
        <v>27</v>
      </c>
      <c r="C13">
        <v>45</v>
      </c>
      <c r="D13">
        <v>12.98</v>
      </c>
      <c r="E13">
        <f t="shared" ca="1" si="0"/>
        <v>49.280678183038049</v>
      </c>
      <c r="F13">
        <f t="shared" ca="1" si="1"/>
        <v>-4.2806781830380487</v>
      </c>
      <c r="G13">
        <f t="shared" ca="1" si="2"/>
        <v>-8.6863215784871606E-2</v>
      </c>
      <c r="H13" t="str">
        <f t="shared" ca="1" si="3"/>
        <v>underprived</v>
      </c>
    </row>
    <row r="14" spans="1:8" x14ac:dyDescent="0.3">
      <c r="A14" t="s">
        <v>28</v>
      </c>
      <c r="B14" t="s">
        <v>29</v>
      </c>
      <c r="C14">
        <v>74</v>
      </c>
      <c r="D14">
        <v>23.32</v>
      </c>
      <c r="E14">
        <f t="shared" ca="1" si="0"/>
        <v>78.254332270628865</v>
      </c>
      <c r="F14">
        <f t="shared" ca="1" si="1"/>
        <v>-4.2543322706288649</v>
      </c>
      <c r="G14">
        <f t="shared" ca="1" si="2"/>
        <v>-5.4365453607296832E-2</v>
      </c>
      <c r="H14" t="str">
        <f t="shared" ca="1" si="3"/>
        <v>underprived</v>
      </c>
    </row>
    <row r="15" spans="1:8" x14ac:dyDescent="0.3">
      <c r="A15" t="s">
        <v>30</v>
      </c>
      <c r="B15" t="s">
        <v>31</v>
      </c>
      <c r="C15">
        <v>49.9</v>
      </c>
      <c r="D15">
        <v>13.37</v>
      </c>
      <c r="E15">
        <f t="shared" ca="1" si="0"/>
        <v>51.304507789515149</v>
      </c>
      <c r="F15">
        <f t="shared" ca="1" si="1"/>
        <v>-1.4045077895151508</v>
      </c>
      <c r="G15">
        <f t="shared" ca="1" si="2"/>
        <v>-2.7375913930942793E-2</v>
      </c>
      <c r="H15" t="str">
        <f t="shared" ca="1" si="3"/>
        <v>competitive</v>
      </c>
    </row>
    <row r="16" spans="1:8" x14ac:dyDescent="0.3">
      <c r="A16" t="s">
        <v>30</v>
      </c>
      <c r="B16" t="s">
        <v>31</v>
      </c>
      <c r="C16">
        <v>49.9</v>
      </c>
      <c r="D16">
        <v>13.37</v>
      </c>
      <c r="E16">
        <f t="shared" ca="1" si="0"/>
        <v>48.599733068645506</v>
      </c>
      <c r="F16">
        <f t="shared" ca="1" si="1"/>
        <v>1.3002669313544928</v>
      </c>
      <c r="G16">
        <f t="shared" ca="1" si="2"/>
        <v>2.6754610555533485E-2</v>
      </c>
      <c r="H16" t="str">
        <f t="shared" ca="1" si="3"/>
        <v>competitive</v>
      </c>
    </row>
    <row r="17" spans="1:8" x14ac:dyDescent="0.3">
      <c r="A17" t="s">
        <v>32</v>
      </c>
      <c r="B17" t="s">
        <v>33</v>
      </c>
      <c r="C17">
        <v>99.9</v>
      </c>
      <c r="D17">
        <v>27.65</v>
      </c>
      <c r="E17">
        <f t="shared" ca="1" si="0"/>
        <v>104.30921491824259</v>
      </c>
      <c r="F17">
        <f t="shared" ca="1" si="1"/>
        <v>-4.4092149182425828</v>
      </c>
      <c r="G17">
        <f t="shared" ca="1" si="2"/>
        <v>-4.2270617430094928E-2</v>
      </c>
      <c r="H17" t="str">
        <f t="shared" ca="1" si="3"/>
        <v>competitive</v>
      </c>
    </row>
    <row r="18" spans="1:8" x14ac:dyDescent="0.3">
      <c r="A18" t="s">
        <v>34</v>
      </c>
      <c r="B18" t="s">
        <v>35</v>
      </c>
      <c r="C18">
        <v>639</v>
      </c>
      <c r="D18">
        <v>11.34</v>
      </c>
      <c r="E18">
        <f t="shared" ca="1" si="0"/>
        <v>597.39373654736607</v>
      </c>
      <c r="F18">
        <f t="shared" ca="1" si="1"/>
        <v>41.606263452633925</v>
      </c>
      <c r="G18">
        <f t="shared" ca="1" si="2"/>
        <v>6.9646300098653705E-2</v>
      </c>
      <c r="H18" t="str">
        <f t="shared" ca="1" si="3"/>
        <v>overpriced</v>
      </c>
    </row>
    <row r="19" spans="1:8" x14ac:dyDescent="0.3">
      <c r="A19" t="s">
        <v>36</v>
      </c>
      <c r="B19" t="s">
        <v>37</v>
      </c>
      <c r="C19">
        <v>144</v>
      </c>
      <c r="D19">
        <v>8.77</v>
      </c>
      <c r="E19">
        <f t="shared" ca="1" si="0"/>
        <v>157.57461704832733</v>
      </c>
      <c r="F19">
        <f t="shared" ca="1" si="1"/>
        <v>-13.574617048327326</v>
      </c>
      <c r="G19">
        <f t="shared" ca="1" si="2"/>
        <v>-8.6147231721744003E-2</v>
      </c>
      <c r="H19" t="str">
        <f t="shared" ca="1" si="3"/>
        <v>underprived</v>
      </c>
    </row>
    <row r="20" spans="1:8" x14ac:dyDescent="0.3">
      <c r="A20" t="s">
        <v>38</v>
      </c>
      <c r="B20" t="s">
        <v>39</v>
      </c>
      <c r="C20">
        <v>99</v>
      </c>
      <c r="D20">
        <v>13.71</v>
      </c>
      <c r="E20">
        <f t="shared" ca="1" si="0"/>
        <v>95.039723171771413</v>
      </c>
      <c r="F20">
        <f t="shared" ca="1" si="1"/>
        <v>3.9602768282285865</v>
      </c>
      <c r="G20">
        <f t="shared" ca="1" si="2"/>
        <v>4.1669700795223523E-2</v>
      </c>
      <c r="H20" t="str">
        <f t="shared" ca="1" si="3"/>
        <v>competitive</v>
      </c>
    </row>
    <row r="21" spans="1:8" x14ac:dyDescent="0.3">
      <c r="A21" t="s">
        <v>40</v>
      </c>
      <c r="B21" t="s">
        <v>41</v>
      </c>
      <c r="C21">
        <v>25</v>
      </c>
      <c r="D21">
        <v>16.11</v>
      </c>
      <c r="E21">
        <f t="shared" ca="1" si="0"/>
        <v>23.300404566015061</v>
      </c>
      <c r="F21">
        <f t="shared" ca="1" si="1"/>
        <v>1.6995954339849391</v>
      </c>
      <c r="G21">
        <f t="shared" ca="1" si="2"/>
        <v>7.2942743512011535E-2</v>
      </c>
      <c r="H21" t="str">
        <f t="shared" ca="1" si="3"/>
        <v>overpriced</v>
      </c>
    </row>
    <row r="22" spans="1:8" x14ac:dyDescent="0.3">
      <c r="A22" t="s">
        <v>42</v>
      </c>
      <c r="B22" t="s">
        <v>43</v>
      </c>
      <c r="C22">
        <v>47.9</v>
      </c>
      <c r="D22">
        <v>8.8800000000000008</v>
      </c>
      <c r="E22">
        <f t="shared" ca="1" si="0"/>
        <v>50.772409530245113</v>
      </c>
      <c r="F22">
        <f t="shared" ca="1" si="1"/>
        <v>-2.8724095302451147</v>
      </c>
      <c r="G22">
        <f t="shared" ca="1" si="2"/>
        <v>-5.6574221251682391E-2</v>
      </c>
      <c r="H22" t="str">
        <f t="shared" ca="1" si="3"/>
        <v>underprived</v>
      </c>
    </row>
    <row r="23" spans="1:8" x14ac:dyDescent="0.3">
      <c r="A23" t="s">
        <v>44</v>
      </c>
      <c r="B23" t="s">
        <v>45</v>
      </c>
      <c r="C23">
        <v>21.99</v>
      </c>
      <c r="D23">
        <v>11.85</v>
      </c>
      <c r="E23">
        <f t="shared" ca="1" si="0"/>
        <v>22.19467718172336</v>
      </c>
      <c r="F23">
        <f t="shared" ca="1" si="1"/>
        <v>-0.20467718172336191</v>
      </c>
      <c r="G23">
        <f t="shared" ca="1" si="2"/>
        <v>-9.2219039748821993E-3</v>
      </c>
      <c r="H23" t="str">
        <f t="shared" ca="1" si="3"/>
        <v>competitive</v>
      </c>
    </row>
    <row r="24" spans="1:8" x14ac:dyDescent="0.3">
      <c r="A24" t="s">
        <v>46</v>
      </c>
      <c r="B24" t="s">
        <v>47</v>
      </c>
      <c r="C24">
        <v>119.99</v>
      </c>
      <c r="D24">
        <v>44.4</v>
      </c>
      <c r="E24">
        <f t="shared" ca="1" si="0"/>
        <v>114.41333707180047</v>
      </c>
      <c r="F24">
        <f t="shared" ca="1" si="1"/>
        <v>5.576662928199525</v>
      </c>
      <c r="G24">
        <f t="shared" ca="1" si="2"/>
        <v>4.8741371162873012E-2</v>
      </c>
      <c r="H24" t="str">
        <f t="shared" ca="1" si="3"/>
        <v>competitive</v>
      </c>
    </row>
    <row r="25" spans="1:8" x14ac:dyDescent="0.3">
      <c r="A25" t="s">
        <v>48</v>
      </c>
      <c r="B25" t="s">
        <v>49</v>
      </c>
      <c r="C25">
        <v>49</v>
      </c>
      <c r="D25">
        <v>15.1</v>
      </c>
      <c r="E25">
        <f t="shared" ca="1" si="0"/>
        <v>48.868930236611234</v>
      </c>
      <c r="F25">
        <f t="shared" ca="1" si="1"/>
        <v>0.13106976338876564</v>
      </c>
      <c r="G25">
        <f t="shared" ca="1" si="2"/>
        <v>2.6820673739768471E-3</v>
      </c>
      <c r="H25" t="str">
        <f t="shared" ca="1" si="3"/>
        <v>competitive</v>
      </c>
    </row>
    <row r="26" spans="1:8" x14ac:dyDescent="0.3">
      <c r="A26" t="s">
        <v>50</v>
      </c>
      <c r="B26" t="s">
        <v>51</v>
      </c>
      <c r="C26">
        <v>48.9</v>
      </c>
      <c r="D26">
        <v>16.600000000000001</v>
      </c>
      <c r="E26">
        <f t="shared" ca="1" si="0"/>
        <v>50.198774313166062</v>
      </c>
      <c r="F26">
        <f t="shared" ca="1" si="1"/>
        <v>-1.2987743131660636</v>
      </c>
      <c r="G26">
        <f t="shared" ca="1" si="2"/>
        <v>-2.5872629978246759E-2</v>
      </c>
      <c r="H26" t="str">
        <f t="shared" ca="1" si="3"/>
        <v>competitive</v>
      </c>
    </row>
    <row r="27" spans="1:8" x14ac:dyDescent="0.3">
      <c r="A27" t="s">
        <v>52</v>
      </c>
      <c r="B27" t="s">
        <v>53</v>
      </c>
      <c r="C27">
        <v>219.9</v>
      </c>
      <c r="D27">
        <v>16.98</v>
      </c>
      <c r="E27">
        <f t="shared" ca="1" si="0"/>
        <v>227.10569379616072</v>
      </c>
      <c r="F27">
        <f t="shared" ca="1" si="1"/>
        <v>-7.2056937961607161</v>
      </c>
      <c r="G27">
        <f t="shared" ca="1" si="2"/>
        <v>-3.1728371383890557E-2</v>
      </c>
      <c r="H27" t="str">
        <f t="shared" ca="1" si="3"/>
        <v>competitive</v>
      </c>
    </row>
    <row r="28" spans="1:8" x14ac:dyDescent="0.3">
      <c r="A28" t="s">
        <v>54</v>
      </c>
      <c r="B28" t="s">
        <v>55</v>
      </c>
      <c r="C28">
        <v>289</v>
      </c>
      <c r="D28">
        <v>26.33</v>
      </c>
      <c r="E28">
        <f t="shared" ca="1" si="0"/>
        <v>300.44359734641552</v>
      </c>
      <c r="F28">
        <f t="shared" ca="1" si="1"/>
        <v>-11.443597346415515</v>
      </c>
      <c r="G28">
        <f t="shared" ca="1" si="2"/>
        <v>-3.8089003884549062E-2</v>
      </c>
      <c r="H28" t="str">
        <f t="shared" ca="1" si="3"/>
        <v>competitive</v>
      </c>
    </row>
    <row r="29" spans="1:8" x14ac:dyDescent="0.3">
      <c r="A29" t="s">
        <v>56</v>
      </c>
      <c r="B29" t="s">
        <v>57</v>
      </c>
      <c r="C29">
        <v>109.9</v>
      </c>
      <c r="D29">
        <v>25.51</v>
      </c>
      <c r="E29">
        <f t="shared" ca="1" si="0"/>
        <v>106.95040221684133</v>
      </c>
      <c r="F29">
        <f t="shared" ca="1" si="1"/>
        <v>2.9495977831586799</v>
      </c>
      <c r="G29">
        <f t="shared" ca="1" si="2"/>
        <v>2.7579118189554701E-2</v>
      </c>
      <c r="H29" t="str">
        <f t="shared" ca="1" si="3"/>
        <v>competitive</v>
      </c>
    </row>
    <row r="30" spans="1:8" x14ac:dyDescent="0.3">
      <c r="A30" t="s">
        <v>58</v>
      </c>
      <c r="B30" t="s">
        <v>59</v>
      </c>
      <c r="C30">
        <v>27.9</v>
      </c>
      <c r="D30">
        <v>7.94</v>
      </c>
      <c r="E30">
        <f t="shared" ca="1" si="0"/>
        <v>27.877093765683188</v>
      </c>
      <c r="F30">
        <f t="shared" ca="1" si="1"/>
        <v>2.290623431681027E-2</v>
      </c>
      <c r="G30">
        <f t="shared" ca="1" si="2"/>
        <v>8.2168659722370101E-4</v>
      </c>
      <c r="H30" t="str">
        <f t="shared" ca="1" si="3"/>
        <v>competitive</v>
      </c>
    </row>
    <row r="31" spans="1:8" x14ac:dyDescent="0.3">
      <c r="A31" t="s">
        <v>60</v>
      </c>
      <c r="B31" t="s">
        <v>61</v>
      </c>
      <c r="C31">
        <v>119.9</v>
      </c>
      <c r="D31">
        <v>17.32</v>
      </c>
      <c r="E31">
        <f t="shared" ca="1" si="0"/>
        <v>119.83073804383763</v>
      </c>
      <c r="F31">
        <f t="shared" ca="1" si="1"/>
        <v>6.9261956162378624E-2</v>
      </c>
      <c r="G31">
        <f t="shared" ca="1" si="2"/>
        <v>5.7799824396508807E-4</v>
      </c>
      <c r="H31" t="str">
        <f t="shared" ca="1" si="3"/>
        <v>competitive</v>
      </c>
    </row>
    <row r="32" spans="1:8" x14ac:dyDescent="0.3">
      <c r="A32" t="s">
        <v>62</v>
      </c>
      <c r="B32" t="s">
        <v>63</v>
      </c>
      <c r="C32">
        <v>397</v>
      </c>
      <c r="D32">
        <v>24.65</v>
      </c>
      <c r="E32">
        <f t="shared" ca="1" si="0"/>
        <v>357.91590143079191</v>
      </c>
      <c r="F32">
        <f t="shared" ca="1" si="1"/>
        <v>39.084098569208095</v>
      </c>
      <c r="G32">
        <f t="shared" ca="1" si="2"/>
        <v>0.10919911189462912</v>
      </c>
      <c r="H32" t="str">
        <f t="shared" ca="1" si="3"/>
        <v>overpriced</v>
      </c>
    </row>
    <row r="33" spans="1:8" x14ac:dyDescent="0.3">
      <c r="A33" t="s">
        <v>64</v>
      </c>
      <c r="B33" t="s">
        <v>65</v>
      </c>
      <c r="C33">
        <v>59.9</v>
      </c>
      <c r="D33">
        <v>23.35</v>
      </c>
      <c r="E33">
        <f t="shared" ca="1" si="0"/>
        <v>62.648560097661615</v>
      </c>
      <c r="F33">
        <f t="shared" ca="1" si="1"/>
        <v>-2.7485600976616169</v>
      </c>
      <c r="G33">
        <f t="shared" ca="1" si="2"/>
        <v>-4.3872677893585108E-2</v>
      </c>
      <c r="H33" t="str">
        <f t="shared" ca="1" si="3"/>
        <v>competitive</v>
      </c>
    </row>
    <row r="34" spans="1:8" x14ac:dyDescent="0.3">
      <c r="A34" t="s">
        <v>66</v>
      </c>
      <c r="B34" t="s">
        <v>67</v>
      </c>
      <c r="C34">
        <v>21.33</v>
      </c>
      <c r="D34">
        <v>15.1</v>
      </c>
      <c r="E34">
        <f t="shared" ca="1" si="0"/>
        <v>20.270963447246817</v>
      </c>
      <c r="F34">
        <f t="shared" ca="1" si="1"/>
        <v>1.0590365527531809</v>
      </c>
      <c r="G34">
        <f t="shared" ca="1" si="2"/>
        <v>5.2244016694579863E-2</v>
      </c>
      <c r="H34" t="str">
        <f t="shared" ca="1" si="3"/>
        <v>overpriced</v>
      </c>
    </row>
    <row r="35" spans="1:8" x14ac:dyDescent="0.3">
      <c r="A35" t="s">
        <v>66</v>
      </c>
      <c r="B35" t="s">
        <v>67</v>
      </c>
      <c r="C35">
        <v>21.33</v>
      </c>
      <c r="D35">
        <v>15.1</v>
      </c>
      <c r="E35">
        <f t="shared" ca="1" si="0"/>
        <v>22.156697796089031</v>
      </c>
      <c r="F35">
        <f t="shared" ca="1" si="1"/>
        <v>-0.82669779608903227</v>
      </c>
      <c r="G35">
        <f t="shared" ca="1" si="2"/>
        <v>-3.731141723812996E-2</v>
      </c>
      <c r="H35" t="str">
        <f t="shared" ca="1" si="3"/>
        <v>competitive</v>
      </c>
    </row>
    <row r="36" spans="1:8" x14ac:dyDescent="0.3">
      <c r="A36" t="s">
        <v>66</v>
      </c>
      <c r="B36" t="s">
        <v>67</v>
      </c>
      <c r="C36">
        <v>21.33</v>
      </c>
      <c r="D36">
        <v>15.1</v>
      </c>
      <c r="E36">
        <f t="shared" ca="1" si="0"/>
        <v>19.746359810959028</v>
      </c>
      <c r="F36">
        <f t="shared" ca="1" si="1"/>
        <v>1.5836401890409704</v>
      </c>
      <c r="G36">
        <f t="shared" ca="1" si="2"/>
        <v>8.0199095134591142E-2</v>
      </c>
      <c r="H36" t="str">
        <f t="shared" ca="1" si="3"/>
        <v>overpriced</v>
      </c>
    </row>
    <row r="37" spans="1:8" x14ac:dyDescent="0.3">
      <c r="A37" t="s">
        <v>68</v>
      </c>
      <c r="B37" t="s">
        <v>69</v>
      </c>
      <c r="C37">
        <v>16.5</v>
      </c>
      <c r="D37">
        <v>14.1</v>
      </c>
      <c r="E37">
        <f t="shared" ca="1" si="0"/>
        <v>15.315867356075916</v>
      </c>
      <c r="F37">
        <f t="shared" ca="1" si="1"/>
        <v>1.1841326439240838</v>
      </c>
      <c r="G37">
        <f t="shared" ca="1" si="2"/>
        <v>7.7314109373918666E-2</v>
      </c>
      <c r="H37" t="str">
        <f t="shared" ca="1" si="3"/>
        <v>overpriced</v>
      </c>
    </row>
    <row r="38" spans="1:8" x14ac:dyDescent="0.3">
      <c r="A38" t="s">
        <v>70</v>
      </c>
      <c r="B38" t="s">
        <v>71</v>
      </c>
      <c r="C38">
        <v>21.9</v>
      </c>
      <c r="D38">
        <v>15.1</v>
      </c>
      <c r="E38">
        <f t="shared" ca="1" si="0"/>
        <v>21.263336489905921</v>
      </c>
      <c r="F38">
        <f t="shared" ca="1" si="1"/>
        <v>0.63666351009407762</v>
      </c>
      <c r="G38">
        <f t="shared" ca="1" si="2"/>
        <v>2.9941844281884594E-2</v>
      </c>
      <c r="H38" t="str">
        <f t="shared" ca="1" si="3"/>
        <v>competitive</v>
      </c>
    </row>
    <row r="39" spans="1:8" x14ac:dyDescent="0.3">
      <c r="A39" t="s">
        <v>72</v>
      </c>
      <c r="B39" t="s">
        <v>73</v>
      </c>
      <c r="C39">
        <v>39</v>
      </c>
      <c r="D39">
        <v>16.11</v>
      </c>
      <c r="E39">
        <f t="shared" ca="1" si="0"/>
        <v>40.449096282789405</v>
      </c>
      <c r="F39">
        <f t="shared" ca="1" si="1"/>
        <v>-1.4490962827894052</v>
      </c>
      <c r="G39">
        <f t="shared" ca="1" si="2"/>
        <v>-3.5825183155104946E-2</v>
      </c>
      <c r="H39" t="str">
        <f t="shared" ca="1" si="3"/>
        <v>competitive</v>
      </c>
    </row>
    <row r="40" spans="1:8" x14ac:dyDescent="0.3">
      <c r="A40" t="s">
        <v>74</v>
      </c>
      <c r="B40" t="s">
        <v>75</v>
      </c>
      <c r="C40">
        <v>49.75</v>
      </c>
      <c r="D40">
        <v>20.8</v>
      </c>
      <c r="E40">
        <f t="shared" ca="1" si="0"/>
        <v>50.718558833564174</v>
      </c>
      <c r="F40">
        <f t="shared" ca="1" si="1"/>
        <v>-0.96855883356417394</v>
      </c>
      <c r="G40">
        <f t="shared" ca="1" si="2"/>
        <v>-1.9096734131238916E-2</v>
      </c>
      <c r="H40" t="str">
        <f t="shared" ca="1" si="3"/>
        <v>competitive</v>
      </c>
    </row>
    <row r="41" spans="1:8" x14ac:dyDescent="0.3">
      <c r="A41" t="s">
        <v>76</v>
      </c>
      <c r="B41" t="s">
        <v>77</v>
      </c>
      <c r="C41">
        <v>809.1</v>
      </c>
      <c r="D41">
        <v>44.29</v>
      </c>
      <c r="E41">
        <f t="shared" ca="1" si="0"/>
        <v>784.2826031278629</v>
      </c>
      <c r="F41">
        <f t="shared" ca="1" si="1"/>
        <v>24.817396872137124</v>
      </c>
      <c r="G41">
        <f t="shared" ca="1" si="2"/>
        <v>3.1643436655563684E-2</v>
      </c>
      <c r="H41" t="str">
        <f t="shared" ca="1" si="3"/>
        <v>competitive</v>
      </c>
    </row>
    <row r="42" spans="1:8" x14ac:dyDescent="0.3">
      <c r="A42" t="s">
        <v>78</v>
      </c>
      <c r="B42" t="s">
        <v>79</v>
      </c>
      <c r="C42">
        <v>99.99</v>
      </c>
      <c r="D42">
        <v>13.72</v>
      </c>
      <c r="E42">
        <f t="shared" ca="1" si="0"/>
        <v>95.772946090722812</v>
      </c>
      <c r="F42">
        <f t="shared" ca="1" si="1"/>
        <v>4.2170539092771833</v>
      </c>
      <c r="G42">
        <f t="shared" ca="1" si="2"/>
        <v>4.4031786442932389E-2</v>
      </c>
      <c r="H42" t="str">
        <f t="shared" ca="1" si="3"/>
        <v>competitive</v>
      </c>
    </row>
    <row r="43" spans="1:8" x14ac:dyDescent="0.3">
      <c r="A43" t="s">
        <v>64</v>
      </c>
      <c r="B43" t="s">
        <v>65</v>
      </c>
      <c r="C43">
        <v>59.9</v>
      </c>
      <c r="D43">
        <v>19.95</v>
      </c>
      <c r="E43">
        <f t="shared" ca="1" si="0"/>
        <v>63.246606389264841</v>
      </c>
      <c r="F43">
        <f t="shared" ca="1" si="1"/>
        <v>-3.3466063892648421</v>
      </c>
      <c r="G43">
        <f t="shared" ca="1" si="2"/>
        <v>-5.2913611975754608E-2</v>
      </c>
      <c r="H43" t="str">
        <f t="shared" ca="1" si="3"/>
        <v>underprived</v>
      </c>
    </row>
    <row r="44" spans="1:8" x14ac:dyDescent="0.3">
      <c r="A44" t="s">
        <v>80</v>
      </c>
      <c r="B44" t="s">
        <v>81</v>
      </c>
      <c r="C44">
        <v>24.89</v>
      </c>
      <c r="D44">
        <v>17.63</v>
      </c>
      <c r="E44">
        <f t="shared" ca="1" si="0"/>
        <v>26.644736335049</v>
      </c>
      <c r="F44">
        <f t="shared" ca="1" si="1"/>
        <v>-1.7547363350489995</v>
      </c>
      <c r="G44">
        <f t="shared" ca="1" si="2"/>
        <v>-6.5856772346468501E-2</v>
      </c>
      <c r="H44" t="str">
        <f t="shared" ca="1" si="3"/>
        <v>underprived</v>
      </c>
    </row>
    <row r="45" spans="1:8" x14ac:dyDescent="0.3">
      <c r="A45" t="s">
        <v>80</v>
      </c>
      <c r="B45" t="s">
        <v>81</v>
      </c>
      <c r="C45">
        <v>24.89</v>
      </c>
      <c r="D45">
        <v>17.63</v>
      </c>
      <c r="E45">
        <f t="shared" ca="1" si="0"/>
        <v>26.370043854055488</v>
      </c>
      <c r="F45">
        <f t="shared" ca="1" si="1"/>
        <v>-1.4800438540554879</v>
      </c>
      <c r="G45">
        <f t="shared" ca="1" si="2"/>
        <v>-5.6125953458657965E-2</v>
      </c>
      <c r="H45" t="str">
        <f t="shared" ca="1" si="3"/>
        <v>underprived</v>
      </c>
    </row>
    <row r="46" spans="1:8" x14ac:dyDescent="0.3">
      <c r="A46" t="s">
        <v>80</v>
      </c>
      <c r="B46" t="s">
        <v>81</v>
      </c>
      <c r="C46">
        <v>24.89</v>
      </c>
      <c r="D46">
        <v>17.63</v>
      </c>
      <c r="E46">
        <f t="shared" ca="1" si="0"/>
        <v>27.011585100556626</v>
      </c>
      <c r="F46">
        <f t="shared" ca="1" si="1"/>
        <v>-2.1215851005566257</v>
      </c>
      <c r="G46">
        <f t="shared" ca="1" si="2"/>
        <v>-7.8543524663900841E-2</v>
      </c>
      <c r="H46" t="str">
        <f t="shared" ca="1" si="3"/>
        <v>underprived</v>
      </c>
    </row>
    <row r="47" spans="1:8" x14ac:dyDescent="0.3">
      <c r="A47" t="s">
        <v>82</v>
      </c>
      <c r="B47" t="s">
        <v>83</v>
      </c>
      <c r="C47">
        <v>54</v>
      </c>
      <c r="D47">
        <v>8.5399999999999991</v>
      </c>
      <c r="E47">
        <f t="shared" ca="1" si="0"/>
        <v>48.994908350404287</v>
      </c>
      <c r="F47">
        <f t="shared" ca="1" si="1"/>
        <v>5.0050916495957125</v>
      </c>
      <c r="G47">
        <f t="shared" ca="1" si="2"/>
        <v>0.1021553426286675</v>
      </c>
      <c r="H47" t="str">
        <f t="shared" ca="1" si="3"/>
        <v>overpriced</v>
      </c>
    </row>
    <row r="48" spans="1:8" x14ac:dyDescent="0.3">
      <c r="A48" t="s">
        <v>84</v>
      </c>
      <c r="B48" t="s">
        <v>85</v>
      </c>
      <c r="C48">
        <v>81.99</v>
      </c>
      <c r="D48">
        <v>13.01</v>
      </c>
      <c r="E48">
        <f t="shared" ca="1" si="0"/>
        <v>87.03867644802817</v>
      </c>
      <c r="F48">
        <f t="shared" ca="1" si="1"/>
        <v>-5.0486764480281749</v>
      </c>
      <c r="G48">
        <f t="shared" ca="1" si="2"/>
        <v>-5.8004977259078612E-2</v>
      </c>
      <c r="H48" t="str">
        <f t="shared" ca="1" si="3"/>
        <v>underprived</v>
      </c>
    </row>
    <row r="49" spans="1:8" x14ac:dyDescent="0.3">
      <c r="A49" t="s">
        <v>86</v>
      </c>
      <c r="B49" t="s">
        <v>29</v>
      </c>
      <c r="C49">
        <v>99</v>
      </c>
      <c r="D49">
        <v>13.71</v>
      </c>
      <c r="E49">
        <f t="shared" ca="1" si="0"/>
        <v>90.221545414237625</v>
      </c>
      <c r="F49">
        <f t="shared" ca="1" si="1"/>
        <v>8.7784545857623755</v>
      </c>
      <c r="G49">
        <f t="shared" ca="1" si="2"/>
        <v>9.7298871854361632E-2</v>
      </c>
      <c r="H49" t="str">
        <f t="shared" ca="1" si="3"/>
        <v>overpriced</v>
      </c>
    </row>
    <row r="50" spans="1:8" x14ac:dyDescent="0.3">
      <c r="A50" t="s">
        <v>87</v>
      </c>
      <c r="B50" t="s">
        <v>88</v>
      </c>
      <c r="C50">
        <v>18.989999999999998</v>
      </c>
      <c r="D50">
        <v>7.78</v>
      </c>
      <c r="E50">
        <f t="shared" ca="1" si="0"/>
        <v>20.353824847514126</v>
      </c>
      <c r="F50">
        <f t="shared" ca="1" si="1"/>
        <v>-1.3638248475141275</v>
      </c>
      <c r="G50">
        <f t="shared" ca="1" si="2"/>
        <v>-6.7005826066185076E-2</v>
      </c>
      <c r="H50" t="str">
        <f t="shared" ca="1" si="3"/>
        <v>underprived</v>
      </c>
    </row>
    <row r="51" spans="1:8" x14ac:dyDescent="0.3">
      <c r="A51" t="s">
        <v>87</v>
      </c>
      <c r="B51" t="s">
        <v>88</v>
      </c>
      <c r="C51">
        <v>18.989999999999998</v>
      </c>
      <c r="D51">
        <v>7.78</v>
      </c>
      <c r="E51">
        <f t="shared" ca="1" si="0"/>
        <v>17.716499512093932</v>
      </c>
      <c r="F51">
        <f t="shared" ca="1" si="1"/>
        <v>1.2735004879060661</v>
      </c>
      <c r="G51">
        <f t="shared" ca="1" si="2"/>
        <v>7.1882173283538769E-2</v>
      </c>
      <c r="H51" t="str">
        <f t="shared" ca="1" si="3"/>
        <v>overpriced</v>
      </c>
    </row>
    <row r="52" spans="1:8" x14ac:dyDescent="0.3">
      <c r="A52" t="s">
        <v>89</v>
      </c>
      <c r="B52" t="s">
        <v>90</v>
      </c>
      <c r="C52">
        <v>38.33</v>
      </c>
      <c r="D52">
        <v>16.79</v>
      </c>
      <c r="E52">
        <f t="shared" ca="1" si="0"/>
        <v>37.589132630660046</v>
      </c>
      <c r="F52">
        <f t="shared" ca="1" si="1"/>
        <v>0.74086736933995212</v>
      </c>
      <c r="G52">
        <f t="shared" ca="1" si="2"/>
        <v>1.9709615984478832E-2</v>
      </c>
      <c r="H52" t="str">
        <f t="shared" ca="1" si="3"/>
        <v>competitive</v>
      </c>
    </row>
    <row r="53" spans="1:8" x14ac:dyDescent="0.3">
      <c r="A53" t="s">
        <v>91</v>
      </c>
      <c r="B53" t="s">
        <v>29</v>
      </c>
      <c r="C53">
        <v>69.900000000000006</v>
      </c>
      <c r="D53">
        <v>18</v>
      </c>
      <c r="E53">
        <f t="shared" ca="1" si="0"/>
        <v>76.211708198277421</v>
      </c>
      <c r="F53">
        <f t="shared" ca="1" si="1"/>
        <v>-6.3117081982774152</v>
      </c>
      <c r="G53">
        <f t="shared" ca="1" si="2"/>
        <v>-8.2818091176443093E-2</v>
      </c>
      <c r="H53" t="str">
        <f t="shared" ca="1" si="3"/>
        <v>underprived</v>
      </c>
    </row>
    <row r="54" spans="1:8" x14ac:dyDescent="0.3">
      <c r="A54" t="s">
        <v>92</v>
      </c>
      <c r="B54" t="s">
        <v>93</v>
      </c>
      <c r="C54">
        <v>195</v>
      </c>
      <c r="D54">
        <v>18.21</v>
      </c>
      <c r="E54">
        <f t="shared" ca="1" si="0"/>
        <v>194.04092323861988</v>
      </c>
      <c r="F54">
        <f t="shared" ca="1" si="1"/>
        <v>0.95907676138011766</v>
      </c>
      <c r="G54">
        <f t="shared" ca="1" si="2"/>
        <v>4.9426520208868657E-3</v>
      </c>
      <c r="H54" t="str">
        <f t="shared" ca="1" si="3"/>
        <v>competitive</v>
      </c>
    </row>
    <row r="55" spans="1:8" x14ac:dyDescent="0.3">
      <c r="A55" t="s">
        <v>94</v>
      </c>
      <c r="B55" t="s">
        <v>95</v>
      </c>
      <c r="C55">
        <v>35.9</v>
      </c>
      <c r="D55">
        <v>15.2</v>
      </c>
      <c r="E55">
        <f t="shared" ca="1" si="0"/>
        <v>39.486308798184538</v>
      </c>
      <c r="F55">
        <f t="shared" ca="1" si="1"/>
        <v>-3.5863087981845396</v>
      </c>
      <c r="G55">
        <f t="shared" ca="1" si="2"/>
        <v>-9.0824108592024874E-2</v>
      </c>
      <c r="H55" t="str">
        <f t="shared" ca="1" si="3"/>
        <v>underprived</v>
      </c>
    </row>
    <row r="56" spans="1:8" x14ac:dyDescent="0.3">
      <c r="A56" t="s">
        <v>96</v>
      </c>
      <c r="B56" t="s">
        <v>97</v>
      </c>
      <c r="C56">
        <v>79.5</v>
      </c>
      <c r="D56">
        <v>21.05</v>
      </c>
      <c r="E56">
        <f t="shared" ca="1" si="0"/>
        <v>77.628437751819007</v>
      </c>
      <c r="F56">
        <f t="shared" ca="1" si="1"/>
        <v>1.871562248180993</v>
      </c>
      <c r="G56">
        <f t="shared" ca="1" si="2"/>
        <v>2.4109234996644489E-2</v>
      </c>
      <c r="H56" t="str">
        <f t="shared" ca="1" si="3"/>
        <v>competitive</v>
      </c>
    </row>
    <row r="57" spans="1:8" x14ac:dyDescent="0.3">
      <c r="A57" t="s">
        <v>98</v>
      </c>
      <c r="B57" t="s">
        <v>99</v>
      </c>
      <c r="C57">
        <v>29.99</v>
      </c>
      <c r="D57">
        <v>15.1</v>
      </c>
      <c r="E57">
        <f t="shared" ca="1" si="0"/>
        <v>31.986455243569299</v>
      </c>
      <c r="F57">
        <f t="shared" ca="1" si="1"/>
        <v>-1.9964552435693008</v>
      </c>
      <c r="G57">
        <f t="shared" ca="1" si="2"/>
        <v>-6.2415645258806135E-2</v>
      </c>
      <c r="H57" t="str">
        <f t="shared" ca="1" si="3"/>
        <v>underprived</v>
      </c>
    </row>
    <row r="58" spans="1:8" x14ac:dyDescent="0.3">
      <c r="A58" t="s">
        <v>100</v>
      </c>
      <c r="B58" t="s">
        <v>101</v>
      </c>
      <c r="C58">
        <v>109.9</v>
      </c>
      <c r="D58">
        <v>13.21</v>
      </c>
      <c r="E58">
        <f t="shared" ca="1" si="0"/>
        <v>105.5329039530862</v>
      </c>
      <c r="F58">
        <f t="shared" ca="1" si="1"/>
        <v>4.3670960469138009</v>
      </c>
      <c r="G58">
        <f t="shared" ca="1" si="2"/>
        <v>4.1381369064336163E-2</v>
      </c>
      <c r="H58" t="str">
        <f t="shared" ca="1" si="3"/>
        <v>competitive</v>
      </c>
    </row>
    <row r="59" spans="1:8" x14ac:dyDescent="0.3">
      <c r="A59" t="s">
        <v>102</v>
      </c>
      <c r="B59" t="s">
        <v>103</v>
      </c>
      <c r="C59">
        <v>74.900000000000006</v>
      </c>
      <c r="D59">
        <v>16.489999999999998</v>
      </c>
      <c r="E59">
        <f t="shared" ca="1" si="0"/>
        <v>73.697246434151737</v>
      </c>
      <c r="F59">
        <f t="shared" ca="1" si="1"/>
        <v>1.2027535658482691</v>
      </c>
      <c r="G59">
        <f t="shared" ca="1" si="2"/>
        <v>1.6320196805764318E-2</v>
      </c>
      <c r="H59" t="str">
        <f t="shared" ca="1" si="3"/>
        <v>competitive</v>
      </c>
    </row>
    <row r="60" spans="1:8" x14ac:dyDescent="0.3">
      <c r="A60" t="s">
        <v>104</v>
      </c>
      <c r="B60" t="s">
        <v>105</v>
      </c>
      <c r="C60">
        <v>14.95</v>
      </c>
      <c r="D60">
        <v>18.23</v>
      </c>
      <c r="E60">
        <f t="shared" ca="1" si="0"/>
        <v>15.761666392703177</v>
      </c>
      <c r="F60">
        <f t="shared" ca="1" si="1"/>
        <v>-0.81166639270317731</v>
      </c>
      <c r="G60">
        <f t="shared" ca="1" si="2"/>
        <v>-5.1496229680317064E-2</v>
      </c>
      <c r="H60" t="str">
        <f t="shared" ca="1" si="3"/>
        <v>underprived</v>
      </c>
    </row>
    <row r="61" spans="1:8" x14ac:dyDescent="0.3">
      <c r="A61" t="s">
        <v>106</v>
      </c>
      <c r="B61" t="s">
        <v>107</v>
      </c>
      <c r="C61">
        <v>149.9</v>
      </c>
      <c r="D61">
        <v>43.11</v>
      </c>
      <c r="E61">
        <f t="shared" ca="1" si="0"/>
        <v>147.56946673738855</v>
      </c>
      <c r="F61">
        <f t="shared" ca="1" si="1"/>
        <v>2.3305332626114534</v>
      </c>
      <c r="G61">
        <f t="shared" ca="1" si="2"/>
        <v>1.5792787723213911E-2</v>
      </c>
      <c r="H61" t="str">
        <f t="shared" ca="1" si="3"/>
        <v>competitive</v>
      </c>
    </row>
    <row r="62" spans="1:8" x14ac:dyDescent="0.3">
      <c r="A62" t="s">
        <v>108</v>
      </c>
      <c r="B62" t="s">
        <v>109</v>
      </c>
      <c r="C62">
        <v>19.989999999999998</v>
      </c>
      <c r="D62">
        <v>14.1</v>
      </c>
      <c r="E62">
        <f t="shared" ca="1" si="0"/>
        <v>20.941039009494382</v>
      </c>
      <c r="F62">
        <f t="shared" ca="1" si="1"/>
        <v>-0.95103900949438369</v>
      </c>
      <c r="G62">
        <f t="shared" ca="1" si="2"/>
        <v>-4.5415082272813469E-2</v>
      </c>
      <c r="H62" t="str">
        <f t="shared" ca="1" si="3"/>
        <v>competitive</v>
      </c>
    </row>
    <row r="63" spans="1:8" x14ac:dyDescent="0.3">
      <c r="A63" t="s">
        <v>110</v>
      </c>
      <c r="B63" t="s">
        <v>111</v>
      </c>
      <c r="C63">
        <v>390</v>
      </c>
      <c r="D63">
        <v>29.39</v>
      </c>
      <c r="E63">
        <f t="shared" ca="1" si="0"/>
        <v>420.45745343672576</v>
      </c>
      <c r="F63">
        <f t="shared" ca="1" si="1"/>
        <v>-30.457453436725757</v>
      </c>
      <c r="G63">
        <f t="shared" ca="1" si="2"/>
        <v>-7.2438847706880458E-2</v>
      </c>
      <c r="H63" t="str">
        <f t="shared" ca="1" si="3"/>
        <v>underprived</v>
      </c>
    </row>
    <row r="64" spans="1:8" x14ac:dyDescent="0.3">
      <c r="A64" t="s">
        <v>112</v>
      </c>
      <c r="B64" t="s">
        <v>113</v>
      </c>
      <c r="C64">
        <v>135</v>
      </c>
      <c r="D64">
        <v>21.75</v>
      </c>
      <c r="E64">
        <f t="shared" ca="1" si="0"/>
        <v>143.51899876933092</v>
      </c>
      <c r="F64">
        <f t="shared" ca="1" si="1"/>
        <v>-8.5189987693309206</v>
      </c>
      <c r="G64">
        <f t="shared" ca="1" si="2"/>
        <v>-5.9357986345926039E-2</v>
      </c>
      <c r="H64" t="str">
        <f t="shared" ca="1" si="3"/>
        <v>underprived</v>
      </c>
    </row>
    <row r="65" spans="1:8" x14ac:dyDescent="0.3">
      <c r="A65" t="s">
        <v>114</v>
      </c>
      <c r="B65" t="s">
        <v>115</v>
      </c>
      <c r="C65">
        <v>104</v>
      </c>
      <c r="D65">
        <v>16.43</v>
      </c>
      <c r="E65">
        <f t="shared" ca="1" si="0"/>
        <v>99.382766052764453</v>
      </c>
      <c r="F65">
        <f t="shared" ca="1" si="1"/>
        <v>4.6172339472355475</v>
      </c>
      <c r="G65">
        <f t="shared" ca="1" si="2"/>
        <v>4.645910081416086E-2</v>
      </c>
      <c r="H65" t="str">
        <f t="shared" ca="1" si="3"/>
        <v>competitive</v>
      </c>
    </row>
    <row r="66" spans="1:8" x14ac:dyDescent="0.3">
      <c r="A66" t="s">
        <v>116</v>
      </c>
      <c r="B66" t="s">
        <v>117</v>
      </c>
      <c r="C66">
        <v>149</v>
      </c>
      <c r="D66">
        <v>15.8</v>
      </c>
      <c r="E66">
        <f t="shared" ca="1" si="0"/>
        <v>134.35602830234652</v>
      </c>
      <c r="F66">
        <f t="shared" ca="1" si="1"/>
        <v>14.643971697653484</v>
      </c>
      <c r="G66">
        <f t="shared" ca="1" si="2"/>
        <v>0.10899378228641586</v>
      </c>
      <c r="H66" t="str">
        <f t="shared" ca="1" si="3"/>
        <v>overpriced</v>
      </c>
    </row>
    <row r="67" spans="1:8" x14ac:dyDescent="0.3">
      <c r="A67" t="s">
        <v>118</v>
      </c>
      <c r="B67" t="s">
        <v>119</v>
      </c>
      <c r="C67">
        <v>279.89999999999998</v>
      </c>
      <c r="D67">
        <v>13.46</v>
      </c>
      <c r="E67">
        <f t="shared" ref="E67:E130" ca="1" si="4">C67*(1+RAND()*0.2-0.1)</f>
        <v>252.58131516716102</v>
      </c>
      <c r="F67">
        <f t="shared" ref="F67:F130" ca="1" si="5">C67-E67</f>
        <v>27.318684832838954</v>
      </c>
      <c r="G67">
        <f t="shared" ref="G67:G130" ca="1" si="6">(C67-E67)/E67</f>
        <v>0.10815797999451843</v>
      </c>
      <c r="H67" t="str">
        <f t="shared" ref="H67:H130" ca="1" si="7">IF(E67="","competitive",IF(ABS(C67-E67)/E67&lt;=0.05,"competitive",IF(C67&gt;E67,"overpriced","underprived")))</f>
        <v>overpriced</v>
      </c>
    </row>
    <row r="68" spans="1:8" x14ac:dyDescent="0.3">
      <c r="A68" t="s">
        <v>120</v>
      </c>
      <c r="B68" t="s">
        <v>121</v>
      </c>
      <c r="C68">
        <v>44.9</v>
      </c>
      <c r="D68">
        <v>23.22</v>
      </c>
      <c r="E68">
        <f t="shared" ca="1" si="4"/>
        <v>47.33049591689867</v>
      </c>
      <c r="F68">
        <f t="shared" ca="1" si="5"/>
        <v>-2.4304959168986713</v>
      </c>
      <c r="G68">
        <f t="shared" ca="1" si="6"/>
        <v>-5.1351583578715429E-2</v>
      </c>
      <c r="H68" t="str">
        <f t="shared" ca="1" si="7"/>
        <v>underprived</v>
      </c>
    </row>
    <row r="69" spans="1:8" x14ac:dyDescent="0.3">
      <c r="A69" t="s">
        <v>122</v>
      </c>
      <c r="B69" t="s">
        <v>45</v>
      </c>
      <c r="C69">
        <v>37.99</v>
      </c>
      <c r="D69">
        <v>19.18</v>
      </c>
      <c r="E69">
        <f t="shared" ca="1" si="4"/>
        <v>38.777980894887037</v>
      </c>
      <c r="F69">
        <f t="shared" ca="1" si="5"/>
        <v>-0.78798089488703482</v>
      </c>
      <c r="G69">
        <f t="shared" ca="1" si="6"/>
        <v>-2.0320317786090093E-2</v>
      </c>
      <c r="H69" t="str">
        <f t="shared" ca="1" si="7"/>
        <v>competitive</v>
      </c>
    </row>
    <row r="70" spans="1:8" x14ac:dyDescent="0.3">
      <c r="A70" t="s">
        <v>123</v>
      </c>
      <c r="B70" t="s">
        <v>111</v>
      </c>
      <c r="C70">
        <v>29.99</v>
      </c>
      <c r="D70">
        <v>15.31</v>
      </c>
      <c r="E70">
        <f t="shared" ca="1" si="4"/>
        <v>31.577454079580708</v>
      </c>
      <c r="F70">
        <f t="shared" ca="1" si="5"/>
        <v>-1.5874540795807093</v>
      </c>
      <c r="G70">
        <f t="shared" ca="1" si="6"/>
        <v>-5.027175641139553E-2</v>
      </c>
      <c r="H70" t="str">
        <f t="shared" ca="1" si="7"/>
        <v>underprived</v>
      </c>
    </row>
    <row r="71" spans="1:8" x14ac:dyDescent="0.3">
      <c r="A71" t="s">
        <v>124</v>
      </c>
      <c r="B71" t="s">
        <v>125</v>
      </c>
      <c r="C71">
        <v>120</v>
      </c>
      <c r="D71">
        <v>15.59</v>
      </c>
      <c r="E71">
        <f t="shared" ca="1" si="4"/>
        <v>115.56877490799206</v>
      </c>
      <c r="F71">
        <f t="shared" ca="1" si="5"/>
        <v>4.431225092007935</v>
      </c>
      <c r="G71">
        <f t="shared" ca="1" si="6"/>
        <v>3.834275387565346E-2</v>
      </c>
      <c r="H71" t="str">
        <f t="shared" ca="1" si="7"/>
        <v>competitive</v>
      </c>
    </row>
    <row r="72" spans="1:8" x14ac:dyDescent="0.3">
      <c r="A72" t="s">
        <v>126</v>
      </c>
      <c r="B72" t="s">
        <v>127</v>
      </c>
      <c r="C72">
        <v>492.75</v>
      </c>
      <c r="D72">
        <v>21.62</v>
      </c>
      <c r="E72">
        <f t="shared" ca="1" si="4"/>
        <v>454.38528779652773</v>
      </c>
      <c r="F72">
        <f t="shared" ca="1" si="5"/>
        <v>38.364712203472266</v>
      </c>
      <c r="G72">
        <f t="shared" ca="1" si="6"/>
        <v>8.4432117926872358E-2</v>
      </c>
      <c r="H72" t="str">
        <f t="shared" ca="1" si="7"/>
        <v>overpriced</v>
      </c>
    </row>
    <row r="73" spans="1:8" x14ac:dyDescent="0.3">
      <c r="A73" t="s">
        <v>128</v>
      </c>
      <c r="B73" t="s">
        <v>129</v>
      </c>
      <c r="C73">
        <v>94.9</v>
      </c>
      <c r="D73">
        <v>18.54</v>
      </c>
      <c r="E73">
        <f t="shared" ca="1" si="4"/>
        <v>86.388158712208551</v>
      </c>
      <c r="F73">
        <f t="shared" ca="1" si="5"/>
        <v>8.5118412877914551</v>
      </c>
      <c r="G73">
        <f t="shared" ca="1" si="6"/>
        <v>9.8530185324907774E-2</v>
      </c>
      <c r="H73" t="str">
        <f t="shared" ca="1" si="7"/>
        <v>overpriced</v>
      </c>
    </row>
    <row r="74" spans="1:8" x14ac:dyDescent="0.3">
      <c r="A74" t="s">
        <v>130</v>
      </c>
      <c r="B74" t="s">
        <v>131</v>
      </c>
      <c r="C74">
        <v>88.34</v>
      </c>
      <c r="D74">
        <v>21.11</v>
      </c>
      <c r="E74">
        <f t="shared" ca="1" si="4"/>
        <v>90.531804386051419</v>
      </c>
      <c r="F74">
        <f t="shared" ca="1" si="5"/>
        <v>-2.191804386051416</v>
      </c>
      <c r="G74">
        <f t="shared" ca="1" si="6"/>
        <v>-2.4210324768354177E-2</v>
      </c>
      <c r="H74" t="str">
        <f t="shared" ca="1" si="7"/>
        <v>competitive</v>
      </c>
    </row>
    <row r="75" spans="1:8" x14ac:dyDescent="0.3">
      <c r="A75" t="s">
        <v>132</v>
      </c>
      <c r="B75" t="s">
        <v>79</v>
      </c>
      <c r="C75">
        <v>199.99</v>
      </c>
      <c r="D75">
        <v>65.56</v>
      </c>
      <c r="E75">
        <f t="shared" ca="1" si="4"/>
        <v>187.04466502523093</v>
      </c>
      <c r="F75">
        <f t="shared" ca="1" si="5"/>
        <v>12.945334974769082</v>
      </c>
      <c r="G75">
        <f t="shared" ca="1" si="6"/>
        <v>6.9209859436636989E-2</v>
      </c>
      <c r="H75" t="str">
        <f t="shared" ca="1" si="7"/>
        <v>overpriced</v>
      </c>
    </row>
    <row r="76" spans="1:8" x14ac:dyDescent="0.3">
      <c r="A76" t="s">
        <v>133</v>
      </c>
      <c r="B76" t="s">
        <v>134</v>
      </c>
      <c r="C76">
        <v>99.9</v>
      </c>
      <c r="D76">
        <v>19.670000000000002</v>
      </c>
      <c r="E76">
        <f t="shared" ca="1" si="4"/>
        <v>107.58094881093699</v>
      </c>
      <c r="F76">
        <f t="shared" ca="1" si="5"/>
        <v>-7.6809488109369823</v>
      </c>
      <c r="G76">
        <f t="shared" ca="1" si="6"/>
        <v>-7.1396923859032888E-2</v>
      </c>
      <c r="H76" t="str">
        <f t="shared" ca="1" si="7"/>
        <v>underprived</v>
      </c>
    </row>
    <row r="77" spans="1:8" x14ac:dyDescent="0.3">
      <c r="A77" t="s">
        <v>135</v>
      </c>
      <c r="B77" t="s">
        <v>136</v>
      </c>
      <c r="C77">
        <v>78</v>
      </c>
      <c r="D77">
        <v>8.9</v>
      </c>
      <c r="E77">
        <f t="shared" ca="1" si="4"/>
        <v>79.257548227973331</v>
      </c>
      <c r="F77">
        <f t="shared" ca="1" si="5"/>
        <v>-1.2575482279733308</v>
      </c>
      <c r="G77">
        <f t="shared" ca="1" si="6"/>
        <v>-1.5866605214132638E-2</v>
      </c>
      <c r="H77" t="str">
        <f t="shared" ca="1" si="7"/>
        <v>competitive</v>
      </c>
    </row>
    <row r="78" spans="1:8" x14ac:dyDescent="0.3">
      <c r="A78" t="s">
        <v>135</v>
      </c>
      <c r="B78" t="s">
        <v>136</v>
      </c>
      <c r="C78">
        <v>78</v>
      </c>
      <c r="D78">
        <v>8.9</v>
      </c>
      <c r="E78">
        <f t="shared" ca="1" si="4"/>
        <v>72.873048396193653</v>
      </c>
      <c r="F78">
        <f t="shared" ca="1" si="5"/>
        <v>5.1269516038063472</v>
      </c>
      <c r="G78">
        <f t="shared" ca="1" si="6"/>
        <v>7.0354564775886905E-2</v>
      </c>
      <c r="H78" t="str">
        <f t="shared" ca="1" si="7"/>
        <v>overpriced</v>
      </c>
    </row>
    <row r="79" spans="1:8" x14ac:dyDescent="0.3">
      <c r="A79" t="s">
        <v>137</v>
      </c>
      <c r="B79" t="s">
        <v>37</v>
      </c>
      <c r="C79">
        <v>155</v>
      </c>
      <c r="D79">
        <v>14.84</v>
      </c>
      <c r="E79">
        <f t="shared" ca="1" si="4"/>
        <v>151.54025339508087</v>
      </c>
      <c r="F79">
        <f t="shared" ca="1" si="5"/>
        <v>3.4597466049191326</v>
      </c>
      <c r="G79">
        <f t="shared" ca="1" si="6"/>
        <v>2.2830545201077506E-2</v>
      </c>
      <c r="H79" t="str">
        <f t="shared" ca="1" si="7"/>
        <v>competitive</v>
      </c>
    </row>
    <row r="80" spans="1:8" x14ac:dyDescent="0.3">
      <c r="A80" t="s">
        <v>138</v>
      </c>
      <c r="B80" t="s">
        <v>139</v>
      </c>
      <c r="C80">
        <v>249.9</v>
      </c>
      <c r="D80">
        <v>34.229999999999997</v>
      </c>
      <c r="E80">
        <f t="shared" ca="1" si="4"/>
        <v>240.06909283032167</v>
      </c>
      <c r="F80">
        <f t="shared" ca="1" si="5"/>
        <v>9.8309071696783406</v>
      </c>
      <c r="G80">
        <f t="shared" ca="1" si="6"/>
        <v>4.0950324149501088E-2</v>
      </c>
      <c r="H80" t="str">
        <f t="shared" ca="1" si="7"/>
        <v>competitive</v>
      </c>
    </row>
    <row r="81" spans="1:8" x14ac:dyDescent="0.3">
      <c r="A81" t="s">
        <v>140</v>
      </c>
      <c r="B81" t="s">
        <v>141</v>
      </c>
      <c r="C81">
        <v>53.98</v>
      </c>
      <c r="D81">
        <v>23.31</v>
      </c>
      <c r="E81">
        <f t="shared" ca="1" si="4"/>
        <v>49.816027731103844</v>
      </c>
      <c r="F81">
        <f t="shared" ca="1" si="5"/>
        <v>4.1639722688961527</v>
      </c>
      <c r="G81">
        <f t="shared" ca="1" si="6"/>
        <v>8.3586999175694524E-2</v>
      </c>
      <c r="H81" t="str">
        <f t="shared" ca="1" si="7"/>
        <v>overpriced</v>
      </c>
    </row>
    <row r="82" spans="1:8" x14ac:dyDescent="0.3">
      <c r="A82" t="s">
        <v>142</v>
      </c>
      <c r="B82" t="s">
        <v>143</v>
      </c>
      <c r="C82">
        <v>8.99</v>
      </c>
      <c r="D82">
        <v>32.57</v>
      </c>
      <c r="E82">
        <f t="shared" ca="1" si="4"/>
        <v>9.3496387831262329</v>
      </c>
      <c r="F82">
        <f t="shared" ca="1" si="5"/>
        <v>-0.35963878312623265</v>
      </c>
      <c r="G82">
        <f t="shared" ca="1" si="6"/>
        <v>-3.8465527007876602E-2</v>
      </c>
      <c r="H82" t="str">
        <f t="shared" ca="1" si="7"/>
        <v>competitive</v>
      </c>
    </row>
    <row r="83" spans="1:8" x14ac:dyDescent="0.3">
      <c r="A83" t="s">
        <v>144</v>
      </c>
      <c r="B83" t="s">
        <v>145</v>
      </c>
      <c r="C83">
        <v>44.9</v>
      </c>
      <c r="D83">
        <v>7.16</v>
      </c>
      <c r="E83">
        <f t="shared" ca="1" si="4"/>
        <v>42.018493703420539</v>
      </c>
      <c r="F83">
        <f t="shared" ca="1" si="5"/>
        <v>2.8815062965794596</v>
      </c>
      <c r="G83">
        <f t="shared" ca="1" si="6"/>
        <v>6.8577096478470115E-2</v>
      </c>
      <c r="H83" t="str">
        <f t="shared" ca="1" si="7"/>
        <v>overpriced</v>
      </c>
    </row>
    <row r="84" spans="1:8" x14ac:dyDescent="0.3">
      <c r="A84" t="s">
        <v>146</v>
      </c>
      <c r="B84" t="s">
        <v>147</v>
      </c>
      <c r="C84">
        <v>60.6</v>
      </c>
      <c r="D84">
        <v>17.670000000000002</v>
      </c>
      <c r="E84">
        <f t="shared" ca="1" si="4"/>
        <v>62.011810748771076</v>
      </c>
      <c r="F84">
        <f t="shared" ca="1" si="5"/>
        <v>-1.4118107487710745</v>
      </c>
      <c r="G84">
        <f t="shared" ca="1" si="6"/>
        <v>-2.2766804125277911E-2</v>
      </c>
      <c r="H84" t="str">
        <f t="shared" ca="1" si="7"/>
        <v>competitive</v>
      </c>
    </row>
    <row r="85" spans="1:8" x14ac:dyDescent="0.3">
      <c r="A85" t="s">
        <v>148</v>
      </c>
      <c r="B85" t="s">
        <v>149</v>
      </c>
      <c r="C85">
        <v>225</v>
      </c>
      <c r="D85">
        <v>67.239999999999995</v>
      </c>
      <c r="E85">
        <f t="shared" ca="1" si="4"/>
        <v>222.74007149471126</v>
      </c>
      <c r="F85">
        <f t="shared" ca="1" si="5"/>
        <v>2.259928505288741</v>
      </c>
      <c r="G85">
        <f t="shared" ca="1" si="6"/>
        <v>1.0146034748589909E-2</v>
      </c>
      <c r="H85" t="str">
        <f t="shared" ca="1" si="7"/>
        <v>competitive</v>
      </c>
    </row>
    <row r="86" spans="1:8" x14ac:dyDescent="0.3">
      <c r="A86" t="s">
        <v>150</v>
      </c>
      <c r="B86" t="s">
        <v>151</v>
      </c>
      <c r="C86">
        <v>39.9</v>
      </c>
      <c r="D86">
        <v>15.38</v>
      </c>
      <c r="E86">
        <f t="shared" ca="1" si="4"/>
        <v>41.496380159021356</v>
      </c>
      <c r="F86">
        <f t="shared" ca="1" si="5"/>
        <v>-1.5963801590213578</v>
      </c>
      <c r="G86">
        <f t="shared" ca="1" si="6"/>
        <v>-3.8470347362920598E-2</v>
      </c>
      <c r="H86" t="str">
        <f t="shared" ca="1" si="7"/>
        <v>competitive</v>
      </c>
    </row>
    <row r="87" spans="1:8" x14ac:dyDescent="0.3">
      <c r="A87" t="s">
        <v>152</v>
      </c>
      <c r="B87" t="s">
        <v>153</v>
      </c>
      <c r="C87">
        <v>76</v>
      </c>
      <c r="D87">
        <v>34.07</v>
      </c>
      <c r="E87">
        <f t="shared" ca="1" si="4"/>
        <v>81.622548340545066</v>
      </c>
      <c r="F87">
        <f t="shared" ca="1" si="5"/>
        <v>-5.622548340545066</v>
      </c>
      <c r="G87">
        <f t="shared" ca="1" si="6"/>
        <v>-6.8884743920107794E-2</v>
      </c>
      <c r="H87" t="str">
        <f t="shared" ca="1" si="7"/>
        <v>underprived</v>
      </c>
    </row>
    <row r="88" spans="1:8" x14ac:dyDescent="0.3">
      <c r="A88" t="s">
        <v>154</v>
      </c>
      <c r="B88" t="s">
        <v>155</v>
      </c>
      <c r="C88">
        <v>159</v>
      </c>
      <c r="D88">
        <v>27.19</v>
      </c>
      <c r="E88">
        <f t="shared" ca="1" si="4"/>
        <v>160.37887858895391</v>
      </c>
      <c r="F88">
        <f t="shared" ca="1" si="5"/>
        <v>-1.3788785889539099</v>
      </c>
      <c r="G88">
        <f t="shared" ca="1" si="6"/>
        <v>-8.5976320640570938E-3</v>
      </c>
      <c r="H88" t="str">
        <f t="shared" ca="1" si="7"/>
        <v>competitive</v>
      </c>
    </row>
    <row r="89" spans="1:8" x14ac:dyDescent="0.3">
      <c r="A89" t="s">
        <v>156</v>
      </c>
      <c r="B89" t="s">
        <v>157</v>
      </c>
      <c r="C89">
        <v>102.9</v>
      </c>
      <c r="D89">
        <v>14.45</v>
      </c>
      <c r="E89">
        <f t="shared" ca="1" si="4"/>
        <v>103.13213091044759</v>
      </c>
      <c r="F89">
        <f t="shared" ca="1" si="5"/>
        <v>-0.23213091044758016</v>
      </c>
      <c r="G89">
        <f t="shared" ca="1" si="6"/>
        <v>-2.2508107647765535E-3</v>
      </c>
      <c r="H89" t="str">
        <f t="shared" ca="1" si="7"/>
        <v>competitive</v>
      </c>
    </row>
    <row r="90" spans="1:8" x14ac:dyDescent="0.3">
      <c r="A90" t="s">
        <v>156</v>
      </c>
      <c r="B90" t="s">
        <v>157</v>
      </c>
      <c r="C90">
        <v>102.9</v>
      </c>
      <c r="D90">
        <v>14.45</v>
      </c>
      <c r="E90">
        <f t="shared" ca="1" si="4"/>
        <v>100.90436080467559</v>
      </c>
      <c r="F90">
        <f t="shared" ca="1" si="5"/>
        <v>1.995639195324415</v>
      </c>
      <c r="G90">
        <f t="shared" ca="1" si="6"/>
        <v>1.9777531708341622E-2</v>
      </c>
      <c r="H90" t="str">
        <f t="shared" ca="1" si="7"/>
        <v>competitive</v>
      </c>
    </row>
    <row r="91" spans="1:8" x14ac:dyDescent="0.3">
      <c r="A91" t="s">
        <v>158</v>
      </c>
      <c r="B91" t="s">
        <v>159</v>
      </c>
      <c r="C91">
        <v>63.9</v>
      </c>
      <c r="D91">
        <v>16.89</v>
      </c>
      <c r="E91">
        <f t="shared" ca="1" si="4"/>
        <v>66.682362670868002</v>
      </c>
      <c r="F91">
        <f t="shared" ca="1" si="5"/>
        <v>-2.7823626708680038</v>
      </c>
      <c r="G91">
        <f t="shared" ca="1" si="6"/>
        <v>-4.1725616181316781E-2</v>
      </c>
      <c r="H91" t="str">
        <f t="shared" ca="1" si="7"/>
        <v>competitive</v>
      </c>
    </row>
    <row r="92" spans="1:8" x14ac:dyDescent="0.3">
      <c r="A92" t="s">
        <v>160</v>
      </c>
      <c r="B92" t="s">
        <v>161</v>
      </c>
      <c r="C92">
        <v>168.8</v>
      </c>
      <c r="D92">
        <v>8.2100000000000009</v>
      </c>
      <c r="E92">
        <f t="shared" ca="1" si="4"/>
        <v>172.75957555723173</v>
      </c>
      <c r="F92">
        <f t="shared" ca="1" si="5"/>
        <v>-3.9595755572317159</v>
      </c>
      <c r="G92">
        <f t="shared" ca="1" si="6"/>
        <v>-2.2919572153729847E-2</v>
      </c>
      <c r="H92" t="str">
        <f t="shared" ca="1" si="7"/>
        <v>competitive</v>
      </c>
    </row>
    <row r="93" spans="1:8" x14ac:dyDescent="0.3">
      <c r="A93" t="s">
        <v>162</v>
      </c>
      <c r="B93" t="s">
        <v>163</v>
      </c>
      <c r="C93">
        <v>59.9</v>
      </c>
      <c r="D93">
        <v>9.94</v>
      </c>
      <c r="E93">
        <f t="shared" ca="1" si="4"/>
        <v>64.356812942836569</v>
      </c>
      <c r="F93">
        <f t="shared" ca="1" si="5"/>
        <v>-4.4568129428365708</v>
      </c>
      <c r="G93">
        <f t="shared" ca="1" si="6"/>
        <v>-6.9251610498413441E-2</v>
      </c>
      <c r="H93" t="str">
        <f t="shared" ca="1" si="7"/>
        <v>underprived</v>
      </c>
    </row>
    <row r="94" spans="1:8" x14ac:dyDescent="0.3">
      <c r="A94" t="s">
        <v>164</v>
      </c>
      <c r="B94" t="s">
        <v>163</v>
      </c>
      <c r="C94">
        <v>59.9</v>
      </c>
      <c r="D94">
        <v>9.94</v>
      </c>
      <c r="E94">
        <f t="shared" ca="1" si="4"/>
        <v>55.921432492907122</v>
      </c>
      <c r="F94">
        <f t="shared" ca="1" si="5"/>
        <v>3.9785675070928761</v>
      </c>
      <c r="G94">
        <f t="shared" ca="1" si="6"/>
        <v>7.1145665082837484E-2</v>
      </c>
      <c r="H94" t="str">
        <f t="shared" ca="1" si="7"/>
        <v>overpriced</v>
      </c>
    </row>
    <row r="95" spans="1:8" x14ac:dyDescent="0.3">
      <c r="A95" t="s">
        <v>165</v>
      </c>
      <c r="B95" t="s">
        <v>166</v>
      </c>
      <c r="C95">
        <v>232.75</v>
      </c>
      <c r="D95">
        <v>28.58</v>
      </c>
      <c r="E95">
        <f t="shared" ca="1" si="4"/>
        <v>231.79470648675149</v>
      </c>
      <c r="F95">
        <f t="shared" ca="1" si="5"/>
        <v>0.95529351324850609</v>
      </c>
      <c r="G95">
        <f t="shared" ca="1" si="6"/>
        <v>4.1212913259652331E-3</v>
      </c>
      <c r="H95" t="str">
        <f t="shared" ca="1" si="7"/>
        <v>competitive</v>
      </c>
    </row>
    <row r="96" spans="1:8" x14ac:dyDescent="0.3">
      <c r="A96" t="s">
        <v>167</v>
      </c>
      <c r="B96" t="s">
        <v>168</v>
      </c>
      <c r="C96">
        <v>48.9</v>
      </c>
      <c r="D96">
        <v>18.440000000000001</v>
      </c>
      <c r="E96">
        <f t="shared" ca="1" si="4"/>
        <v>53.445706914387969</v>
      </c>
      <c r="F96">
        <f t="shared" ca="1" si="5"/>
        <v>-4.5457069143879707</v>
      </c>
      <c r="G96">
        <f t="shared" ca="1" si="6"/>
        <v>-8.5052798004328273E-2</v>
      </c>
      <c r="H96" t="str">
        <f t="shared" ca="1" si="7"/>
        <v>underprived</v>
      </c>
    </row>
    <row r="97" spans="1:8" x14ac:dyDescent="0.3">
      <c r="A97" t="s">
        <v>169</v>
      </c>
      <c r="B97" t="s">
        <v>29</v>
      </c>
      <c r="C97">
        <v>87</v>
      </c>
      <c r="D97">
        <v>12.11</v>
      </c>
      <c r="E97">
        <f t="shared" ca="1" si="4"/>
        <v>82.861942775835573</v>
      </c>
      <c r="F97">
        <f t="shared" ca="1" si="5"/>
        <v>4.1380572241644273</v>
      </c>
      <c r="G97">
        <f t="shared" ca="1" si="6"/>
        <v>4.9939176967634155E-2</v>
      </c>
      <c r="H97" t="str">
        <f t="shared" ca="1" si="7"/>
        <v>competitive</v>
      </c>
    </row>
    <row r="98" spans="1:8" x14ac:dyDescent="0.3">
      <c r="A98" t="s">
        <v>170</v>
      </c>
      <c r="B98" t="s">
        <v>171</v>
      </c>
      <c r="C98">
        <v>131.9</v>
      </c>
      <c r="D98">
        <v>18.54</v>
      </c>
      <c r="E98">
        <f t="shared" ca="1" si="4"/>
        <v>135.5205699315174</v>
      </c>
      <c r="F98">
        <f t="shared" ca="1" si="5"/>
        <v>-3.6205699315173945</v>
      </c>
      <c r="G98">
        <f t="shared" ca="1" si="6"/>
        <v>-2.6716017600479224E-2</v>
      </c>
      <c r="H98" t="str">
        <f t="shared" ca="1" si="7"/>
        <v>competitive</v>
      </c>
    </row>
    <row r="99" spans="1:8" x14ac:dyDescent="0.3">
      <c r="A99" t="s">
        <v>172</v>
      </c>
      <c r="B99" t="s">
        <v>173</v>
      </c>
      <c r="C99">
        <v>19.899999999999999</v>
      </c>
      <c r="D99">
        <v>14.1</v>
      </c>
      <c r="E99">
        <f t="shared" ca="1" si="4"/>
        <v>19.805089853055499</v>
      </c>
      <c r="F99">
        <f t="shared" ca="1" si="5"/>
        <v>9.4910146944499729E-2</v>
      </c>
      <c r="G99">
        <f t="shared" ca="1" si="6"/>
        <v>4.7922098636607362E-3</v>
      </c>
      <c r="H99" t="str">
        <f t="shared" ca="1" si="7"/>
        <v>competitive</v>
      </c>
    </row>
    <row r="100" spans="1:8" x14ac:dyDescent="0.3">
      <c r="A100" t="s">
        <v>174</v>
      </c>
      <c r="B100" t="s">
        <v>47</v>
      </c>
      <c r="C100">
        <v>136.99</v>
      </c>
      <c r="D100">
        <v>66.040000000000006</v>
      </c>
      <c r="E100">
        <f t="shared" ca="1" si="4"/>
        <v>143.184127171727</v>
      </c>
      <c r="F100">
        <f t="shared" ca="1" si="5"/>
        <v>-6.1941271717269899</v>
      </c>
      <c r="G100">
        <f t="shared" ca="1" si="6"/>
        <v>-4.3259873102401231E-2</v>
      </c>
      <c r="H100" t="str">
        <f t="shared" ca="1" si="7"/>
        <v>competitive</v>
      </c>
    </row>
    <row r="101" spans="1:8" x14ac:dyDescent="0.3">
      <c r="A101" t="s">
        <v>175</v>
      </c>
      <c r="B101" t="s">
        <v>176</v>
      </c>
      <c r="C101">
        <v>399.99</v>
      </c>
      <c r="D101">
        <v>23.64</v>
      </c>
      <c r="E101">
        <f t="shared" ca="1" si="4"/>
        <v>409.48489360919427</v>
      </c>
      <c r="F101">
        <f t="shared" ca="1" si="5"/>
        <v>-9.4948936091942642</v>
      </c>
      <c r="G101">
        <f t="shared" ca="1" si="6"/>
        <v>-2.3187408760080016E-2</v>
      </c>
      <c r="H101" t="str">
        <f t="shared" ca="1" si="7"/>
        <v>competitive</v>
      </c>
    </row>
    <row r="102" spans="1:8" x14ac:dyDescent="0.3">
      <c r="A102" t="s">
        <v>177</v>
      </c>
      <c r="B102" t="s">
        <v>39</v>
      </c>
      <c r="C102">
        <v>41</v>
      </c>
      <c r="D102">
        <v>11.85</v>
      </c>
      <c r="E102">
        <f t="shared" ca="1" si="4"/>
        <v>38.372749525850722</v>
      </c>
      <c r="F102">
        <f t="shared" ca="1" si="5"/>
        <v>2.6272504741492781</v>
      </c>
      <c r="G102">
        <f t="shared" ca="1" si="6"/>
        <v>6.8466568244721887E-2</v>
      </c>
      <c r="H102" t="str">
        <f t="shared" ca="1" si="7"/>
        <v>overpriced</v>
      </c>
    </row>
    <row r="103" spans="1:8" x14ac:dyDescent="0.3">
      <c r="A103" t="s">
        <v>178</v>
      </c>
      <c r="B103" t="s">
        <v>179</v>
      </c>
      <c r="C103">
        <v>69</v>
      </c>
      <c r="D103">
        <v>18.579999999999998</v>
      </c>
      <c r="E103">
        <f t="shared" ca="1" si="4"/>
        <v>66.345535292437049</v>
      </c>
      <c r="F103">
        <f t="shared" ca="1" si="5"/>
        <v>2.6544647075629513</v>
      </c>
      <c r="G103">
        <f t="shared" ca="1" si="6"/>
        <v>4.000969614402286E-2</v>
      </c>
      <c r="H103" t="str">
        <f t="shared" ca="1" si="7"/>
        <v>competitive</v>
      </c>
    </row>
    <row r="104" spans="1:8" x14ac:dyDescent="0.3">
      <c r="A104" t="s">
        <v>178</v>
      </c>
      <c r="B104" t="s">
        <v>179</v>
      </c>
      <c r="C104">
        <v>69</v>
      </c>
      <c r="D104">
        <v>18.579999999999998</v>
      </c>
      <c r="E104">
        <f t="shared" ca="1" si="4"/>
        <v>72.194937738525454</v>
      </c>
      <c r="F104">
        <f t="shared" ca="1" si="5"/>
        <v>-3.1949377385254536</v>
      </c>
      <c r="G104">
        <f t="shared" ca="1" si="6"/>
        <v>-4.4254318081093598E-2</v>
      </c>
      <c r="H104" t="str">
        <f t="shared" ca="1" si="7"/>
        <v>competitive</v>
      </c>
    </row>
    <row r="105" spans="1:8" x14ac:dyDescent="0.3">
      <c r="A105" t="s">
        <v>180</v>
      </c>
      <c r="B105" t="s">
        <v>103</v>
      </c>
      <c r="C105">
        <v>169.9</v>
      </c>
      <c r="D105">
        <v>33.33</v>
      </c>
      <c r="E105">
        <f t="shared" ca="1" si="4"/>
        <v>158.70779614875877</v>
      </c>
      <c r="F105">
        <f t="shared" ca="1" si="5"/>
        <v>11.192203851241231</v>
      </c>
      <c r="G105">
        <f t="shared" ca="1" si="6"/>
        <v>7.0520819536493598E-2</v>
      </c>
      <c r="H105" t="str">
        <f t="shared" ca="1" si="7"/>
        <v>overpriced</v>
      </c>
    </row>
    <row r="106" spans="1:8" x14ac:dyDescent="0.3">
      <c r="A106" t="s">
        <v>181</v>
      </c>
      <c r="B106" t="s">
        <v>182</v>
      </c>
      <c r="C106">
        <v>119</v>
      </c>
      <c r="D106">
        <v>15.28</v>
      </c>
      <c r="E106">
        <f t="shared" ca="1" si="4"/>
        <v>110.08999922538152</v>
      </c>
      <c r="F106">
        <f t="shared" ca="1" si="5"/>
        <v>8.9100007746184815</v>
      </c>
      <c r="G106">
        <f t="shared" ca="1" si="6"/>
        <v>8.0933789057237623E-2</v>
      </c>
      <c r="H106" t="str">
        <f t="shared" ca="1" si="7"/>
        <v>overpriced</v>
      </c>
    </row>
    <row r="107" spans="1:8" x14ac:dyDescent="0.3">
      <c r="A107" t="s">
        <v>183</v>
      </c>
      <c r="B107" t="s">
        <v>184</v>
      </c>
      <c r="C107">
        <v>39.9</v>
      </c>
      <c r="D107">
        <v>18.079999999999998</v>
      </c>
      <c r="E107">
        <f t="shared" ca="1" si="4"/>
        <v>43.826972520764031</v>
      </c>
      <c r="F107">
        <f t="shared" ca="1" si="5"/>
        <v>-3.926972520764032</v>
      </c>
      <c r="G107">
        <f t="shared" ca="1" si="6"/>
        <v>-8.960172913845553E-2</v>
      </c>
      <c r="H107" t="str">
        <f t="shared" ca="1" si="7"/>
        <v>underprived</v>
      </c>
    </row>
    <row r="108" spans="1:8" x14ac:dyDescent="0.3">
      <c r="A108" t="s">
        <v>185</v>
      </c>
      <c r="B108" t="s">
        <v>186</v>
      </c>
      <c r="C108">
        <v>85</v>
      </c>
      <c r="D108">
        <v>12.9</v>
      </c>
      <c r="E108">
        <f t="shared" ca="1" si="4"/>
        <v>79.201441956130637</v>
      </c>
      <c r="F108">
        <f t="shared" ca="1" si="5"/>
        <v>5.7985580438693631</v>
      </c>
      <c r="G108">
        <f t="shared" ca="1" si="6"/>
        <v>7.3212783765744582E-2</v>
      </c>
      <c r="H108" t="str">
        <f t="shared" ca="1" si="7"/>
        <v>overpriced</v>
      </c>
    </row>
    <row r="109" spans="1:8" x14ac:dyDescent="0.3">
      <c r="A109" t="s">
        <v>187</v>
      </c>
      <c r="B109" t="s">
        <v>188</v>
      </c>
      <c r="C109">
        <v>220</v>
      </c>
      <c r="D109">
        <v>8.89</v>
      </c>
      <c r="E109">
        <f t="shared" ca="1" si="4"/>
        <v>226.93275687936247</v>
      </c>
      <c r="F109">
        <f t="shared" ca="1" si="5"/>
        <v>-6.9327568793624721</v>
      </c>
      <c r="G109">
        <f t="shared" ca="1" si="6"/>
        <v>-3.0549828833428081E-2</v>
      </c>
      <c r="H109" t="str">
        <f t="shared" ca="1" si="7"/>
        <v>competitive</v>
      </c>
    </row>
    <row r="110" spans="1:8" x14ac:dyDescent="0.3">
      <c r="A110" t="s">
        <v>189</v>
      </c>
      <c r="B110" t="s">
        <v>190</v>
      </c>
      <c r="C110">
        <v>277</v>
      </c>
      <c r="D110">
        <v>35.74</v>
      </c>
      <c r="E110">
        <f t="shared" ca="1" si="4"/>
        <v>269.55571354769546</v>
      </c>
      <c r="F110">
        <f t="shared" ca="1" si="5"/>
        <v>7.4442864523045387</v>
      </c>
      <c r="G110">
        <f t="shared" ca="1" si="6"/>
        <v>2.7616875021227623E-2</v>
      </c>
      <c r="H110" t="str">
        <f t="shared" ca="1" si="7"/>
        <v>competitive</v>
      </c>
    </row>
    <row r="111" spans="1:8" x14ac:dyDescent="0.3">
      <c r="A111" t="s">
        <v>191</v>
      </c>
      <c r="B111" t="s">
        <v>192</v>
      </c>
      <c r="C111">
        <v>66.989999999999995</v>
      </c>
      <c r="D111">
        <v>27.75</v>
      </c>
      <c r="E111">
        <f t="shared" ca="1" si="4"/>
        <v>69.234872647522508</v>
      </c>
      <c r="F111">
        <f t="shared" ca="1" si="5"/>
        <v>-2.2448726475225129</v>
      </c>
      <c r="G111">
        <f t="shared" ca="1" si="6"/>
        <v>-3.2424016419460307E-2</v>
      </c>
      <c r="H111" t="str">
        <f t="shared" ca="1" si="7"/>
        <v>competitive</v>
      </c>
    </row>
    <row r="112" spans="1:8" x14ac:dyDescent="0.3">
      <c r="A112" t="s">
        <v>193</v>
      </c>
      <c r="B112" t="s">
        <v>194</v>
      </c>
      <c r="C112">
        <v>14</v>
      </c>
      <c r="D112">
        <v>50.85</v>
      </c>
      <c r="E112">
        <f t="shared" ca="1" si="4"/>
        <v>12.825419182463589</v>
      </c>
      <c r="F112">
        <f t="shared" ca="1" si="5"/>
        <v>1.1745808175364107</v>
      </c>
      <c r="G112">
        <f t="shared" ca="1" si="6"/>
        <v>9.1582255583695454E-2</v>
      </c>
      <c r="H112" t="str">
        <f t="shared" ca="1" si="7"/>
        <v>overpriced</v>
      </c>
    </row>
    <row r="113" spans="1:8" x14ac:dyDescent="0.3">
      <c r="A113" t="s">
        <v>195</v>
      </c>
      <c r="B113" t="s">
        <v>196</v>
      </c>
      <c r="C113">
        <v>85</v>
      </c>
      <c r="D113">
        <v>17.03</v>
      </c>
      <c r="E113">
        <f t="shared" ca="1" si="4"/>
        <v>87.906935103840311</v>
      </c>
      <c r="F113">
        <f t="shared" ca="1" si="5"/>
        <v>-2.9069351038403113</v>
      </c>
      <c r="G113">
        <f t="shared" ca="1" si="6"/>
        <v>-3.3068325046328666E-2</v>
      </c>
      <c r="H113" t="str">
        <f t="shared" ca="1" si="7"/>
        <v>competitive</v>
      </c>
    </row>
    <row r="114" spans="1:8" x14ac:dyDescent="0.3">
      <c r="A114" t="s">
        <v>195</v>
      </c>
      <c r="B114" t="s">
        <v>196</v>
      </c>
      <c r="C114">
        <v>85</v>
      </c>
      <c r="D114">
        <v>17.03</v>
      </c>
      <c r="E114">
        <f t="shared" ca="1" si="4"/>
        <v>83.516399926550292</v>
      </c>
      <c r="F114">
        <f t="shared" ca="1" si="5"/>
        <v>1.4836000734497077</v>
      </c>
      <c r="G114">
        <f t="shared" ca="1" si="6"/>
        <v>1.776417655399995E-2</v>
      </c>
      <c r="H114" t="str">
        <f t="shared" ca="1" si="7"/>
        <v>competitive</v>
      </c>
    </row>
    <row r="115" spans="1:8" x14ac:dyDescent="0.3">
      <c r="A115" t="s">
        <v>197</v>
      </c>
      <c r="B115" t="s">
        <v>198</v>
      </c>
      <c r="C115">
        <v>229</v>
      </c>
      <c r="D115">
        <v>9.8000000000000007</v>
      </c>
      <c r="E115">
        <f t="shared" ca="1" si="4"/>
        <v>247.99528926109744</v>
      </c>
      <c r="F115">
        <f t="shared" ca="1" si="5"/>
        <v>-18.99528926109744</v>
      </c>
      <c r="G115">
        <f t="shared" ca="1" si="6"/>
        <v>-7.6595363233285405E-2</v>
      </c>
      <c r="H115" t="str">
        <f t="shared" ca="1" si="7"/>
        <v>underprived</v>
      </c>
    </row>
    <row r="116" spans="1:8" x14ac:dyDescent="0.3">
      <c r="A116" t="s">
        <v>199</v>
      </c>
      <c r="B116" t="s">
        <v>200</v>
      </c>
      <c r="C116">
        <v>99.9</v>
      </c>
      <c r="D116">
        <v>0</v>
      </c>
      <c r="E116">
        <f t="shared" ca="1" si="4"/>
        <v>94.551878417044847</v>
      </c>
      <c r="F116">
        <f t="shared" ca="1" si="5"/>
        <v>5.3481215829551587</v>
      </c>
      <c r="G116">
        <f t="shared" ca="1" si="6"/>
        <v>5.6562827439196113E-2</v>
      </c>
      <c r="H116" t="str">
        <f t="shared" ca="1" si="7"/>
        <v>overpriced</v>
      </c>
    </row>
    <row r="117" spans="1:8" x14ac:dyDescent="0.3">
      <c r="A117" t="s">
        <v>201</v>
      </c>
      <c r="B117" t="s">
        <v>202</v>
      </c>
      <c r="C117">
        <v>84.9</v>
      </c>
      <c r="D117">
        <v>34.39</v>
      </c>
      <c r="E117">
        <f t="shared" ca="1" si="4"/>
        <v>88.569246394196171</v>
      </c>
      <c r="F117">
        <f t="shared" ca="1" si="5"/>
        <v>-3.6692463941961648</v>
      </c>
      <c r="G117">
        <f t="shared" ca="1" si="6"/>
        <v>-4.1427996099971401E-2</v>
      </c>
      <c r="H117" t="str">
        <f t="shared" ca="1" si="7"/>
        <v>competitive</v>
      </c>
    </row>
    <row r="118" spans="1:8" x14ac:dyDescent="0.3">
      <c r="A118" t="s">
        <v>203</v>
      </c>
      <c r="B118" t="s">
        <v>204</v>
      </c>
      <c r="C118">
        <v>189</v>
      </c>
      <c r="D118">
        <v>33.909999999999997</v>
      </c>
      <c r="E118">
        <f t="shared" ca="1" si="4"/>
        <v>189.28444963183586</v>
      </c>
      <c r="F118">
        <f t="shared" ca="1" si="5"/>
        <v>-0.28444963183585514</v>
      </c>
      <c r="G118">
        <f t="shared" ca="1" si="6"/>
        <v>-1.5027628122073341E-3</v>
      </c>
      <c r="H118" t="str">
        <f t="shared" ca="1" si="7"/>
        <v>competitive</v>
      </c>
    </row>
    <row r="119" spans="1:8" x14ac:dyDescent="0.3">
      <c r="A119" t="s">
        <v>205</v>
      </c>
      <c r="B119" t="s">
        <v>49</v>
      </c>
      <c r="C119">
        <v>49</v>
      </c>
      <c r="D119">
        <v>7.78</v>
      </c>
      <c r="E119">
        <f t="shared" ca="1" si="4"/>
        <v>46.835326644732049</v>
      </c>
      <c r="F119">
        <f t="shared" ca="1" si="5"/>
        <v>2.1646733552679507</v>
      </c>
      <c r="G119">
        <f t="shared" ca="1" si="6"/>
        <v>4.6218816230065282E-2</v>
      </c>
      <c r="H119" t="str">
        <f t="shared" ca="1" si="7"/>
        <v>competitive</v>
      </c>
    </row>
    <row r="120" spans="1:8" x14ac:dyDescent="0.3">
      <c r="A120" t="s">
        <v>206</v>
      </c>
      <c r="B120" t="s">
        <v>207</v>
      </c>
      <c r="C120">
        <v>37.9</v>
      </c>
      <c r="D120">
        <v>15.37</v>
      </c>
      <c r="E120">
        <f t="shared" ca="1" si="4"/>
        <v>38.470986926503628</v>
      </c>
      <c r="F120">
        <f t="shared" ca="1" si="5"/>
        <v>-0.57098692650362892</v>
      </c>
      <c r="G120">
        <f t="shared" ca="1" si="6"/>
        <v>-1.4842013998613113E-2</v>
      </c>
      <c r="H120" t="str">
        <f t="shared" ca="1" si="7"/>
        <v>competitive</v>
      </c>
    </row>
    <row r="121" spans="1:8" x14ac:dyDescent="0.3">
      <c r="A121" t="s">
        <v>208</v>
      </c>
      <c r="B121" t="s">
        <v>209</v>
      </c>
      <c r="C121">
        <v>179.93</v>
      </c>
      <c r="D121">
        <v>16.14</v>
      </c>
      <c r="E121">
        <f t="shared" ca="1" si="4"/>
        <v>188.28836763845183</v>
      </c>
      <c r="F121">
        <f t="shared" ca="1" si="5"/>
        <v>-8.3583676384518242</v>
      </c>
      <c r="G121">
        <f t="shared" ca="1" si="6"/>
        <v>-4.439131181221679E-2</v>
      </c>
      <c r="H121" t="str">
        <f t="shared" ca="1" si="7"/>
        <v>competitive</v>
      </c>
    </row>
    <row r="122" spans="1:8" x14ac:dyDescent="0.3">
      <c r="A122" t="s">
        <v>210</v>
      </c>
      <c r="B122" t="s">
        <v>211</v>
      </c>
      <c r="C122">
        <v>116.9</v>
      </c>
      <c r="D122">
        <v>13.84</v>
      </c>
      <c r="E122">
        <f t="shared" ca="1" si="4"/>
        <v>114.04606686714796</v>
      </c>
      <c r="F122">
        <f t="shared" ca="1" si="5"/>
        <v>2.853933132852049</v>
      </c>
      <c r="G122">
        <f t="shared" ca="1" si="6"/>
        <v>2.5024388926771057E-2</v>
      </c>
      <c r="H122" t="str">
        <f t="shared" ca="1" si="7"/>
        <v>competitive</v>
      </c>
    </row>
    <row r="123" spans="1:8" x14ac:dyDescent="0.3">
      <c r="A123" t="s">
        <v>212</v>
      </c>
      <c r="B123" t="s">
        <v>213</v>
      </c>
      <c r="C123">
        <v>94.9</v>
      </c>
      <c r="D123">
        <v>15.51</v>
      </c>
      <c r="E123">
        <f t="shared" ca="1" si="4"/>
        <v>97.07554608708476</v>
      </c>
      <c r="F123">
        <f t="shared" ca="1" si="5"/>
        <v>-2.1755460870847543</v>
      </c>
      <c r="G123">
        <f t="shared" ca="1" si="6"/>
        <v>-2.2410856026842334E-2</v>
      </c>
      <c r="H123" t="str">
        <f t="shared" ca="1" si="7"/>
        <v>competitive</v>
      </c>
    </row>
    <row r="124" spans="1:8" x14ac:dyDescent="0.3">
      <c r="A124" t="s">
        <v>214</v>
      </c>
      <c r="B124" t="s">
        <v>215</v>
      </c>
      <c r="C124">
        <v>121.99</v>
      </c>
      <c r="D124">
        <v>15.73</v>
      </c>
      <c r="E124">
        <f t="shared" ca="1" si="4"/>
        <v>121.07234336652897</v>
      </c>
      <c r="F124">
        <f t="shared" ca="1" si="5"/>
        <v>0.91765663347102588</v>
      </c>
      <c r="G124">
        <f t="shared" ca="1" si="6"/>
        <v>7.5794075505167475E-3</v>
      </c>
      <c r="H124" t="str">
        <f t="shared" ca="1" si="7"/>
        <v>competitive</v>
      </c>
    </row>
    <row r="125" spans="1:8" x14ac:dyDescent="0.3">
      <c r="A125" t="s">
        <v>216</v>
      </c>
      <c r="B125" t="s">
        <v>217</v>
      </c>
      <c r="C125">
        <v>7.79</v>
      </c>
      <c r="D125">
        <v>7.78</v>
      </c>
      <c r="E125">
        <f t="shared" ca="1" si="4"/>
        <v>7.9303191357970881</v>
      </c>
      <c r="F125">
        <f t="shared" ca="1" si="5"/>
        <v>-0.1403191357970881</v>
      </c>
      <c r="G125">
        <f t="shared" ca="1" si="6"/>
        <v>-1.7694008701830688E-2</v>
      </c>
      <c r="H125" t="str">
        <f t="shared" ca="1" si="7"/>
        <v>competitive</v>
      </c>
    </row>
    <row r="126" spans="1:8" x14ac:dyDescent="0.3">
      <c r="A126" t="s">
        <v>218</v>
      </c>
      <c r="B126" t="s">
        <v>47</v>
      </c>
      <c r="C126">
        <v>179.99</v>
      </c>
      <c r="D126">
        <v>85.97</v>
      </c>
      <c r="E126">
        <f t="shared" ca="1" si="4"/>
        <v>173.77075520821759</v>
      </c>
      <c r="F126">
        <f t="shared" ca="1" si="5"/>
        <v>6.2192447917824154</v>
      </c>
      <c r="G126">
        <f t="shared" ca="1" si="6"/>
        <v>3.5789939361950289E-2</v>
      </c>
      <c r="H126" t="str">
        <f t="shared" ca="1" si="7"/>
        <v>competitive</v>
      </c>
    </row>
    <row r="127" spans="1:8" x14ac:dyDescent="0.3">
      <c r="A127" t="s">
        <v>219</v>
      </c>
      <c r="B127" t="s">
        <v>220</v>
      </c>
      <c r="C127">
        <v>7.6</v>
      </c>
      <c r="D127">
        <v>10.96</v>
      </c>
      <c r="E127">
        <f t="shared" ca="1" si="4"/>
        <v>7.8310990139239447</v>
      </c>
      <c r="F127">
        <f t="shared" ca="1" si="5"/>
        <v>-0.23109901392394505</v>
      </c>
      <c r="G127">
        <f t="shared" ca="1" si="6"/>
        <v>-2.9510419101207074E-2</v>
      </c>
      <c r="H127" t="str">
        <f t="shared" ca="1" si="7"/>
        <v>competitive</v>
      </c>
    </row>
    <row r="128" spans="1:8" x14ac:dyDescent="0.3">
      <c r="A128" t="s">
        <v>221</v>
      </c>
      <c r="B128" t="s">
        <v>31</v>
      </c>
      <c r="C128">
        <v>49.9</v>
      </c>
      <c r="D128">
        <v>17.600000000000001</v>
      </c>
      <c r="E128">
        <f t="shared" ca="1" si="4"/>
        <v>50.787732257858565</v>
      </c>
      <c r="F128">
        <f t="shared" ca="1" si="5"/>
        <v>-0.88773225785856624</v>
      </c>
      <c r="G128">
        <f t="shared" ca="1" si="6"/>
        <v>-1.7479265531120544E-2</v>
      </c>
      <c r="H128" t="str">
        <f t="shared" ca="1" si="7"/>
        <v>competitive</v>
      </c>
    </row>
    <row r="129" spans="1:8" x14ac:dyDescent="0.3">
      <c r="A129" t="s">
        <v>222</v>
      </c>
      <c r="B129" t="s">
        <v>223</v>
      </c>
      <c r="C129">
        <v>110.32</v>
      </c>
      <c r="D129">
        <v>8.0299999999999994</v>
      </c>
      <c r="E129">
        <f t="shared" ca="1" si="4"/>
        <v>118.8799591399077</v>
      </c>
      <c r="F129">
        <f t="shared" ca="1" si="5"/>
        <v>-8.5599591399077042</v>
      </c>
      <c r="G129">
        <f t="shared" ca="1" si="6"/>
        <v>-7.2005064620131995E-2</v>
      </c>
      <c r="H129" t="str">
        <f t="shared" ca="1" si="7"/>
        <v>underprived</v>
      </c>
    </row>
    <row r="130" spans="1:8" x14ac:dyDescent="0.3">
      <c r="A130" t="s">
        <v>224</v>
      </c>
      <c r="B130" t="s">
        <v>225</v>
      </c>
      <c r="C130">
        <v>49</v>
      </c>
      <c r="D130">
        <v>11.85</v>
      </c>
      <c r="E130">
        <f t="shared" ca="1" si="4"/>
        <v>47.294325587607204</v>
      </c>
      <c r="F130">
        <f t="shared" ca="1" si="5"/>
        <v>1.7056744123927956</v>
      </c>
      <c r="G130">
        <f t="shared" ca="1" si="6"/>
        <v>3.6065096419088019E-2</v>
      </c>
      <c r="H130" t="str">
        <f t="shared" ca="1" si="7"/>
        <v>competitive</v>
      </c>
    </row>
    <row r="131" spans="1:8" x14ac:dyDescent="0.3">
      <c r="A131" t="s">
        <v>226</v>
      </c>
      <c r="B131" t="s">
        <v>227</v>
      </c>
      <c r="C131">
        <v>159.9</v>
      </c>
      <c r="D131">
        <v>61.18</v>
      </c>
      <c r="E131">
        <f t="shared" ref="E131:E194" ca="1" si="8">C131*(1+RAND()*0.2-0.1)</f>
        <v>168.42436947687361</v>
      </c>
      <c r="F131">
        <f t="shared" ref="F131:F194" ca="1" si="9">C131-E131</f>
        <v>-8.524369476873602</v>
      </c>
      <c r="G131">
        <f t="shared" ref="G131:G194" ca="1" si="10">(C131-E131)/E131</f>
        <v>-5.0612447019100081E-2</v>
      </c>
      <c r="H131" t="str">
        <f t="shared" ref="H131:H194" ca="1" si="11">IF(E131="","competitive",IF(ABS(C131-E131)/E131&lt;=0.05,"competitive",IF(C131&gt;E131,"overpriced","underprived")))</f>
        <v>underprived</v>
      </c>
    </row>
    <row r="132" spans="1:8" x14ac:dyDescent="0.3">
      <c r="A132" t="s">
        <v>228</v>
      </c>
      <c r="B132" t="s">
        <v>229</v>
      </c>
      <c r="C132">
        <v>120</v>
      </c>
      <c r="D132">
        <v>27.39</v>
      </c>
      <c r="E132">
        <f t="shared" ca="1" si="8"/>
        <v>116.7440311393986</v>
      </c>
      <c r="F132">
        <f t="shared" ca="1" si="9"/>
        <v>3.2559688606013992</v>
      </c>
      <c r="G132">
        <f t="shared" ca="1" si="10"/>
        <v>2.7889810115547566E-2</v>
      </c>
      <c r="H132" t="str">
        <f t="shared" ca="1" si="11"/>
        <v>competitive</v>
      </c>
    </row>
    <row r="133" spans="1:8" x14ac:dyDescent="0.3">
      <c r="A133" t="s">
        <v>230</v>
      </c>
      <c r="B133" t="s">
        <v>231</v>
      </c>
      <c r="C133">
        <v>21.5</v>
      </c>
      <c r="D133">
        <v>11.98</v>
      </c>
      <c r="E133">
        <f t="shared" ca="1" si="8"/>
        <v>21.274326882148472</v>
      </c>
      <c r="F133">
        <f t="shared" ca="1" si="9"/>
        <v>0.2256731178515281</v>
      </c>
      <c r="G133">
        <f t="shared" ca="1" si="10"/>
        <v>1.060776771465766E-2</v>
      </c>
      <c r="H133" t="str">
        <f t="shared" ca="1" si="11"/>
        <v>competitive</v>
      </c>
    </row>
    <row r="134" spans="1:8" x14ac:dyDescent="0.3">
      <c r="A134" t="s">
        <v>232</v>
      </c>
      <c r="B134" t="s">
        <v>233</v>
      </c>
      <c r="C134">
        <v>122.99</v>
      </c>
      <c r="D134">
        <v>15.61</v>
      </c>
      <c r="E134">
        <f t="shared" ca="1" si="8"/>
        <v>128.02519499396172</v>
      </c>
      <c r="F134">
        <f t="shared" ca="1" si="9"/>
        <v>-5.0351949939617242</v>
      </c>
      <c r="G134">
        <f t="shared" ca="1" si="10"/>
        <v>-3.9329719389993571E-2</v>
      </c>
      <c r="H134" t="str">
        <f t="shared" ca="1" si="11"/>
        <v>competitive</v>
      </c>
    </row>
    <row r="135" spans="1:8" x14ac:dyDescent="0.3">
      <c r="A135" t="s">
        <v>234</v>
      </c>
      <c r="B135" t="s">
        <v>79</v>
      </c>
      <c r="C135">
        <v>72.989999999999995</v>
      </c>
      <c r="D135">
        <v>19.75</v>
      </c>
      <c r="E135">
        <f t="shared" ca="1" si="8"/>
        <v>78.492248659444982</v>
      </c>
      <c r="F135">
        <f t="shared" ca="1" si="9"/>
        <v>-5.5022486594449873</v>
      </c>
      <c r="G135">
        <f t="shared" ca="1" si="10"/>
        <v>-7.0099261435579999E-2</v>
      </c>
      <c r="H135" t="str">
        <f t="shared" ca="1" si="11"/>
        <v>underprived</v>
      </c>
    </row>
    <row r="136" spans="1:8" x14ac:dyDescent="0.3">
      <c r="A136" t="s">
        <v>235</v>
      </c>
      <c r="B136" t="s">
        <v>79</v>
      </c>
      <c r="C136">
        <v>129.99</v>
      </c>
      <c r="D136">
        <v>13.93</v>
      </c>
      <c r="E136">
        <f t="shared" ca="1" si="8"/>
        <v>142.67599707598782</v>
      </c>
      <c r="F136">
        <f t="shared" ca="1" si="9"/>
        <v>-12.685997075987814</v>
      </c>
      <c r="G136">
        <f t="shared" ca="1" si="10"/>
        <v>-8.8914725223412164E-2</v>
      </c>
      <c r="H136" t="str">
        <f t="shared" ca="1" si="11"/>
        <v>underprived</v>
      </c>
    </row>
    <row r="137" spans="1:8" x14ac:dyDescent="0.3">
      <c r="A137" t="s">
        <v>86</v>
      </c>
      <c r="B137" t="s">
        <v>29</v>
      </c>
      <c r="C137">
        <v>92</v>
      </c>
      <c r="D137">
        <v>17.89</v>
      </c>
      <c r="E137">
        <f t="shared" ca="1" si="8"/>
        <v>84.793193323085717</v>
      </c>
      <c r="F137">
        <f t="shared" ca="1" si="9"/>
        <v>7.2068066769142831</v>
      </c>
      <c r="G137">
        <f t="shared" ca="1" si="10"/>
        <v>8.499274994225467E-2</v>
      </c>
      <c r="H137" t="str">
        <f t="shared" ca="1" si="11"/>
        <v>overpriced</v>
      </c>
    </row>
    <row r="138" spans="1:8" x14ac:dyDescent="0.3">
      <c r="A138" t="s">
        <v>86</v>
      </c>
      <c r="B138" t="s">
        <v>29</v>
      </c>
      <c r="C138">
        <v>92</v>
      </c>
      <c r="D138">
        <v>17.89</v>
      </c>
      <c r="E138">
        <f t="shared" ca="1" si="8"/>
        <v>83.162081009639891</v>
      </c>
      <c r="F138">
        <f t="shared" ca="1" si="9"/>
        <v>8.8379189903601088</v>
      </c>
      <c r="G138">
        <f t="shared" ca="1" si="10"/>
        <v>0.10627342273139659</v>
      </c>
      <c r="H138" t="str">
        <f t="shared" ca="1" si="11"/>
        <v>overpriced</v>
      </c>
    </row>
    <row r="139" spans="1:8" x14ac:dyDescent="0.3">
      <c r="A139" t="s">
        <v>236</v>
      </c>
      <c r="B139" t="s">
        <v>237</v>
      </c>
      <c r="C139">
        <v>33.89</v>
      </c>
      <c r="D139">
        <v>8.4</v>
      </c>
      <c r="E139">
        <f t="shared" ca="1" si="8"/>
        <v>37.257353842127181</v>
      </c>
      <c r="F139">
        <f t="shared" ca="1" si="9"/>
        <v>-3.36735384212718</v>
      </c>
      <c r="G139">
        <f t="shared" ca="1" si="10"/>
        <v>-9.0380917989932141E-2</v>
      </c>
      <c r="H139" t="str">
        <f t="shared" ca="1" si="11"/>
        <v>underprived</v>
      </c>
    </row>
    <row r="140" spans="1:8" x14ac:dyDescent="0.3">
      <c r="A140" t="s">
        <v>236</v>
      </c>
      <c r="B140" t="s">
        <v>237</v>
      </c>
      <c r="C140">
        <v>33.89</v>
      </c>
      <c r="D140">
        <v>8.4</v>
      </c>
      <c r="E140">
        <f t="shared" ca="1" si="8"/>
        <v>33.097535383472781</v>
      </c>
      <c r="F140">
        <f t="shared" ca="1" si="9"/>
        <v>0.79246461652721933</v>
      </c>
      <c r="G140">
        <f t="shared" ca="1" si="10"/>
        <v>2.3943312012378291E-2</v>
      </c>
      <c r="H140" t="str">
        <f t="shared" ca="1" si="11"/>
        <v>competitive</v>
      </c>
    </row>
    <row r="141" spans="1:8" x14ac:dyDescent="0.3">
      <c r="A141" t="s">
        <v>236</v>
      </c>
      <c r="B141" t="s">
        <v>237</v>
      </c>
      <c r="C141">
        <v>33.89</v>
      </c>
      <c r="D141">
        <v>8.4</v>
      </c>
      <c r="E141">
        <f t="shared" ca="1" si="8"/>
        <v>34.096958852364118</v>
      </c>
      <c r="F141">
        <f t="shared" ca="1" si="9"/>
        <v>-0.20695885236411726</v>
      </c>
      <c r="G141">
        <f t="shared" ca="1" si="10"/>
        <v>-6.0697158729089333E-3</v>
      </c>
      <c r="H141" t="str">
        <f t="shared" ca="1" si="11"/>
        <v>competitive</v>
      </c>
    </row>
    <row r="142" spans="1:8" x14ac:dyDescent="0.3">
      <c r="A142" t="s">
        <v>236</v>
      </c>
      <c r="B142" t="s">
        <v>237</v>
      </c>
      <c r="C142">
        <v>33.89</v>
      </c>
      <c r="D142">
        <v>8.4</v>
      </c>
      <c r="E142">
        <f t="shared" ca="1" si="8"/>
        <v>35.357918808953926</v>
      </c>
      <c r="F142">
        <f t="shared" ca="1" si="9"/>
        <v>-1.4679188089539252</v>
      </c>
      <c r="G142">
        <f t="shared" ca="1" si="10"/>
        <v>-4.1515984492339356E-2</v>
      </c>
      <c r="H142" t="str">
        <f t="shared" ca="1" si="11"/>
        <v>competitive</v>
      </c>
    </row>
    <row r="143" spans="1:8" x14ac:dyDescent="0.3">
      <c r="A143" t="s">
        <v>238</v>
      </c>
      <c r="B143" t="s">
        <v>239</v>
      </c>
      <c r="C143">
        <v>149</v>
      </c>
      <c r="D143">
        <v>40.369999999999997</v>
      </c>
      <c r="E143">
        <f t="shared" ca="1" si="8"/>
        <v>161.48593410648041</v>
      </c>
      <c r="F143">
        <f t="shared" ca="1" si="9"/>
        <v>-12.485934106480414</v>
      </c>
      <c r="G143">
        <f t="shared" ca="1" si="10"/>
        <v>-7.7319019613481962E-2</v>
      </c>
      <c r="H143" t="str">
        <f t="shared" ca="1" si="11"/>
        <v>underprived</v>
      </c>
    </row>
    <row r="144" spans="1:8" x14ac:dyDescent="0.3">
      <c r="A144" t="s">
        <v>240</v>
      </c>
      <c r="B144" t="s">
        <v>241</v>
      </c>
      <c r="C144">
        <v>20.3</v>
      </c>
      <c r="D144">
        <v>16.79</v>
      </c>
      <c r="E144">
        <f t="shared" ca="1" si="8"/>
        <v>21.166543025657841</v>
      </c>
      <c r="F144">
        <f t="shared" ca="1" si="9"/>
        <v>-0.86654302565784036</v>
      </c>
      <c r="G144">
        <f t="shared" ca="1" si="10"/>
        <v>-4.0939279721181998E-2</v>
      </c>
      <c r="H144" t="str">
        <f t="shared" ca="1" si="11"/>
        <v>competitive</v>
      </c>
    </row>
    <row r="145" spans="1:8" x14ac:dyDescent="0.3">
      <c r="A145" t="s">
        <v>242</v>
      </c>
      <c r="B145" t="s">
        <v>37</v>
      </c>
      <c r="C145">
        <v>179.9</v>
      </c>
      <c r="D145">
        <v>15.01</v>
      </c>
      <c r="E145">
        <f t="shared" ca="1" si="8"/>
        <v>176.4040241103738</v>
      </c>
      <c r="F145">
        <f t="shared" ca="1" si="9"/>
        <v>3.4959758896262088</v>
      </c>
      <c r="G145">
        <f t="shared" ca="1" si="10"/>
        <v>1.9818005327581531E-2</v>
      </c>
      <c r="H145" t="str">
        <f t="shared" ca="1" si="11"/>
        <v>competitive</v>
      </c>
    </row>
    <row r="146" spans="1:8" x14ac:dyDescent="0.3">
      <c r="A146" t="s">
        <v>242</v>
      </c>
      <c r="B146" t="s">
        <v>37</v>
      </c>
      <c r="C146">
        <v>179.9</v>
      </c>
      <c r="D146">
        <v>15.01</v>
      </c>
      <c r="E146">
        <f t="shared" ca="1" si="8"/>
        <v>190.69489560132274</v>
      </c>
      <c r="F146">
        <f t="shared" ca="1" si="9"/>
        <v>-10.794895601322736</v>
      </c>
      <c r="G146">
        <f t="shared" ca="1" si="10"/>
        <v>-5.660820425886564E-2</v>
      </c>
      <c r="H146" t="str">
        <f t="shared" ca="1" si="11"/>
        <v>underprived</v>
      </c>
    </row>
    <row r="147" spans="1:8" x14ac:dyDescent="0.3">
      <c r="A147" t="s">
        <v>243</v>
      </c>
      <c r="B147" t="s">
        <v>244</v>
      </c>
      <c r="C147">
        <v>109.9</v>
      </c>
      <c r="D147">
        <v>12.27</v>
      </c>
      <c r="E147">
        <f t="shared" ca="1" si="8"/>
        <v>120.33105335671391</v>
      </c>
      <c r="F147">
        <f t="shared" ca="1" si="9"/>
        <v>-10.431053356713903</v>
      </c>
      <c r="G147">
        <f t="shared" ca="1" si="10"/>
        <v>-8.6686296394262383E-2</v>
      </c>
      <c r="H147" t="str">
        <f t="shared" ca="1" si="11"/>
        <v>underprived</v>
      </c>
    </row>
    <row r="148" spans="1:8" x14ac:dyDescent="0.3">
      <c r="A148" t="s">
        <v>245</v>
      </c>
      <c r="B148" t="s">
        <v>246</v>
      </c>
      <c r="C148">
        <v>89</v>
      </c>
      <c r="D148">
        <v>25.9</v>
      </c>
      <c r="E148">
        <f t="shared" ca="1" si="8"/>
        <v>84.881471793766764</v>
      </c>
      <c r="F148">
        <f t="shared" ca="1" si="9"/>
        <v>4.1185282062332362</v>
      </c>
      <c r="G148">
        <f t="shared" ca="1" si="10"/>
        <v>4.8520933004553284E-2</v>
      </c>
      <c r="H148" t="str">
        <f t="shared" ca="1" si="11"/>
        <v>competitive</v>
      </c>
    </row>
    <row r="149" spans="1:8" x14ac:dyDescent="0.3">
      <c r="A149" t="s">
        <v>247</v>
      </c>
      <c r="B149" t="s">
        <v>111</v>
      </c>
      <c r="C149">
        <v>120</v>
      </c>
      <c r="D149">
        <v>13.75</v>
      </c>
      <c r="E149">
        <f t="shared" ca="1" si="8"/>
        <v>121.72310875153255</v>
      </c>
      <c r="F149">
        <f t="shared" ca="1" si="9"/>
        <v>-1.7231087515325498</v>
      </c>
      <c r="G149">
        <f t="shared" ca="1" si="10"/>
        <v>-1.415597062222464E-2</v>
      </c>
      <c r="H149" t="str">
        <f t="shared" ca="1" si="11"/>
        <v>competitive</v>
      </c>
    </row>
    <row r="150" spans="1:8" x14ac:dyDescent="0.3">
      <c r="A150" t="s">
        <v>248</v>
      </c>
      <c r="B150" t="s">
        <v>49</v>
      </c>
      <c r="C150">
        <v>75</v>
      </c>
      <c r="D150">
        <v>14.28</v>
      </c>
      <c r="E150">
        <f t="shared" ca="1" si="8"/>
        <v>67.965320395448416</v>
      </c>
      <c r="F150">
        <f t="shared" ca="1" si="9"/>
        <v>7.0346796045515845</v>
      </c>
      <c r="G150">
        <f t="shared" ca="1" si="10"/>
        <v>0.103503957071358</v>
      </c>
      <c r="H150" t="str">
        <f t="shared" ca="1" si="11"/>
        <v>overpriced</v>
      </c>
    </row>
    <row r="151" spans="1:8" x14ac:dyDescent="0.3">
      <c r="A151" t="s">
        <v>249</v>
      </c>
      <c r="B151" t="s">
        <v>250</v>
      </c>
      <c r="C151">
        <v>46.86</v>
      </c>
      <c r="D151">
        <v>14.52</v>
      </c>
      <c r="E151">
        <f t="shared" ca="1" si="8"/>
        <v>51.106270433766042</v>
      </c>
      <c r="F151">
        <f t="shared" ca="1" si="9"/>
        <v>-4.2462704337660426</v>
      </c>
      <c r="G151">
        <f t="shared" ca="1" si="10"/>
        <v>-8.3087073224590483E-2</v>
      </c>
      <c r="H151" t="str">
        <f t="shared" ca="1" si="11"/>
        <v>underprived</v>
      </c>
    </row>
    <row r="152" spans="1:8" x14ac:dyDescent="0.3">
      <c r="A152" t="s">
        <v>251</v>
      </c>
      <c r="B152" t="s">
        <v>252</v>
      </c>
      <c r="C152">
        <v>96</v>
      </c>
      <c r="D152">
        <v>14.84</v>
      </c>
      <c r="E152">
        <f t="shared" ca="1" si="8"/>
        <v>104.41397459358097</v>
      </c>
      <c r="F152">
        <f t="shared" ca="1" si="9"/>
        <v>-8.4139745935809742</v>
      </c>
      <c r="G152">
        <f t="shared" ca="1" si="10"/>
        <v>-8.0582839857704619E-2</v>
      </c>
      <c r="H152" t="str">
        <f t="shared" ca="1" si="11"/>
        <v>underprived</v>
      </c>
    </row>
    <row r="153" spans="1:8" x14ac:dyDescent="0.3">
      <c r="A153" t="s">
        <v>253</v>
      </c>
      <c r="B153" t="s">
        <v>254</v>
      </c>
      <c r="C153">
        <v>49.99</v>
      </c>
      <c r="D153">
        <v>18.12</v>
      </c>
      <c r="E153">
        <f t="shared" ca="1" si="8"/>
        <v>45.690635907413601</v>
      </c>
      <c r="F153">
        <f t="shared" ca="1" si="9"/>
        <v>4.2993640925864014</v>
      </c>
      <c r="G153">
        <f t="shared" ca="1" si="10"/>
        <v>9.4097269762200925E-2</v>
      </c>
      <c r="H153" t="str">
        <f t="shared" ca="1" si="11"/>
        <v>overpriced</v>
      </c>
    </row>
    <row r="154" spans="1:8" x14ac:dyDescent="0.3">
      <c r="A154" t="s">
        <v>255</v>
      </c>
      <c r="B154" t="s">
        <v>254</v>
      </c>
      <c r="C154">
        <v>24.99</v>
      </c>
      <c r="D154">
        <v>13.58</v>
      </c>
      <c r="E154">
        <f t="shared" ca="1" si="8"/>
        <v>22.686339355824728</v>
      </c>
      <c r="F154">
        <f t="shared" ca="1" si="9"/>
        <v>2.3036606441752703</v>
      </c>
      <c r="G154">
        <f t="shared" ca="1" si="10"/>
        <v>0.1015439559482656</v>
      </c>
      <c r="H154" t="str">
        <f t="shared" ca="1" si="11"/>
        <v>overpriced</v>
      </c>
    </row>
    <row r="155" spans="1:8" x14ac:dyDescent="0.3">
      <c r="A155" t="s">
        <v>255</v>
      </c>
      <c r="B155" t="s">
        <v>254</v>
      </c>
      <c r="C155">
        <v>24.99</v>
      </c>
      <c r="D155">
        <v>13.58</v>
      </c>
      <c r="E155">
        <f t="shared" ca="1" si="8"/>
        <v>25.254432605468178</v>
      </c>
      <c r="F155">
        <f t="shared" ca="1" si="9"/>
        <v>-0.26443260546817982</v>
      </c>
      <c r="G155">
        <f t="shared" ca="1" si="10"/>
        <v>-1.0470740309205123E-2</v>
      </c>
      <c r="H155" t="str">
        <f t="shared" ca="1" si="11"/>
        <v>competitive</v>
      </c>
    </row>
    <row r="156" spans="1:8" x14ac:dyDescent="0.3">
      <c r="A156" t="s">
        <v>256</v>
      </c>
      <c r="B156" t="s">
        <v>257</v>
      </c>
      <c r="C156">
        <v>120.1</v>
      </c>
      <c r="D156">
        <v>16.600000000000001</v>
      </c>
      <c r="E156">
        <f t="shared" ca="1" si="8"/>
        <v>115.67949943686931</v>
      </c>
      <c r="F156">
        <f t="shared" ca="1" si="9"/>
        <v>4.4205005631306875</v>
      </c>
      <c r="G156">
        <f t="shared" ca="1" si="10"/>
        <v>3.8213344496214066E-2</v>
      </c>
      <c r="H156" t="str">
        <f t="shared" ca="1" si="11"/>
        <v>competitive</v>
      </c>
    </row>
    <row r="157" spans="1:8" x14ac:dyDescent="0.3">
      <c r="A157" t="s">
        <v>258</v>
      </c>
      <c r="B157" t="s">
        <v>213</v>
      </c>
      <c r="C157">
        <v>69.900000000000006</v>
      </c>
      <c r="D157">
        <v>16.25</v>
      </c>
      <c r="E157">
        <f t="shared" ca="1" si="8"/>
        <v>68.315408486252963</v>
      </c>
      <c r="F157">
        <f t="shared" ca="1" si="9"/>
        <v>1.5845915137470428</v>
      </c>
      <c r="G157">
        <f t="shared" ca="1" si="10"/>
        <v>2.319522855617424E-2</v>
      </c>
      <c r="H157" t="str">
        <f t="shared" ca="1" si="11"/>
        <v>competitive</v>
      </c>
    </row>
    <row r="158" spans="1:8" x14ac:dyDescent="0.3">
      <c r="A158" t="s">
        <v>259</v>
      </c>
      <c r="B158" t="s">
        <v>260</v>
      </c>
      <c r="C158">
        <v>39.9</v>
      </c>
      <c r="D158">
        <v>54.02</v>
      </c>
      <c r="E158">
        <f t="shared" ca="1" si="8"/>
        <v>40.119206806987158</v>
      </c>
      <c r="F158">
        <f t="shared" ca="1" si="9"/>
        <v>-0.21920680698715955</v>
      </c>
      <c r="G158">
        <f t="shared" ca="1" si="10"/>
        <v>-5.4638868620149918E-3</v>
      </c>
      <c r="H158" t="str">
        <f t="shared" ca="1" si="11"/>
        <v>competitive</v>
      </c>
    </row>
    <row r="159" spans="1:8" x14ac:dyDescent="0.3">
      <c r="A159" t="s">
        <v>261</v>
      </c>
      <c r="B159" t="s">
        <v>262</v>
      </c>
      <c r="C159">
        <v>159.9</v>
      </c>
      <c r="D159">
        <v>20.309999999999999</v>
      </c>
      <c r="E159">
        <f t="shared" ca="1" si="8"/>
        <v>168.67123623502118</v>
      </c>
      <c r="F159">
        <f t="shared" ca="1" si="9"/>
        <v>-8.7712362350211777</v>
      </c>
      <c r="G159">
        <f t="shared" ca="1" si="10"/>
        <v>-5.20019680344289E-2</v>
      </c>
      <c r="H159" t="str">
        <f t="shared" ca="1" si="11"/>
        <v>underprived</v>
      </c>
    </row>
    <row r="160" spans="1:8" x14ac:dyDescent="0.3">
      <c r="A160" t="s">
        <v>263</v>
      </c>
      <c r="B160" t="s">
        <v>200</v>
      </c>
      <c r="C160">
        <v>540</v>
      </c>
      <c r="D160">
        <v>16.22</v>
      </c>
      <c r="E160">
        <f t="shared" ca="1" si="8"/>
        <v>522.73246497954096</v>
      </c>
      <c r="F160">
        <f t="shared" ca="1" si="9"/>
        <v>17.267535020459036</v>
      </c>
      <c r="G160">
        <f t="shared" ca="1" si="10"/>
        <v>3.3033217137441166E-2</v>
      </c>
      <c r="H160" t="str">
        <f t="shared" ca="1" si="11"/>
        <v>competitive</v>
      </c>
    </row>
    <row r="161" spans="1:8" x14ac:dyDescent="0.3">
      <c r="A161" t="s">
        <v>264</v>
      </c>
      <c r="B161" t="s">
        <v>265</v>
      </c>
      <c r="C161">
        <v>189.9</v>
      </c>
      <c r="D161">
        <v>31.17</v>
      </c>
      <c r="E161">
        <f t="shared" ca="1" si="8"/>
        <v>183.73220707827272</v>
      </c>
      <c r="F161">
        <f t="shared" ca="1" si="9"/>
        <v>6.1677929217272833</v>
      </c>
      <c r="G161">
        <f t="shared" ca="1" si="10"/>
        <v>3.356947058878855E-2</v>
      </c>
      <c r="H161" t="str">
        <f t="shared" ca="1" si="11"/>
        <v>competitive</v>
      </c>
    </row>
    <row r="162" spans="1:8" x14ac:dyDescent="0.3">
      <c r="A162" t="s">
        <v>266</v>
      </c>
      <c r="B162" t="s">
        <v>267</v>
      </c>
      <c r="C162">
        <v>14.9</v>
      </c>
      <c r="D162">
        <v>8.27</v>
      </c>
      <c r="E162">
        <f t="shared" ca="1" si="8"/>
        <v>13.851450763494547</v>
      </c>
      <c r="F162">
        <f t="shared" ca="1" si="9"/>
        <v>1.048549236505453</v>
      </c>
      <c r="G162">
        <f t="shared" ca="1" si="10"/>
        <v>7.5699596699928429E-2</v>
      </c>
      <c r="H162" t="str">
        <f t="shared" ca="1" si="11"/>
        <v>overpriced</v>
      </c>
    </row>
    <row r="163" spans="1:8" x14ac:dyDescent="0.3">
      <c r="A163" t="s">
        <v>268</v>
      </c>
      <c r="B163" t="s">
        <v>269</v>
      </c>
      <c r="C163">
        <v>43.9</v>
      </c>
      <c r="D163">
        <v>11.85</v>
      </c>
      <c r="E163">
        <f t="shared" ca="1" si="8"/>
        <v>48.120638500746978</v>
      </c>
      <c r="F163">
        <f t="shared" ca="1" si="9"/>
        <v>-4.2206385007469791</v>
      </c>
      <c r="G163">
        <f t="shared" ca="1" si="10"/>
        <v>-8.7709528224183098E-2</v>
      </c>
      <c r="H163" t="str">
        <f t="shared" ca="1" si="11"/>
        <v>underprived</v>
      </c>
    </row>
    <row r="164" spans="1:8" x14ac:dyDescent="0.3">
      <c r="A164" t="s">
        <v>270</v>
      </c>
      <c r="B164" t="s">
        <v>271</v>
      </c>
      <c r="C164">
        <v>139</v>
      </c>
      <c r="D164">
        <v>87.28</v>
      </c>
      <c r="E164">
        <f t="shared" ca="1" si="8"/>
        <v>142.10262966658158</v>
      </c>
      <c r="F164">
        <f t="shared" ca="1" si="9"/>
        <v>-3.1026296665815778</v>
      </c>
      <c r="G164">
        <f t="shared" ca="1" si="10"/>
        <v>-2.1833724498000803E-2</v>
      </c>
      <c r="H164" t="str">
        <f t="shared" ca="1" si="11"/>
        <v>competitive</v>
      </c>
    </row>
    <row r="165" spans="1:8" x14ac:dyDescent="0.3">
      <c r="A165" t="s">
        <v>272</v>
      </c>
      <c r="B165" t="s">
        <v>273</v>
      </c>
      <c r="C165">
        <v>40.35</v>
      </c>
      <c r="D165">
        <v>13.71</v>
      </c>
      <c r="E165">
        <f t="shared" ca="1" si="8"/>
        <v>41.177549879230654</v>
      </c>
      <c r="F165">
        <f t="shared" ca="1" si="9"/>
        <v>-0.82754987923065215</v>
      </c>
      <c r="G165">
        <f t="shared" ca="1" si="10"/>
        <v>-2.0097113151651018E-2</v>
      </c>
      <c r="H165" t="str">
        <f t="shared" ca="1" si="11"/>
        <v>competitive</v>
      </c>
    </row>
    <row r="166" spans="1:8" x14ac:dyDescent="0.3">
      <c r="A166" t="s">
        <v>274</v>
      </c>
      <c r="B166" t="s">
        <v>275</v>
      </c>
      <c r="C166">
        <v>469</v>
      </c>
      <c r="D166">
        <v>20.85</v>
      </c>
      <c r="E166">
        <f t="shared" ca="1" si="8"/>
        <v>427.70478410836944</v>
      </c>
      <c r="F166">
        <f t="shared" ca="1" si="9"/>
        <v>41.295215891630562</v>
      </c>
      <c r="G166">
        <f t="shared" ca="1" si="10"/>
        <v>9.6550745808743191E-2</v>
      </c>
      <c r="H166" t="str">
        <f t="shared" ca="1" si="11"/>
        <v>overpriced</v>
      </c>
    </row>
    <row r="167" spans="1:8" x14ac:dyDescent="0.3">
      <c r="A167" t="s">
        <v>276</v>
      </c>
      <c r="B167" t="s">
        <v>277</v>
      </c>
      <c r="C167">
        <v>59</v>
      </c>
      <c r="D167">
        <v>16.170000000000002</v>
      </c>
      <c r="E167">
        <f t="shared" ca="1" si="8"/>
        <v>61.739089612522719</v>
      </c>
      <c r="F167">
        <f t="shared" ca="1" si="9"/>
        <v>-2.7390896125227187</v>
      </c>
      <c r="G167">
        <f t="shared" ca="1" si="10"/>
        <v>-4.436556531224168E-2</v>
      </c>
      <c r="H167" t="str">
        <f t="shared" ca="1" si="11"/>
        <v>competitive</v>
      </c>
    </row>
    <row r="168" spans="1:8" x14ac:dyDescent="0.3">
      <c r="A168" t="s">
        <v>278</v>
      </c>
      <c r="B168" t="s">
        <v>71</v>
      </c>
      <c r="C168">
        <v>35.9</v>
      </c>
      <c r="D168">
        <v>15.79</v>
      </c>
      <c r="E168">
        <f t="shared" ca="1" si="8"/>
        <v>39.438268104404813</v>
      </c>
      <c r="F168">
        <f t="shared" ca="1" si="9"/>
        <v>-3.5382681044048141</v>
      </c>
      <c r="G168">
        <f t="shared" ca="1" si="10"/>
        <v>-8.9716619782541349E-2</v>
      </c>
      <c r="H168" t="str">
        <f t="shared" ca="1" si="11"/>
        <v>underprived</v>
      </c>
    </row>
    <row r="169" spans="1:8" x14ac:dyDescent="0.3">
      <c r="A169" t="s">
        <v>278</v>
      </c>
      <c r="B169" t="s">
        <v>71</v>
      </c>
      <c r="C169">
        <v>35.9</v>
      </c>
      <c r="D169">
        <v>15.79</v>
      </c>
      <c r="E169">
        <f t="shared" ca="1" si="8"/>
        <v>38.341339434832413</v>
      </c>
      <c r="F169">
        <f t="shared" ca="1" si="9"/>
        <v>-2.4413394348324147</v>
      </c>
      <c r="G169">
        <f t="shared" ca="1" si="10"/>
        <v>-6.3673817107560468E-2</v>
      </c>
      <c r="H169" t="str">
        <f t="shared" ca="1" si="11"/>
        <v>underprived</v>
      </c>
    </row>
    <row r="170" spans="1:8" x14ac:dyDescent="0.3">
      <c r="A170" t="s">
        <v>279</v>
      </c>
      <c r="B170" t="s">
        <v>280</v>
      </c>
      <c r="C170">
        <v>96.99</v>
      </c>
      <c r="D170">
        <v>16.440000000000001</v>
      </c>
      <c r="E170">
        <f t="shared" ca="1" si="8"/>
        <v>104.18369941694348</v>
      </c>
      <c r="F170">
        <f t="shared" ca="1" si="9"/>
        <v>-7.1936994169434882</v>
      </c>
      <c r="G170">
        <f t="shared" ca="1" si="10"/>
        <v>-6.9048224023551721E-2</v>
      </c>
      <c r="H170" t="str">
        <f t="shared" ca="1" si="11"/>
        <v>underprived</v>
      </c>
    </row>
    <row r="171" spans="1:8" x14ac:dyDescent="0.3">
      <c r="A171" t="s">
        <v>281</v>
      </c>
      <c r="B171" t="s">
        <v>282</v>
      </c>
      <c r="C171">
        <v>77.900000000000006</v>
      </c>
      <c r="D171">
        <v>13.89</v>
      </c>
      <c r="E171">
        <f t="shared" ca="1" si="8"/>
        <v>84.220338030431293</v>
      </c>
      <c r="F171">
        <f t="shared" ca="1" si="9"/>
        <v>-6.3203380304312873</v>
      </c>
      <c r="G171">
        <f t="shared" ca="1" si="10"/>
        <v>-7.5045270278392404E-2</v>
      </c>
      <c r="H171" t="str">
        <f t="shared" ca="1" si="11"/>
        <v>underprived</v>
      </c>
    </row>
    <row r="172" spans="1:8" x14ac:dyDescent="0.3">
      <c r="A172" t="s">
        <v>283</v>
      </c>
      <c r="B172" t="s">
        <v>284</v>
      </c>
      <c r="C172">
        <v>229.99</v>
      </c>
      <c r="D172">
        <v>20.8</v>
      </c>
      <c r="E172">
        <f t="shared" ca="1" si="8"/>
        <v>245.52281793728571</v>
      </c>
      <c r="F172">
        <f t="shared" ca="1" si="9"/>
        <v>-15.532817937285699</v>
      </c>
      <c r="G172">
        <f t="shared" ca="1" si="10"/>
        <v>-6.3264254083517699E-2</v>
      </c>
      <c r="H172" t="str">
        <f t="shared" ca="1" si="11"/>
        <v>underprived</v>
      </c>
    </row>
    <row r="173" spans="1:8" x14ac:dyDescent="0.3">
      <c r="A173" t="s">
        <v>285</v>
      </c>
      <c r="B173" t="s">
        <v>286</v>
      </c>
      <c r="C173">
        <v>56</v>
      </c>
      <c r="D173">
        <v>14.14</v>
      </c>
      <c r="E173">
        <f t="shared" ca="1" si="8"/>
        <v>53.514151876183128</v>
      </c>
      <c r="F173">
        <f t="shared" ca="1" si="9"/>
        <v>2.4858481238168721</v>
      </c>
      <c r="G173">
        <f t="shared" ca="1" si="10"/>
        <v>4.6452163337437055E-2</v>
      </c>
      <c r="H173" t="str">
        <f t="shared" ca="1" si="11"/>
        <v>competitive</v>
      </c>
    </row>
    <row r="174" spans="1:8" x14ac:dyDescent="0.3">
      <c r="A174" t="s">
        <v>287</v>
      </c>
      <c r="B174" t="s">
        <v>288</v>
      </c>
      <c r="C174">
        <v>69.989999999999995</v>
      </c>
      <c r="D174">
        <v>11.99</v>
      </c>
      <c r="E174">
        <f t="shared" ca="1" si="8"/>
        <v>64.706456952696726</v>
      </c>
      <c r="F174">
        <f t="shared" ca="1" si="9"/>
        <v>5.2835430473032687</v>
      </c>
      <c r="G174">
        <f t="shared" ca="1" si="10"/>
        <v>8.1654031083262246E-2</v>
      </c>
      <c r="H174" t="str">
        <f t="shared" ca="1" si="11"/>
        <v>overpriced</v>
      </c>
    </row>
    <row r="175" spans="1:8" x14ac:dyDescent="0.3">
      <c r="A175" t="s">
        <v>289</v>
      </c>
      <c r="B175" t="s">
        <v>290</v>
      </c>
      <c r="C175">
        <v>49.9</v>
      </c>
      <c r="D175">
        <v>7.78</v>
      </c>
      <c r="E175">
        <f t="shared" ca="1" si="8"/>
        <v>48.218881496799426</v>
      </c>
      <c r="F175">
        <f t="shared" ca="1" si="9"/>
        <v>1.6811185032005724</v>
      </c>
      <c r="G175">
        <f t="shared" ca="1" si="10"/>
        <v>3.4864319764699607E-2</v>
      </c>
      <c r="H175" t="str">
        <f t="shared" ca="1" si="11"/>
        <v>competitive</v>
      </c>
    </row>
    <row r="176" spans="1:8" x14ac:dyDescent="0.3">
      <c r="A176" t="s">
        <v>291</v>
      </c>
      <c r="B176" t="s">
        <v>292</v>
      </c>
      <c r="C176">
        <v>14</v>
      </c>
      <c r="D176">
        <v>7.39</v>
      </c>
      <c r="E176">
        <f t="shared" ca="1" si="8"/>
        <v>12.763561317652645</v>
      </c>
      <c r="F176">
        <f t="shared" ca="1" si="9"/>
        <v>1.2364386823473552</v>
      </c>
      <c r="G176">
        <f t="shared" ca="1" si="10"/>
        <v>9.6872546115894673E-2</v>
      </c>
      <c r="H176" t="str">
        <f t="shared" ca="1" si="11"/>
        <v>overpriced</v>
      </c>
    </row>
    <row r="177" spans="1:8" x14ac:dyDescent="0.3">
      <c r="A177" t="s">
        <v>293</v>
      </c>
      <c r="B177" t="s">
        <v>49</v>
      </c>
      <c r="C177">
        <v>29</v>
      </c>
      <c r="D177">
        <v>14.1</v>
      </c>
      <c r="E177">
        <f t="shared" ca="1" si="8"/>
        <v>30.580257249101074</v>
      </c>
      <c r="F177">
        <f t="shared" ca="1" si="9"/>
        <v>-1.5802572491010736</v>
      </c>
      <c r="G177">
        <f t="shared" ca="1" si="10"/>
        <v>-5.1675734321938255E-2</v>
      </c>
      <c r="H177" t="str">
        <f t="shared" ca="1" si="11"/>
        <v>underprived</v>
      </c>
    </row>
    <row r="178" spans="1:8" x14ac:dyDescent="0.3">
      <c r="A178" t="s">
        <v>294</v>
      </c>
      <c r="B178" t="s">
        <v>295</v>
      </c>
      <c r="C178">
        <v>99</v>
      </c>
      <c r="D178">
        <v>43.06</v>
      </c>
      <c r="E178">
        <f t="shared" ca="1" si="8"/>
        <v>105.90759897886224</v>
      </c>
      <c r="F178">
        <f t="shared" ca="1" si="9"/>
        <v>-6.9075989788622394</v>
      </c>
      <c r="G178">
        <f t="shared" ca="1" si="10"/>
        <v>-6.5222883395183992E-2</v>
      </c>
      <c r="H178" t="str">
        <f t="shared" ca="1" si="11"/>
        <v>underprived</v>
      </c>
    </row>
    <row r="179" spans="1:8" x14ac:dyDescent="0.3">
      <c r="A179" t="s">
        <v>296</v>
      </c>
      <c r="B179" t="s">
        <v>297</v>
      </c>
      <c r="C179">
        <v>499</v>
      </c>
      <c r="D179">
        <v>30.35</v>
      </c>
      <c r="E179">
        <f t="shared" ca="1" si="8"/>
        <v>541.69396676174927</v>
      </c>
      <c r="F179">
        <f t="shared" ca="1" si="9"/>
        <v>-42.693966761749266</v>
      </c>
      <c r="G179">
        <f t="shared" ca="1" si="10"/>
        <v>-7.8815658621738269E-2</v>
      </c>
      <c r="H179" t="str">
        <f t="shared" ca="1" si="11"/>
        <v>underprived</v>
      </c>
    </row>
    <row r="180" spans="1:8" x14ac:dyDescent="0.3">
      <c r="A180" t="s">
        <v>298</v>
      </c>
      <c r="B180" t="s">
        <v>299</v>
      </c>
      <c r="C180">
        <v>39.85</v>
      </c>
      <c r="D180">
        <v>12.79</v>
      </c>
      <c r="E180">
        <f t="shared" ca="1" si="8"/>
        <v>39.547390744228196</v>
      </c>
      <c r="F180">
        <f t="shared" ca="1" si="9"/>
        <v>0.30260925577180586</v>
      </c>
      <c r="G180">
        <f t="shared" ca="1" si="10"/>
        <v>7.6518134338855372E-3</v>
      </c>
      <c r="H180" t="str">
        <f t="shared" ca="1" si="11"/>
        <v>competitive</v>
      </c>
    </row>
    <row r="181" spans="1:8" x14ac:dyDescent="0.3">
      <c r="A181" t="s">
        <v>300</v>
      </c>
      <c r="B181" t="s">
        <v>301</v>
      </c>
      <c r="C181">
        <v>149</v>
      </c>
      <c r="D181">
        <v>14.06</v>
      </c>
      <c r="E181">
        <f t="shared" ca="1" si="8"/>
        <v>148.10305671216793</v>
      </c>
      <c r="F181">
        <f t="shared" ca="1" si="9"/>
        <v>0.89694328783207311</v>
      </c>
      <c r="G181">
        <f t="shared" ca="1" si="10"/>
        <v>6.0562105046572043E-3</v>
      </c>
      <c r="H181" t="str">
        <f t="shared" ca="1" si="11"/>
        <v>competitive</v>
      </c>
    </row>
    <row r="182" spans="1:8" x14ac:dyDescent="0.3">
      <c r="A182" t="s">
        <v>302</v>
      </c>
      <c r="B182" t="s">
        <v>186</v>
      </c>
      <c r="C182">
        <v>179.98</v>
      </c>
      <c r="D182">
        <v>12.46</v>
      </c>
      <c r="E182">
        <f t="shared" ca="1" si="8"/>
        <v>191.64900757329241</v>
      </c>
      <c r="F182">
        <f t="shared" ca="1" si="9"/>
        <v>-11.669007573292419</v>
      </c>
      <c r="G182">
        <f t="shared" ca="1" si="10"/>
        <v>-6.0887388466281701E-2</v>
      </c>
      <c r="H182" t="str">
        <f t="shared" ca="1" si="11"/>
        <v>underprived</v>
      </c>
    </row>
    <row r="183" spans="1:8" x14ac:dyDescent="0.3">
      <c r="A183" t="s">
        <v>303</v>
      </c>
      <c r="B183" t="s">
        <v>304</v>
      </c>
      <c r="C183">
        <v>219.99</v>
      </c>
      <c r="D183">
        <v>14.9</v>
      </c>
      <c r="E183">
        <f t="shared" ca="1" si="8"/>
        <v>220.24848690514477</v>
      </c>
      <c r="F183">
        <f t="shared" ca="1" si="9"/>
        <v>-0.25848690514476402</v>
      </c>
      <c r="G183">
        <f t="shared" ca="1" si="10"/>
        <v>-1.1736148964151E-3</v>
      </c>
      <c r="H183" t="str">
        <f t="shared" ca="1" si="11"/>
        <v>competitive</v>
      </c>
    </row>
    <row r="184" spans="1:8" x14ac:dyDescent="0.3">
      <c r="A184" t="s">
        <v>305</v>
      </c>
      <c r="B184" t="s">
        <v>49</v>
      </c>
      <c r="C184">
        <v>129</v>
      </c>
      <c r="D184">
        <v>8.16</v>
      </c>
      <c r="E184">
        <f t="shared" ca="1" si="8"/>
        <v>137.60517984741105</v>
      </c>
      <c r="F184">
        <f t="shared" ca="1" si="9"/>
        <v>-8.6051798474110512</v>
      </c>
      <c r="G184">
        <f t="shared" ca="1" si="10"/>
        <v>-6.2535290146441033E-2</v>
      </c>
      <c r="H184" t="str">
        <f t="shared" ca="1" si="11"/>
        <v>underprived</v>
      </c>
    </row>
    <row r="185" spans="1:8" x14ac:dyDescent="0.3">
      <c r="A185" t="s">
        <v>306</v>
      </c>
      <c r="B185" t="s">
        <v>307</v>
      </c>
      <c r="C185">
        <v>137</v>
      </c>
      <c r="D185">
        <v>15.71</v>
      </c>
      <c r="E185">
        <f t="shared" ca="1" si="8"/>
        <v>127.27444788625834</v>
      </c>
      <c r="F185">
        <f t="shared" ca="1" si="9"/>
        <v>9.7255521137416565</v>
      </c>
      <c r="G185">
        <f t="shared" ca="1" si="10"/>
        <v>7.6414019273005326E-2</v>
      </c>
      <c r="H185" t="str">
        <f t="shared" ca="1" si="11"/>
        <v>overpriced</v>
      </c>
    </row>
    <row r="186" spans="1:8" x14ac:dyDescent="0.3">
      <c r="A186" t="s">
        <v>308</v>
      </c>
      <c r="B186" t="s">
        <v>309</v>
      </c>
      <c r="C186">
        <v>37</v>
      </c>
      <c r="D186">
        <v>10.96</v>
      </c>
      <c r="E186">
        <f t="shared" ca="1" si="8"/>
        <v>39.677587280327515</v>
      </c>
      <c r="F186">
        <f t="shared" ca="1" si="9"/>
        <v>-2.6775872803275149</v>
      </c>
      <c r="G186">
        <f t="shared" ca="1" si="10"/>
        <v>-6.7483621456365259E-2</v>
      </c>
      <c r="H186" t="str">
        <f t="shared" ca="1" si="11"/>
        <v>underprived</v>
      </c>
    </row>
    <row r="187" spans="1:8" x14ac:dyDescent="0.3">
      <c r="A187" t="s">
        <v>310</v>
      </c>
      <c r="B187" t="s">
        <v>311</v>
      </c>
      <c r="C187">
        <v>154</v>
      </c>
      <c r="D187">
        <v>14.83</v>
      </c>
      <c r="E187">
        <f t="shared" ca="1" si="8"/>
        <v>149.86424244198489</v>
      </c>
      <c r="F187">
        <f t="shared" ca="1" si="9"/>
        <v>4.1357575580151149</v>
      </c>
      <c r="G187">
        <f t="shared" ca="1" si="10"/>
        <v>2.7596693451515896E-2</v>
      </c>
      <c r="H187" t="str">
        <f t="shared" ca="1" si="11"/>
        <v>competitive</v>
      </c>
    </row>
    <row r="188" spans="1:8" x14ac:dyDescent="0.3">
      <c r="A188" t="s">
        <v>312</v>
      </c>
      <c r="B188" t="s">
        <v>313</v>
      </c>
      <c r="C188">
        <v>253.52</v>
      </c>
      <c r="D188">
        <v>82.86</v>
      </c>
      <c r="E188">
        <f t="shared" ca="1" si="8"/>
        <v>246.09799762144158</v>
      </c>
      <c r="F188">
        <f t="shared" ca="1" si="9"/>
        <v>7.4220023785584317</v>
      </c>
      <c r="G188">
        <f t="shared" ca="1" si="10"/>
        <v>3.0158727215551229E-2</v>
      </c>
      <c r="H188" t="str">
        <f t="shared" ca="1" si="11"/>
        <v>competitive</v>
      </c>
    </row>
    <row r="189" spans="1:8" x14ac:dyDescent="0.3">
      <c r="A189" t="s">
        <v>314</v>
      </c>
      <c r="B189" t="s">
        <v>315</v>
      </c>
      <c r="C189">
        <v>49.9</v>
      </c>
      <c r="D189">
        <v>7.39</v>
      </c>
      <c r="E189">
        <f t="shared" ca="1" si="8"/>
        <v>51.440095610806281</v>
      </c>
      <c r="F189">
        <f t="shared" ca="1" si="9"/>
        <v>-1.5400956108062829</v>
      </c>
      <c r="G189">
        <f t="shared" ca="1" si="10"/>
        <v>-2.9939594639531487E-2</v>
      </c>
      <c r="H189" t="str">
        <f t="shared" ca="1" si="11"/>
        <v>competitive</v>
      </c>
    </row>
    <row r="190" spans="1:8" x14ac:dyDescent="0.3">
      <c r="A190" t="s">
        <v>316</v>
      </c>
      <c r="B190" t="s">
        <v>317</v>
      </c>
      <c r="C190">
        <v>148.9</v>
      </c>
      <c r="D190">
        <v>13.95</v>
      </c>
      <c r="E190">
        <f t="shared" ca="1" si="8"/>
        <v>144.7355650292985</v>
      </c>
      <c r="F190">
        <f t="shared" ca="1" si="9"/>
        <v>4.1644349707015067</v>
      </c>
      <c r="G190">
        <f t="shared" ca="1" si="10"/>
        <v>2.8772713671712337E-2</v>
      </c>
      <c r="H190" t="str">
        <f t="shared" ca="1" si="11"/>
        <v>competitive</v>
      </c>
    </row>
    <row r="191" spans="1:8" x14ac:dyDescent="0.3">
      <c r="A191" t="s">
        <v>318</v>
      </c>
      <c r="B191" t="s">
        <v>319</v>
      </c>
      <c r="C191">
        <v>64.900000000000006</v>
      </c>
      <c r="D191">
        <v>18.690000000000001</v>
      </c>
      <c r="E191">
        <f t="shared" ca="1" si="8"/>
        <v>65.032875959108466</v>
      </c>
      <c r="F191">
        <f t="shared" ca="1" si="9"/>
        <v>-0.13287595910846051</v>
      </c>
      <c r="G191">
        <f t="shared" ca="1" si="10"/>
        <v>-2.0432121007843878E-3</v>
      </c>
      <c r="H191" t="str">
        <f t="shared" ca="1" si="11"/>
        <v>competitive</v>
      </c>
    </row>
    <row r="192" spans="1:8" x14ac:dyDescent="0.3">
      <c r="A192" t="s">
        <v>320</v>
      </c>
      <c r="B192" t="s">
        <v>198</v>
      </c>
      <c r="C192">
        <v>179</v>
      </c>
      <c r="D192">
        <v>16</v>
      </c>
      <c r="E192">
        <f t="shared" ca="1" si="8"/>
        <v>190.0908505247744</v>
      </c>
      <c r="F192">
        <f t="shared" ca="1" si="9"/>
        <v>-11.090850524774396</v>
      </c>
      <c r="G192">
        <f t="shared" ca="1" si="10"/>
        <v>-5.8344999215672058E-2</v>
      </c>
      <c r="H192" t="str">
        <f t="shared" ca="1" si="11"/>
        <v>underprived</v>
      </c>
    </row>
    <row r="193" spans="1:8" x14ac:dyDescent="0.3">
      <c r="A193" t="s">
        <v>321</v>
      </c>
      <c r="B193" t="s">
        <v>322</v>
      </c>
      <c r="C193">
        <v>27.9</v>
      </c>
      <c r="D193">
        <v>15.1</v>
      </c>
      <c r="E193">
        <f t="shared" ca="1" si="8"/>
        <v>26.592361086874416</v>
      </c>
      <c r="F193">
        <f t="shared" ca="1" si="9"/>
        <v>1.307638913125583</v>
      </c>
      <c r="G193">
        <f t="shared" ca="1" si="10"/>
        <v>4.9173479137623988E-2</v>
      </c>
      <c r="H193" t="str">
        <f t="shared" ca="1" si="11"/>
        <v>competitive</v>
      </c>
    </row>
    <row r="194" spans="1:8" x14ac:dyDescent="0.3">
      <c r="A194" t="s">
        <v>323</v>
      </c>
      <c r="B194" t="s">
        <v>324</v>
      </c>
      <c r="C194">
        <v>39</v>
      </c>
      <c r="D194">
        <v>16.11</v>
      </c>
      <c r="E194">
        <f t="shared" ca="1" si="8"/>
        <v>39.904307444094108</v>
      </c>
      <c r="F194">
        <f t="shared" ca="1" si="9"/>
        <v>-0.90430744409410835</v>
      </c>
      <c r="G194">
        <f t="shared" ca="1" si="10"/>
        <v>-2.2661900481822473E-2</v>
      </c>
      <c r="H194" t="str">
        <f t="shared" ca="1" si="11"/>
        <v>competitive</v>
      </c>
    </row>
    <row r="195" spans="1:8" x14ac:dyDescent="0.3">
      <c r="A195" t="s">
        <v>325</v>
      </c>
      <c r="B195" t="s">
        <v>25</v>
      </c>
      <c r="C195">
        <v>7</v>
      </c>
      <c r="D195">
        <v>14.1</v>
      </c>
      <c r="E195">
        <f t="shared" ref="E195:E258" ca="1" si="12">C195*(1+RAND()*0.2-0.1)</f>
        <v>7.6796068772997206</v>
      </c>
      <c r="F195">
        <f t="shared" ref="F195:F258" ca="1" si="13">C195-E195</f>
        <v>-0.67960687729972058</v>
      </c>
      <c r="G195">
        <f t="shared" ref="G195:G258" ca="1" si="14">(C195-E195)/E195</f>
        <v>-8.8495008684439561E-2</v>
      </c>
      <c r="H195" t="str">
        <f t="shared" ref="H195:H258" ca="1" si="15">IF(E195="","competitive",IF(ABS(C195-E195)/E195&lt;=0.05,"competitive",IF(C195&gt;E195,"overpriced","underprived")))</f>
        <v>underprived</v>
      </c>
    </row>
    <row r="196" spans="1:8" x14ac:dyDescent="0.3">
      <c r="A196" t="s">
        <v>326</v>
      </c>
      <c r="B196" t="s">
        <v>327</v>
      </c>
      <c r="C196">
        <v>269</v>
      </c>
      <c r="D196">
        <v>10.7</v>
      </c>
      <c r="E196">
        <f t="shared" ca="1" si="12"/>
        <v>292.41063896889892</v>
      </c>
      <c r="F196">
        <f t="shared" ca="1" si="13"/>
        <v>-23.410638968898922</v>
      </c>
      <c r="G196">
        <f t="shared" ca="1" si="14"/>
        <v>-8.0060831751709624E-2</v>
      </c>
      <c r="H196" t="str">
        <f t="shared" ca="1" si="15"/>
        <v>underprived</v>
      </c>
    </row>
    <row r="197" spans="1:8" x14ac:dyDescent="0.3">
      <c r="A197" t="s">
        <v>328</v>
      </c>
      <c r="B197" t="s">
        <v>329</v>
      </c>
      <c r="C197">
        <v>99.9</v>
      </c>
      <c r="D197">
        <v>17.95</v>
      </c>
      <c r="E197">
        <f t="shared" ca="1" si="12"/>
        <v>107.18199422166697</v>
      </c>
      <c r="F197">
        <f t="shared" ca="1" si="13"/>
        <v>-7.2819942216669631</v>
      </c>
      <c r="G197">
        <f t="shared" ca="1" si="14"/>
        <v>-6.7940462150823638E-2</v>
      </c>
      <c r="H197" t="str">
        <f t="shared" ca="1" si="15"/>
        <v>underprived</v>
      </c>
    </row>
    <row r="198" spans="1:8" x14ac:dyDescent="0.3">
      <c r="A198" t="s">
        <v>330</v>
      </c>
      <c r="B198" t="s">
        <v>29</v>
      </c>
      <c r="C198">
        <v>69.900000000000006</v>
      </c>
      <c r="D198">
        <v>15.24</v>
      </c>
      <c r="E198">
        <f t="shared" ca="1" si="12"/>
        <v>63.0477221038038</v>
      </c>
      <c r="F198">
        <f t="shared" ca="1" si="13"/>
        <v>6.8522778961962061</v>
      </c>
      <c r="G198">
        <f t="shared" ca="1" si="14"/>
        <v>0.10868398837493914</v>
      </c>
      <c r="H198" t="str">
        <f t="shared" ca="1" si="15"/>
        <v>overpriced</v>
      </c>
    </row>
    <row r="199" spans="1:8" x14ac:dyDescent="0.3">
      <c r="A199" t="s">
        <v>331</v>
      </c>
      <c r="B199" t="s">
        <v>332</v>
      </c>
      <c r="C199">
        <v>89.9</v>
      </c>
      <c r="D199">
        <v>23.13</v>
      </c>
      <c r="E199">
        <f t="shared" ca="1" si="12"/>
        <v>89.493217789103994</v>
      </c>
      <c r="F199">
        <f t="shared" ca="1" si="13"/>
        <v>0.40678221089601152</v>
      </c>
      <c r="G199">
        <f t="shared" ca="1" si="14"/>
        <v>4.545397080867263E-3</v>
      </c>
      <c r="H199" t="str">
        <f t="shared" ca="1" si="15"/>
        <v>competitive</v>
      </c>
    </row>
    <row r="200" spans="1:8" x14ac:dyDescent="0.3">
      <c r="A200" t="s">
        <v>333</v>
      </c>
      <c r="B200" t="s">
        <v>267</v>
      </c>
      <c r="C200">
        <v>165</v>
      </c>
      <c r="D200">
        <v>19.03</v>
      </c>
      <c r="E200">
        <f t="shared" ca="1" si="12"/>
        <v>171.79636682003007</v>
      </c>
      <c r="F200">
        <f t="shared" ca="1" si="13"/>
        <v>-6.7963668200300731</v>
      </c>
      <c r="G200">
        <f t="shared" ca="1" si="14"/>
        <v>-3.9560596919664723E-2</v>
      </c>
      <c r="H200" t="str">
        <f t="shared" ca="1" si="15"/>
        <v>competitive</v>
      </c>
    </row>
    <row r="201" spans="1:8" x14ac:dyDescent="0.3">
      <c r="A201" t="s">
        <v>334</v>
      </c>
      <c r="B201" t="s">
        <v>79</v>
      </c>
      <c r="C201">
        <v>57.99</v>
      </c>
      <c r="D201">
        <v>11.73</v>
      </c>
      <c r="E201">
        <f t="shared" ca="1" si="12"/>
        <v>63.403437127257789</v>
      </c>
      <c r="F201">
        <f t="shared" ca="1" si="13"/>
        <v>-5.4134371272577866</v>
      </c>
      <c r="G201">
        <f t="shared" ca="1" si="14"/>
        <v>-8.5380814866430871E-2</v>
      </c>
      <c r="H201" t="str">
        <f t="shared" ca="1" si="15"/>
        <v>underprived</v>
      </c>
    </row>
    <row r="202" spans="1:8" x14ac:dyDescent="0.3">
      <c r="A202" t="s">
        <v>335</v>
      </c>
      <c r="B202" t="s">
        <v>37</v>
      </c>
      <c r="C202">
        <v>259</v>
      </c>
      <c r="D202">
        <v>10.63</v>
      </c>
      <c r="E202">
        <f t="shared" ca="1" si="12"/>
        <v>282.68092252362203</v>
      </c>
      <c r="F202">
        <f t="shared" ca="1" si="13"/>
        <v>-23.68092252362203</v>
      </c>
      <c r="G202">
        <f t="shared" ca="1" si="14"/>
        <v>-8.3772623607605318E-2</v>
      </c>
      <c r="H202" t="str">
        <f t="shared" ca="1" si="15"/>
        <v>underprived</v>
      </c>
    </row>
    <row r="203" spans="1:8" x14ac:dyDescent="0.3">
      <c r="A203" t="s">
        <v>336</v>
      </c>
      <c r="B203" t="s">
        <v>49</v>
      </c>
      <c r="C203">
        <v>55</v>
      </c>
      <c r="D203">
        <v>7.65</v>
      </c>
      <c r="E203">
        <f t="shared" ca="1" si="12"/>
        <v>58.938759430843625</v>
      </c>
      <c r="F203">
        <f t="shared" ca="1" si="13"/>
        <v>-3.9387594308436249</v>
      </c>
      <c r="G203">
        <f t="shared" ca="1" si="14"/>
        <v>-6.6828000264668064E-2</v>
      </c>
      <c r="H203" t="str">
        <f t="shared" ca="1" si="15"/>
        <v>underprived</v>
      </c>
    </row>
    <row r="204" spans="1:8" x14ac:dyDescent="0.3">
      <c r="A204" t="s">
        <v>337</v>
      </c>
      <c r="B204" t="s">
        <v>39</v>
      </c>
      <c r="C204">
        <v>133</v>
      </c>
      <c r="D204">
        <v>16.690000000000001</v>
      </c>
      <c r="E204">
        <f t="shared" ca="1" si="12"/>
        <v>134.26197231479219</v>
      </c>
      <c r="F204">
        <f t="shared" ca="1" si="13"/>
        <v>-1.2619723147921889</v>
      </c>
      <c r="G204">
        <f t="shared" ca="1" si="14"/>
        <v>-9.3993279931368339E-3</v>
      </c>
      <c r="H204" t="str">
        <f t="shared" ca="1" si="15"/>
        <v>competitive</v>
      </c>
    </row>
    <row r="205" spans="1:8" x14ac:dyDescent="0.3">
      <c r="A205" t="s">
        <v>338</v>
      </c>
      <c r="B205" t="s">
        <v>339</v>
      </c>
      <c r="C205">
        <v>35.9</v>
      </c>
      <c r="D205">
        <v>18.23</v>
      </c>
      <c r="E205">
        <f t="shared" ca="1" si="12"/>
        <v>35.194927930096675</v>
      </c>
      <c r="F205">
        <f t="shared" ca="1" si="13"/>
        <v>0.7050720699033235</v>
      </c>
      <c r="G205">
        <f t="shared" ca="1" si="14"/>
        <v>2.0033343193761349E-2</v>
      </c>
      <c r="H205" t="str">
        <f t="shared" ca="1" si="15"/>
        <v>competitive</v>
      </c>
    </row>
    <row r="206" spans="1:8" x14ac:dyDescent="0.3">
      <c r="A206" t="s">
        <v>340</v>
      </c>
      <c r="B206" t="s">
        <v>341</v>
      </c>
      <c r="C206">
        <v>14.89</v>
      </c>
      <c r="D206">
        <v>18.23</v>
      </c>
      <c r="E206">
        <f t="shared" ca="1" si="12"/>
        <v>14.471919289198073</v>
      </c>
      <c r="F206">
        <f t="shared" ca="1" si="13"/>
        <v>0.41808071080192732</v>
      </c>
      <c r="G206">
        <f t="shared" ca="1" si="14"/>
        <v>2.8889099119975416E-2</v>
      </c>
      <c r="H206" t="str">
        <f t="shared" ca="1" si="15"/>
        <v>competitive</v>
      </c>
    </row>
    <row r="207" spans="1:8" x14ac:dyDescent="0.3">
      <c r="A207" t="s">
        <v>342</v>
      </c>
      <c r="B207" t="s">
        <v>343</v>
      </c>
      <c r="C207">
        <v>99</v>
      </c>
      <c r="D207">
        <v>13</v>
      </c>
      <c r="E207">
        <f t="shared" ca="1" si="12"/>
        <v>103.32285906130119</v>
      </c>
      <c r="F207">
        <f t="shared" ca="1" si="13"/>
        <v>-4.3228590613011875</v>
      </c>
      <c r="G207">
        <f t="shared" ca="1" si="14"/>
        <v>-4.1838360848458968E-2</v>
      </c>
      <c r="H207" t="str">
        <f t="shared" ca="1" si="15"/>
        <v>competitive</v>
      </c>
    </row>
    <row r="208" spans="1:8" x14ac:dyDescent="0.3">
      <c r="A208" t="s">
        <v>344</v>
      </c>
      <c r="B208" t="s">
        <v>111</v>
      </c>
      <c r="C208">
        <v>90</v>
      </c>
      <c r="D208">
        <v>9.44</v>
      </c>
      <c r="E208">
        <f t="shared" ca="1" si="12"/>
        <v>97.980200905383725</v>
      </c>
      <c r="F208">
        <f t="shared" ca="1" si="13"/>
        <v>-7.9802009053837253</v>
      </c>
      <c r="G208">
        <f t="shared" ca="1" si="14"/>
        <v>-8.1447076364845841E-2</v>
      </c>
      <c r="H208" t="str">
        <f t="shared" ca="1" si="15"/>
        <v>underprived</v>
      </c>
    </row>
    <row r="209" spans="1:8" x14ac:dyDescent="0.3">
      <c r="A209" t="s">
        <v>345</v>
      </c>
      <c r="B209" t="s">
        <v>346</v>
      </c>
      <c r="C209">
        <v>43.49</v>
      </c>
      <c r="D209">
        <v>27.39</v>
      </c>
      <c r="E209">
        <f t="shared" ca="1" si="12"/>
        <v>45.592814919660952</v>
      </c>
      <c r="F209">
        <f t="shared" ca="1" si="13"/>
        <v>-2.1028149196609505</v>
      </c>
      <c r="G209">
        <f t="shared" ca="1" si="14"/>
        <v>-4.6121629545495674E-2</v>
      </c>
      <c r="H209" t="str">
        <f t="shared" ca="1" si="15"/>
        <v>competitive</v>
      </c>
    </row>
    <row r="210" spans="1:8" x14ac:dyDescent="0.3">
      <c r="A210" t="s">
        <v>347</v>
      </c>
      <c r="B210" t="s">
        <v>348</v>
      </c>
      <c r="C210">
        <v>109.99</v>
      </c>
      <c r="D210">
        <v>36.85</v>
      </c>
      <c r="E210">
        <f t="shared" ca="1" si="12"/>
        <v>108.57856377782115</v>
      </c>
      <c r="F210">
        <f t="shared" ca="1" si="13"/>
        <v>1.4114362221788497</v>
      </c>
      <c r="G210">
        <f t="shared" ca="1" si="14"/>
        <v>1.2999216171867964E-2</v>
      </c>
      <c r="H210" t="str">
        <f t="shared" ca="1" si="15"/>
        <v>competitive</v>
      </c>
    </row>
    <row r="211" spans="1:8" x14ac:dyDescent="0.3">
      <c r="A211" t="s">
        <v>349</v>
      </c>
      <c r="B211" t="s">
        <v>350</v>
      </c>
      <c r="C211">
        <v>9.99</v>
      </c>
      <c r="D211">
        <v>15.23</v>
      </c>
      <c r="E211">
        <f t="shared" ca="1" si="12"/>
        <v>9.1951524487543566</v>
      </c>
      <c r="F211">
        <f t="shared" ca="1" si="13"/>
        <v>0.79484755124564366</v>
      </c>
      <c r="G211">
        <f t="shared" ca="1" si="14"/>
        <v>8.6442019931199682E-2</v>
      </c>
      <c r="H211" t="str">
        <f t="shared" ca="1" si="15"/>
        <v>overpriced</v>
      </c>
    </row>
    <row r="212" spans="1:8" x14ac:dyDescent="0.3">
      <c r="A212" t="s">
        <v>349</v>
      </c>
      <c r="B212" t="s">
        <v>350</v>
      </c>
      <c r="C212">
        <v>9.99</v>
      </c>
      <c r="D212">
        <v>15.23</v>
      </c>
      <c r="E212">
        <f t="shared" ca="1" si="12"/>
        <v>9.2291754452084316</v>
      </c>
      <c r="F212">
        <f t="shared" ca="1" si="13"/>
        <v>0.76082455479156863</v>
      </c>
      <c r="G212">
        <f t="shared" ca="1" si="14"/>
        <v>8.2436893664923294E-2</v>
      </c>
      <c r="H212" t="str">
        <f t="shared" ca="1" si="15"/>
        <v>overpriced</v>
      </c>
    </row>
    <row r="213" spans="1:8" x14ac:dyDescent="0.3">
      <c r="A213" t="s">
        <v>351</v>
      </c>
      <c r="B213" t="s">
        <v>352</v>
      </c>
      <c r="C213">
        <v>28.5</v>
      </c>
      <c r="D213">
        <v>34.15</v>
      </c>
      <c r="E213">
        <f t="shared" ca="1" si="12"/>
        <v>26.002289363919317</v>
      </c>
      <c r="F213">
        <f t="shared" ca="1" si="13"/>
        <v>2.4977106360806829</v>
      </c>
      <c r="G213">
        <f t="shared" ca="1" si="14"/>
        <v>9.6057335610859607E-2</v>
      </c>
      <c r="H213" t="str">
        <f t="shared" ca="1" si="15"/>
        <v>overpriced</v>
      </c>
    </row>
    <row r="214" spans="1:8" x14ac:dyDescent="0.3">
      <c r="A214" t="s">
        <v>353</v>
      </c>
      <c r="B214" t="s">
        <v>354</v>
      </c>
      <c r="C214">
        <v>199</v>
      </c>
      <c r="D214">
        <v>8.74</v>
      </c>
      <c r="E214">
        <f t="shared" ca="1" si="12"/>
        <v>201.66880441781854</v>
      </c>
      <c r="F214">
        <f t="shared" ca="1" si="13"/>
        <v>-2.6688044178185351</v>
      </c>
      <c r="G214">
        <f t="shared" ca="1" si="14"/>
        <v>-1.3233600633091926E-2</v>
      </c>
      <c r="H214" t="str">
        <f t="shared" ca="1" si="15"/>
        <v>competitive</v>
      </c>
    </row>
    <row r="215" spans="1:8" x14ac:dyDescent="0.3">
      <c r="A215" t="s">
        <v>355</v>
      </c>
      <c r="B215" t="s">
        <v>147</v>
      </c>
      <c r="C215">
        <v>135.9</v>
      </c>
      <c r="D215">
        <v>21.44</v>
      </c>
      <c r="E215">
        <f t="shared" ca="1" si="12"/>
        <v>134.24275822962647</v>
      </c>
      <c r="F215">
        <f t="shared" ca="1" si="13"/>
        <v>1.6572417703735312</v>
      </c>
      <c r="G215">
        <f t="shared" ca="1" si="14"/>
        <v>1.2345111142150155E-2</v>
      </c>
      <c r="H215" t="str">
        <f t="shared" ca="1" si="15"/>
        <v>competitive</v>
      </c>
    </row>
    <row r="216" spans="1:8" x14ac:dyDescent="0.3">
      <c r="A216" t="s">
        <v>356</v>
      </c>
      <c r="B216" t="s">
        <v>357</v>
      </c>
      <c r="C216">
        <v>249</v>
      </c>
      <c r="D216">
        <v>37.090000000000003</v>
      </c>
      <c r="E216">
        <f t="shared" ca="1" si="12"/>
        <v>228.74665426176492</v>
      </c>
      <c r="F216">
        <f t="shared" ca="1" si="13"/>
        <v>20.253345738235083</v>
      </c>
      <c r="G216">
        <f t="shared" ca="1" si="14"/>
        <v>8.8540511351297327E-2</v>
      </c>
      <c r="H216" t="str">
        <f t="shared" ca="1" si="15"/>
        <v>overpriced</v>
      </c>
    </row>
    <row r="217" spans="1:8" x14ac:dyDescent="0.3">
      <c r="A217" t="s">
        <v>358</v>
      </c>
      <c r="B217" t="s">
        <v>359</v>
      </c>
      <c r="C217">
        <v>49.99</v>
      </c>
      <c r="D217">
        <v>15.56</v>
      </c>
      <c r="E217">
        <f t="shared" ca="1" si="12"/>
        <v>48.092163336859478</v>
      </c>
      <c r="F217">
        <f t="shared" ca="1" si="13"/>
        <v>1.8978366631405237</v>
      </c>
      <c r="G217">
        <f t="shared" ca="1" si="14"/>
        <v>3.9462493085353822E-2</v>
      </c>
      <c r="H217" t="str">
        <f t="shared" ca="1" si="15"/>
        <v>competitive</v>
      </c>
    </row>
    <row r="218" spans="1:8" x14ac:dyDescent="0.3">
      <c r="A218" t="s">
        <v>360</v>
      </c>
      <c r="B218" t="s">
        <v>49</v>
      </c>
      <c r="C218">
        <v>38</v>
      </c>
      <c r="D218">
        <v>7.53</v>
      </c>
      <c r="E218">
        <f t="shared" ca="1" si="12"/>
        <v>34.572754001796831</v>
      </c>
      <c r="F218">
        <f t="shared" ca="1" si="13"/>
        <v>3.4272459982031691</v>
      </c>
      <c r="G218">
        <f t="shared" ca="1" si="14"/>
        <v>9.9131414235182042E-2</v>
      </c>
      <c r="H218" t="str">
        <f t="shared" ca="1" si="15"/>
        <v>overpriced</v>
      </c>
    </row>
    <row r="219" spans="1:8" x14ac:dyDescent="0.3">
      <c r="A219" t="s">
        <v>361</v>
      </c>
      <c r="B219" t="s">
        <v>362</v>
      </c>
      <c r="C219">
        <v>85</v>
      </c>
      <c r="D219">
        <v>11.62</v>
      </c>
      <c r="E219">
        <f t="shared" ca="1" si="12"/>
        <v>88.322545169054123</v>
      </c>
      <c r="F219">
        <f t="shared" ca="1" si="13"/>
        <v>-3.3225451690541234</v>
      </c>
      <c r="G219">
        <f t="shared" ca="1" si="14"/>
        <v>-3.7618313225627642E-2</v>
      </c>
      <c r="H219" t="str">
        <f t="shared" ca="1" si="15"/>
        <v>competitive</v>
      </c>
    </row>
    <row r="220" spans="1:8" x14ac:dyDescent="0.3">
      <c r="A220" t="s">
        <v>363</v>
      </c>
      <c r="B220" t="s">
        <v>364</v>
      </c>
      <c r="C220">
        <v>117.3</v>
      </c>
      <c r="D220">
        <v>25.66</v>
      </c>
      <c r="E220">
        <f t="shared" ca="1" si="12"/>
        <v>108.68229739981943</v>
      </c>
      <c r="F220">
        <f t="shared" ca="1" si="13"/>
        <v>8.6177026001805643</v>
      </c>
      <c r="G220">
        <f t="shared" ca="1" si="14"/>
        <v>7.9292606122208106E-2</v>
      </c>
      <c r="H220" t="str">
        <f t="shared" ca="1" si="15"/>
        <v>overpriced</v>
      </c>
    </row>
    <row r="221" spans="1:8" x14ac:dyDescent="0.3">
      <c r="A221" t="s">
        <v>365</v>
      </c>
      <c r="B221" t="s">
        <v>366</v>
      </c>
      <c r="C221">
        <v>99.9</v>
      </c>
      <c r="D221">
        <v>18.57</v>
      </c>
      <c r="E221">
        <f t="shared" ca="1" si="12"/>
        <v>104.62947996399252</v>
      </c>
      <c r="F221">
        <f t="shared" ca="1" si="13"/>
        <v>-4.7294799639925174</v>
      </c>
      <c r="G221">
        <f t="shared" ca="1" si="14"/>
        <v>-4.5202174049036023E-2</v>
      </c>
      <c r="H221" t="str">
        <f t="shared" ca="1" si="15"/>
        <v>competitive</v>
      </c>
    </row>
    <row r="222" spans="1:8" x14ac:dyDescent="0.3">
      <c r="A222" t="s">
        <v>367</v>
      </c>
      <c r="B222" t="s">
        <v>366</v>
      </c>
      <c r="C222">
        <v>99.9</v>
      </c>
      <c r="D222">
        <v>14.35</v>
      </c>
      <c r="E222">
        <f t="shared" ca="1" si="12"/>
        <v>102.94761408529934</v>
      </c>
      <c r="F222">
        <f t="shared" ca="1" si="13"/>
        <v>-3.0476140852993296</v>
      </c>
      <c r="G222">
        <f t="shared" ca="1" si="14"/>
        <v>-2.960354265980528E-2</v>
      </c>
      <c r="H222" t="str">
        <f t="shared" ca="1" si="15"/>
        <v>competitive</v>
      </c>
    </row>
    <row r="223" spans="1:8" x14ac:dyDescent="0.3">
      <c r="A223" t="s">
        <v>368</v>
      </c>
      <c r="B223" t="s">
        <v>369</v>
      </c>
      <c r="C223">
        <v>18</v>
      </c>
      <c r="D223">
        <v>7.87</v>
      </c>
      <c r="E223">
        <f t="shared" ca="1" si="12"/>
        <v>18.112714698776283</v>
      </c>
      <c r="F223">
        <f t="shared" ca="1" si="13"/>
        <v>-0.11271469877628348</v>
      </c>
      <c r="G223">
        <f t="shared" ca="1" si="14"/>
        <v>-6.2229599842313328E-3</v>
      </c>
      <c r="H223" t="str">
        <f t="shared" ca="1" si="15"/>
        <v>competitive</v>
      </c>
    </row>
    <row r="224" spans="1:8" x14ac:dyDescent="0.3">
      <c r="A224" t="s">
        <v>370</v>
      </c>
      <c r="B224" t="s">
        <v>371</v>
      </c>
      <c r="C224">
        <v>11.53</v>
      </c>
      <c r="D224">
        <v>7.39</v>
      </c>
      <c r="E224">
        <f t="shared" ca="1" si="12"/>
        <v>11.711719262578217</v>
      </c>
      <c r="F224">
        <f t="shared" ca="1" si="13"/>
        <v>-0.18171926257821802</v>
      </c>
      <c r="G224">
        <f t="shared" ca="1" si="14"/>
        <v>-1.5516019339607562E-2</v>
      </c>
      <c r="H224" t="str">
        <f t="shared" ca="1" si="15"/>
        <v>competitive</v>
      </c>
    </row>
    <row r="225" spans="1:8" x14ac:dyDescent="0.3">
      <c r="A225" t="s">
        <v>372</v>
      </c>
      <c r="B225" t="s">
        <v>176</v>
      </c>
      <c r="C225">
        <v>269.99</v>
      </c>
      <c r="D225">
        <v>39.409999999999997</v>
      </c>
      <c r="E225">
        <f t="shared" ca="1" si="12"/>
        <v>284.33021365224636</v>
      </c>
      <c r="F225">
        <f t="shared" ca="1" si="13"/>
        <v>-14.340213652246348</v>
      </c>
      <c r="G225">
        <f t="shared" ca="1" si="14"/>
        <v>-5.0435067972710516E-2</v>
      </c>
      <c r="H225" t="str">
        <f t="shared" ca="1" si="15"/>
        <v>underprived</v>
      </c>
    </row>
    <row r="226" spans="1:8" x14ac:dyDescent="0.3">
      <c r="A226" t="s">
        <v>373</v>
      </c>
      <c r="B226" t="s">
        <v>59</v>
      </c>
      <c r="C226">
        <v>89.99</v>
      </c>
      <c r="D226">
        <v>14.8</v>
      </c>
      <c r="E226">
        <f t="shared" ca="1" si="12"/>
        <v>92.124227791093048</v>
      </c>
      <c r="F226">
        <f t="shared" ca="1" si="13"/>
        <v>-2.1342277910930534</v>
      </c>
      <c r="G226">
        <f t="shared" ca="1" si="14"/>
        <v>-2.3166845923884089E-2</v>
      </c>
      <c r="H226" t="str">
        <f t="shared" ca="1" si="15"/>
        <v>competitive</v>
      </c>
    </row>
    <row r="227" spans="1:8" x14ac:dyDescent="0.3">
      <c r="A227" t="s">
        <v>374</v>
      </c>
      <c r="B227" t="s">
        <v>229</v>
      </c>
      <c r="C227">
        <v>19.899999999999999</v>
      </c>
      <c r="D227">
        <v>42.76</v>
      </c>
      <c r="E227">
        <f t="shared" ca="1" si="12"/>
        <v>19.307023497726885</v>
      </c>
      <c r="F227">
        <f t="shared" ca="1" si="13"/>
        <v>0.59297650227311394</v>
      </c>
      <c r="G227">
        <f t="shared" ca="1" si="14"/>
        <v>3.0712994281222483E-2</v>
      </c>
      <c r="H227" t="str">
        <f t="shared" ca="1" si="15"/>
        <v>competitive</v>
      </c>
    </row>
    <row r="228" spans="1:8" x14ac:dyDescent="0.3">
      <c r="A228" t="s">
        <v>375</v>
      </c>
      <c r="B228" t="s">
        <v>376</v>
      </c>
      <c r="C228">
        <v>166.9</v>
      </c>
      <c r="D228">
        <v>13.47</v>
      </c>
      <c r="E228">
        <f t="shared" ca="1" si="12"/>
        <v>172.7092497020343</v>
      </c>
      <c r="F228">
        <f t="shared" ca="1" si="13"/>
        <v>-5.8092497020342933</v>
      </c>
      <c r="G228">
        <f t="shared" ca="1" si="14"/>
        <v>-3.3636007984845458E-2</v>
      </c>
      <c r="H228" t="str">
        <f t="shared" ca="1" si="15"/>
        <v>competitive</v>
      </c>
    </row>
    <row r="229" spans="1:8" x14ac:dyDescent="0.3">
      <c r="A229" t="s">
        <v>377</v>
      </c>
      <c r="B229" t="s">
        <v>378</v>
      </c>
      <c r="C229">
        <v>133.74</v>
      </c>
      <c r="D229">
        <v>12.44</v>
      </c>
      <c r="E229">
        <f t="shared" ca="1" si="12"/>
        <v>141.19979015659848</v>
      </c>
      <c r="F229">
        <f t="shared" ca="1" si="13"/>
        <v>-7.4597901565984728</v>
      </c>
      <c r="G229">
        <f t="shared" ca="1" si="14"/>
        <v>-5.2831453561829993E-2</v>
      </c>
      <c r="H229" t="str">
        <f t="shared" ca="1" si="15"/>
        <v>underprived</v>
      </c>
    </row>
    <row r="230" spans="1:8" x14ac:dyDescent="0.3">
      <c r="A230" t="s">
        <v>379</v>
      </c>
      <c r="B230" t="s">
        <v>380</v>
      </c>
      <c r="C230">
        <v>86.8</v>
      </c>
      <c r="D230">
        <v>7.86</v>
      </c>
      <c r="E230">
        <f t="shared" ca="1" si="12"/>
        <v>81.247564356935996</v>
      </c>
      <c r="F230">
        <f t="shared" ca="1" si="13"/>
        <v>5.5524356430640012</v>
      </c>
      <c r="G230">
        <f t="shared" ca="1" si="14"/>
        <v>6.8339718082761181E-2</v>
      </c>
      <c r="H230" t="str">
        <f t="shared" ca="1" si="15"/>
        <v>overpriced</v>
      </c>
    </row>
    <row r="231" spans="1:8" x14ac:dyDescent="0.3">
      <c r="A231" t="s">
        <v>381</v>
      </c>
      <c r="B231" t="s">
        <v>382</v>
      </c>
      <c r="C231">
        <v>62</v>
      </c>
      <c r="D231">
        <v>8.59</v>
      </c>
      <c r="E231">
        <f t="shared" ca="1" si="12"/>
        <v>59.478952535851747</v>
      </c>
      <c r="F231">
        <f t="shared" ca="1" si="13"/>
        <v>2.5210474641482534</v>
      </c>
      <c r="G231">
        <f t="shared" ca="1" si="14"/>
        <v>4.2385539029603084E-2</v>
      </c>
      <c r="H231" t="str">
        <f t="shared" ca="1" si="15"/>
        <v>competitive</v>
      </c>
    </row>
    <row r="232" spans="1:8" x14ac:dyDescent="0.3">
      <c r="A232" t="s">
        <v>383</v>
      </c>
      <c r="B232" t="s">
        <v>384</v>
      </c>
      <c r="C232">
        <v>158</v>
      </c>
      <c r="D232">
        <v>10.68</v>
      </c>
      <c r="E232">
        <f t="shared" ca="1" si="12"/>
        <v>167.2264653269647</v>
      </c>
      <c r="F232">
        <f t="shared" ca="1" si="13"/>
        <v>-9.2264653269646999</v>
      </c>
      <c r="G232">
        <f t="shared" ca="1" si="14"/>
        <v>-5.5173475734985614E-2</v>
      </c>
      <c r="H232" t="str">
        <f t="shared" ca="1" si="15"/>
        <v>underprived</v>
      </c>
    </row>
    <row r="233" spans="1:8" x14ac:dyDescent="0.3">
      <c r="A233" t="s">
        <v>385</v>
      </c>
      <c r="B233" t="s">
        <v>384</v>
      </c>
      <c r="C233">
        <v>308</v>
      </c>
      <c r="D233">
        <v>31.16</v>
      </c>
      <c r="E233">
        <f t="shared" ca="1" si="12"/>
        <v>286.73284733214859</v>
      </c>
      <c r="F233">
        <f t="shared" ca="1" si="13"/>
        <v>21.267152667851406</v>
      </c>
      <c r="G233">
        <f t="shared" ca="1" si="14"/>
        <v>7.4170618628900023E-2</v>
      </c>
      <c r="H233" t="str">
        <f t="shared" ca="1" si="15"/>
        <v>overpriced</v>
      </c>
    </row>
    <row r="234" spans="1:8" x14ac:dyDescent="0.3">
      <c r="A234" t="s">
        <v>386</v>
      </c>
      <c r="B234" t="s">
        <v>387</v>
      </c>
      <c r="C234">
        <v>129</v>
      </c>
      <c r="D234">
        <v>47.4</v>
      </c>
      <c r="E234">
        <f t="shared" ca="1" si="12"/>
        <v>117.09373537151414</v>
      </c>
      <c r="F234">
        <f t="shared" ca="1" si="13"/>
        <v>11.906264628485857</v>
      </c>
      <c r="G234">
        <f t="shared" ca="1" si="14"/>
        <v>0.10168148270878667</v>
      </c>
      <c r="H234" t="str">
        <f t="shared" ca="1" si="15"/>
        <v>overpriced</v>
      </c>
    </row>
    <row r="235" spans="1:8" x14ac:dyDescent="0.3">
      <c r="A235" t="s">
        <v>388</v>
      </c>
      <c r="B235" t="s">
        <v>313</v>
      </c>
      <c r="C235">
        <v>143.54</v>
      </c>
      <c r="D235">
        <v>21.49</v>
      </c>
      <c r="E235">
        <f t="shared" ca="1" si="12"/>
        <v>144.0658957399003</v>
      </c>
      <c r="F235">
        <f t="shared" ca="1" si="13"/>
        <v>-0.52589573990030658</v>
      </c>
      <c r="G235">
        <f t="shared" ca="1" si="14"/>
        <v>-3.6503832999433133E-3</v>
      </c>
      <c r="H235" t="str">
        <f t="shared" ca="1" si="15"/>
        <v>competitive</v>
      </c>
    </row>
    <row r="236" spans="1:8" x14ac:dyDescent="0.3">
      <c r="A236" t="s">
        <v>389</v>
      </c>
      <c r="B236" t="s">
        <v>390</v>
      </c>
      <c r="C236">
        <v>39.99</v>
      </c>
      <c r="D236">
        <v>18.23</v>
      </c>
      <c r="E236">
        <f t="shared" ca="1" si="12"/>
        <v>41.293636019020163</v>
      </c>
      <c r="F236">
        <f t="shared" ca="1" si="13"/>
        <v>-1.3036360190201606</v>
      </c>
      <c r="G236">
        <f t="shared" ca="1" si="14"/>
        <v>-3.1569901435167781E-2</v>
      </c>
      <c r="H236" t="str">
        <f t="shared" ca="1" si="15"/>
        <v>competitive</v>
      </c>
    </row>
    <row r="237" spans="1:8" x14ac:dyDescent="0.3">
      <c r="A237" t="s">
        <v>389</v>
      </c>
      <c r="B237" t="s">
        <v>390</v>
      </c>
      <c r="C237">
        <v>39.99</v>
      </c>
      <c r="D237">
        <v>18.23</v>
      </c>
      <c r="E237">
        <f t="shared" ca="1" si="12"/>
        <v>37.041936300073118</v>
      </c>
      <c r="F237">
        <f t="shared" ca="1" si="13"/>
        <v>2.9480636999268839</v>
      </c>
      <c r="G237">
        <f t="shared" ca="1" si="14"/>
        <v>7.9587192096139542E-2</v>
      </c>
      <c r="H237" t="str">
        <f t="shared" ca="1" si="15"/>
        <v>overpriced</v>
      </c>
    </row>
    <row r="238" spans="1:8" x14ac:dyDescent="0.3">
      <c r="A238" t="s">
        <v>391</v>
      </c>
      <c r="B238" t="s">
        <v>227</v>
      </c>
      <c r="C238">
        <v>49.9</v>
      </c>
      <c r="D238">
        <v>12.92</v>
      </c>
      <c r="E238">
        <f t="shared" ca="1" si="12"/>
        <v>45.567599800596604</v>
      </c>
      <c r="F238">
        <f t="shared" ca="1" si="13"/>
        <v>4.3324001994033949</v>
      </c>
      <c r="G238">
        <f t="shared" ca="1" si="14"/>
        <v>9.5076330953614813E-2</v>
      </c>
      <c r="H238" t="str">
        <f t="shared" ca="1" si="15"/>
        <v>overpriced</v>
      </c>
    </row>
    <row r="239" spans="1:8" x14ac:dyDescent="0.3">
      <c r="A239" t="s">
        <v>392</v>
      </c>
      <c r="B239" t="s">
        <v>393</v>
      </c>
      <c r="C239">
        <v>119.9</v>
      </c>
      <c r="D239">
        <v>23.34</v>
      </c>
      <c r="E239">
        <f t="shared" ca="1" si="12"/>
        <v>123.48808286055204</v>
      </c>
      <c r="F239">
        <f t="shared" ca="1" si="13"/>
        <v>-3.588082860552035</v>
      </c>
      <c r="G239">
        <f t="shared" ca="1" si="14"/>
        <v>-2.9056106285202027E-2</v>
      </c>
      <c r="H239" t="str">
        <f t="shared" ca="1" si="15"/>
        <v>competitive</v>
      </c>
    </row>
    <row r="240" spans="1:8" x14ac:dyDescent="0.3">
      <c r="A240" t="s">
        <v>394</v>
      </c>
      <c r="B240" t="s">
        <v>322</v>
      </c>
      <c r="C240">
        <v>16.899999999999999</v>
      </c>
      <c r="D240">
        <v>15.1</v>
      </c>
      <c r="E240">
        <f t="shared" ca="1" si="12"/>
        <v>18.261379653203704</v>
      </c>
      <c r="F240">
        <f t="shared" ca="1" si="13"/>
        <v>-1.3613796532037057</v>
      </c>
      <c r="G240">
        <f t="shared" ca="1" si="14"/>
        <v>-7.4549660488815839E-2</v>
      </c>
      <c r="H240" t="str">
        <f t="shared" ca="1" si="15"/>
        <v>underprived</v>
      </c>
    </row>
    <row r="241" spans="1:8" x14ac:dyDescent="0.3">
      <c r="A241" t="s">
        <v>395</v>
      </c>
      <c r="B241" t="s">
        <v>45</v>
      </c>
      <c r="C241">
        <v>29.99</v>
      </c>
      <c r="D241">
        <v>15.1</v>
      </c>
      <c r="E241">
        <f t="shared" ca="1" si="12"/>
        <v>27.475553527430673</v>
      </c>
      <c r="F241">
        <f t="shared" ca="1" si="13"/>
        <v>2.5144464725693254</v>
      </c>
      <c r="G241">
        <f t="shared" ca="1" si="14"/>
        <v>9.1515771285880967E-2</v>
      </c>
      <c r="H241" t="str">
        <f t="shared" ca="1" si="15"/>
        <v>overpriced</v>
      </c>
    </row>
    <row r="242" spans="1:8" x14ac:dyDescent="0.3">
      <c r="A242" t="s">
        <v>396</v>
      </c>
      <c r="B242" t="s">
        <v>397</v>
      </c>
      <c r="C242">
        <v>30.99</v>
      </c>
      <c r="D242">
        <v>34.15</v>
      </c>
      <c r="E242">
        <f t="shared" ca="1" si="12"/>
        <v>33.384085253755075</v>
      </c>
      <c r="F242">
        <f t="shared" ca="1" si="13"/>
        <v>-2.3940852537550761</v>
      </c>
      <c r="G242">
        <f t="shared" ca="1" si="14"/>
        <v>-7.1713369875419514E-2</v>
      </c>
      <c r="H242" t="str">
        <f t="shared" ca="1" si="15"/>
        <v>underprived</v>
      </c>
    </row>
    <row r="243" spans="1:8" x14ac:dyDescent="0.3">
      <c r="A243" t="s">
        <v>398</v>
      </c>
      <c r="B243" t="s">
        <v>25</v>
      </c>
      <c r="C243">
        <v>84.99</v>
      </c>
      <c r="D243">
        <v>15.34</v>
      </c>
      <c r="E243">
        <f t="shared" ca="1" si="12"/>
        <v>83.103534215059398</v>
      </c>
      <c r="F243">
        <f t="shared" ca="1" si="13"/>
        <v>1.8864657849405972</v>
      </c>
      <c r="G243">
        <f t="shared" ca="1" si="14"/>
        <v>2.2700187215368105E-2</v>
      </c>
      <c r="H243" t="str">
        <f t="shared" ca="1" si="15"/>
        <v>competitive</v>
      </c>
    </row>
    <row r="244" spans="1:8" x14ac:dyDescent="0.3">
      <c r="A244" t="s">
        <v>238</v>
      </c>
      <c r="B244" t="s">
        <v>239</v>
      </c>
      <c r="C244">
        <v>149</v>
      </c>
      <c r="D244">
        <v>45.12</v>
      </c>
      <c r="E244">
        <f t="shared" ca="1" si="12"/>
        <v>152.29929505320914</v>
      </c>
      <c r="F244">
        <f t="shared" ca="1" si="13"/>
        <v>-3.2992950532091356</v>
      </c>
      <c r="G244">
        <f t="shared" ca="1" si="14"/>
        <v>-2.166323259773759E-2</v>
      </c>
      <c r="H244" t="str">
        <f t="shared" ca="1" si="15"/>
        <v>competitive</v>
      </c>
    </row>
    <row r="245" spans="1:8" x14ac:dyDescent="0.3">
      <c r="A245" t="s">
        <v>399</v>
      </c>
      <c r="B245" t="s">
        <v>322</v>
      </c>
      <c r="C245">
        <v>48.9</v>
      </c>
      <c r="D245">
        <v>8.82</v>
      </c>
      <c r="E245">
        <f t="shared" ca="1" si="12"/>
        <v>47.049362930360587</v>
      </c>
      <c r="F245">
        <f t="shared" ca="1" si="13"/>
        <v>1.8506370696394114</v>
      </c>
      <c r="G245">
        <f t="shared" ca="1" si="14"/>
        <v>3.9333945336913582E-2</v>
      </c>
      <c r="H245" t="str">
        <f t="shared" ca="1" si="15"/>
        <v>competitive</v>
      </c>
    </row>
    <row r="246" spans="1:8" x14ac:dyDescent="0.3">
      <c r="A246" t="s">
        <v>400</v>
      </c>
      <c r="B246" t="s">
        <v>401</v>
      </c>
      <c r="C246">
        <v>159.49</v>
      </c>
      <c r="D246">
        <v>8.86</v>
      </c>
      <c r="E246">
        <f t="shared" ca="1" si="12"/>
        <v>143.67057483181094</v>
      </c>
      <c r="F246">
        <f t="shared" ca="1" si="13"/>
        <v>15.819425168189071</v>
      </c>
      <c r="G246">
        <f t="shared" ca="1" si="14"/>
        <v>0.11010901283514876</v>
      </c>
      <c r="H246" t="str">
        <f t="shared" ca="1" si="15"/>
        <v>overpriced</v>
      </c>
    </row>
    <row r="247" spans="1:8" x14ac:dyDescent="0.3">
      <c r="A247" t="s">
        <v>402</v>
      </c>
      <c r="B247" t="s">
        <v>403</v>
      </c>
      <c r="C247">
        <v>249.9</v>
      </c>
      <c r="D247">
        <v>41.53</v>
      </c>
      <c r="E247">
        <f t="shared" ca="1" si="12"/>
        <v>274.37084488634008</v>
      </c>
      <c r="F247">
        <f t="shared" ca="1" si="13"/>
        <v>-24.470844886340075</v>
      </c>
      <c r="G247">
        <f t="shared" ca="1" si="14"/>
        <v>-8.9188940233344699E-2</v>
      </c>
      <c r="H247" t="str">
        <f t="shared" ca="1" si="15"/>
        <v>underprived</v>
      </c>
    </row>
    <row r="248" spans="1:8" x14ac:dyDescent="0.3">
      <c r="A248" t="s">
        <v>404</v>
      </c>
      <c r="B248" t="s">
        <v>81</v>
      </c>
      <c r="C248">
        <v>24.89</v>
      </c>
      <c r="D248">
        <v>7.75</v>
      </c>
      <c r="E248">
        <f t="shared" ca="1" si="12"/>
        <v>22.609827280631773</v>
      </c>
      <c r="F248">
        <f t="shared" ca="1" si="13"/>
        <v>2.2801727193682275</v>
      </c>
      <c r="G248">
        <f t="shared" ca="1" si="14"/>
        <v>0.10084874559486304</v>
      </c>
      <c r="H248" t="str">
        <f t="shared" ca="1" si="15"/>
        <v>overpriced</v>
      </c>
    </row>
    <row r="249" spans="1:8" x14ac:dyDescent="0.3">
      <c r="A249" t="s">
        <v>405</v>
      </c>
      <c r="B249" t="s">
        <v>25</v>
      </c>
      <c r="C249">
        <v>53.99</v>
      </c>
      <c r="D249">
        <v>7.78</v>
      </c>
      <c r="E249">
        <f t="shared" ca="1" si="12"/>
        <v>55.221543015562425</v>
      </c>
      <c r="F249">
        <f t="shared" ca="1" si="13"/>
        <v>-1.2315430155624227</v>
      </c>
      <c r="G249">
        <f t="shared" ca="1" si="14"/>
        <v>-2.2301858084902693E-2</v>
      </c>
      <c r="H249" t="str">
        <f t="shared" ca="1" si="15"/>
        <v>competitive</v>
      </c>
    </row>
    <row r="250" spans="1:8" x14ac:dyDescent="0.3">
      <c r="A250" t="s">
        <v>406</v>
      </c>
      <c r="B250" t="s">
        <v>350</v>
      </c>
      <c r="C250">
        <v>15.99</v>
      </c>
      <c r="D250">
        <v>7.39</v>
      </c>
      <c r="E250">
        <f t="shared" ca="1" si="12"/>
        <v>15.042428195347277</v>
      </c>
      <c r="F250">
        <f t="shared" ca="1" si="13"/>
        <v>0.94757180465272306</v>
      </c>
      <c r="G250">
        <f t="shared" ca="1" si="14"/>
        <v>6.2993274247160003E-2</v>
      </c>
      <c r="H250" t="str">
        <f t="shared" ca="1" si="15"/>
        <v>overpriced</v>
      </c>
    </row>
    <row r="251" spans="1:8" x14ac:dyDescent="0.3">
      <c r="A251" t="s">
        <v>407</v>
      </c>
      <c r="B251" t="s">
        <v>408</v>
      </c>
      <c r="C251">
        <v>24.5</v>
      </c>
      <c r="D251">
        <v>11.85</v>
      </c>
      <c r="E251">
        <f t="shared" ca="1" si="12"/>
        <v>26.37228713368647</v>
      </c>
      <c r="F251">
        <f t="shared" ca="1" si="13"/>
        <v>-1.8722871336864699</v>
      </c>
      <c r="G251">
        <f t="shared" ca="1" si="14"/>
        <v>-7.0994492218117711E-2</v>
      </c>
      <c r="H251" t="str">
        <f t="shared" ca="1" si="15"/>
        <v>underprived</v>
      </c>
    </row>
    <row r="252" spans="1:8" x14ac:dyDescent="0.3">
      <c r="A252" t="s">
        <v>409</v>
      </c>
      <c r="B252" t="s">
        <v>182</v>
      </c>
      <c r="C252">
        <v>179</v>
      </c>
      <c r="D252">
        <v>22.99</v>
      </c>
      <c r="E252">
        <f t="shared" ca="1" si="12"/>
        <v>188.36221482564781</v>
      </c>
      <c r="F252">
        <f t="shared" ca="1" si="13"/>
        <v>-9.3622148256478113</v>
      </c>
      <c r="G252">
        <f t="shared" ca="1" si="14"/>
        <v>-4.9703253034658154E-2</v>
      </c>
      <c r="H252" t="str">
        <f t="shared" ca="1" si="15"/>
        <v>competitive</v>
      </c>
    </row>
    <row r="253" spans="1:8" x14ac:dyDescent="0.3">
      <c r="A253" t="s">
        <v>410</v>
      </c>
      <c r="B253" t="s">
        <v>307</v>
      </c>
      <c r="C253">
        <v>37.9</v>
      </c>
      <c r="D253">
        <v>21.43</v>
      </c>
      <c r="E253">
        <f t="shared" ca="1" si="12"/>
        <v>37.655513983359583</v>
      </c>
      <c r="F253">
        <f t="shared" ca="1" si="13"/>
        <v>0.24448601664041547</v>
      </c>
      <c r="G253">
        <f t="shared" ca="1" si="14"/>
        <v>6.4927016199661149E-3</v>
      </c>
      <c r="H253" t="str">
        <f t="shared" ca="1" si="15"/>
        <v>competitive</v>
      </c>
    </row>
    <row r="254" spans="1:8" x14ac:dyDescent="0.3">
      <c r="A254" t="s">
        <v>411</v>
      </c>
      <c r="B254" t="s">
        <v>412</v>
      </c>
      <c r="C254">
        <v>89.9</v>
      </c>
      <c r="D254">
        <v>22.56</v>
      </c>
      <c r="E254">
        <f t="shared" ca="1" si="12"/>
        <v>95.559746913635252</v>
      </c>
      <c r="F254">
        <f t="shared" ca="1" si="13"/>
        <v>-5.6597469136352458</v>
      </c>
      <c r="G254">
        <f t="shared" ca="1" si="14"/>
        <v>-5.9227311670785376E-2</v>
      </c>
      <c r="H254" t="str">
        <f t="shared" ca="1" si="15"/>
        <v>underprived</v>
      </c>
    </row>
    <row r="255" spans="1:8" x14ac:dyDescent="0.3">
      <c r="A255" t="s">
        <v>411</v>
      </c>
      <c r="B255" t="s">
        <v>412</v>
      </c>
      <c r="C255">
        <v>89.9</v>
      </c>
      <c r="D255">
        <v>22.56</v>
      </c>
      <c r="E255">
        <f t="shared" ca="1" si="12"/>
        <v>95.223728868456945</v>
      </c>
      <c r="F255">
        <f t="shared" ca="1" si="13"/>
        <v>-5.3237288684569393</v>
      </c>
      <c r="G255">
        <f t="shared" ca="1" si="14"/>
        <v>-5.5907586603872593E-2</v>
      </c>
      <c r="H255" t="str">
        <f t="shared" ca="1" si="15"/>
        <v>underprived</v>
      </c>
    </row>
    <row r="256" spans="1:8" x14ac:dyDescent="0.3">
      <c r="A256" t="s">
        <v>411</v>
      </c>
      <c r="B256" t="s">
        <v>412</v>
      </c>
      <c r="C256">
        <v>89.9</v>
      </c>
      <c r="D256">
        <v>22.56</v>
      </c>
      <c r="E256">
        <f t="shared" ca="1" si="12"/>
        <v>90.365438278923662</v>
      </c>
      <c r="F256">
        <f t="shared" ca="1" si="13"/>
        <v>-0.46543827892365641</v>
      </c>
      <c r="G256">
        <f t="shared" ca="1" si="14"/>
        <v>-5.1506227135979339E-3</v>
      </c>
      <c r="H256" t="str">
        <f t="shared" ca="1" si="15"/>
        <v>competitive</v>
      </c>
    </row>
    <row r="257" spans="1:8" x14ac:dyDescent="0.3">
      <c r="A257" t="s">
        <v>130</v>
      </c>
      <c r="B257" t="s">
        <v>131</v>
      </c>
      <c r="C257">
        <v>88.34</v>
      </c>
      <c r="D257">
        <v>29.08</v>
      </c>
      <c r="E257">
        <f t="shared" ca="1" si="12"/>
        <v>82.075429556939582</v>
      </c>
      <c r="F257">
        <f t="shared" ca="1" si="13"/>
        <v>6.2645704430604212</v>
      </c>
      <c r="G257">
        <f t="shared" ca="1" si="14"/>
        <v>7.632698941544247E-2</v>
      </c>
      <c r="H257" t="str">
        <f t="shared" ca="1" si="15"/>
        <v>overpriced</v>
      </c>
    </row>
    <row r="258" spans="1:8" x14ac:dyDescent="0.3">
      <c r="A258" t="s">
        <v>413</v>
      </c>
      <c r="B258" t="s">
        <v>414</v>
      </c>
      <c r="C258">
        <v>177.9</v>
      </c>
      <c r="D258">
        <v>18.5</v>
      </c>
      <c r="E258">
        <f t="shared" ca="1" si="12"/>
        <v>189.29015177559998</v>
      </c>
      <c r="F258">
        <f t="shared" ca="1" si="13"/>
        <v>-11.390151775599975</v>
      </c>
      <c r="G258">
        <f t="shared" ca="1" si="14"/>
        <v>-6.0172976083313581E-2</v>
      </c>
      <c r="H258" t="str">
        <f t="shared" ca="1" si="15"/>
        <v>underprived</v>
      </c>
    </row>
    <row r="259" spans="1:8" x14ac:dyDescent="0.3">
      <c r="A259" t="s">
        <v>415</v>
      </c>
      <c r="B259" t="s">
        <v>416</v>
      </c>
      <c r="C259">
        <v>32.99</v>
      </c>
      <c r="D259">
        <v>14.1</v>
      </c>
      <c r="E259">
        <f t="shared" ref="E259:E322" ca="1" si="16">C259*(1+RAND()*0.2-0.1)</f>
        <v>35.202654856470161</v>
      </c>
      <c r="F259">
        <f t="shared" ref="F259:F322" ca="1" si="17">C259-E259</f>
        <v>-2.2126548564701594</v>
      </c>
      <c r="G259">
        <f t="shared" ref="G259:G322" ca="1" si="18">(C259-E259)/E259</f>
        <v>-6.2854772331566888E-2</v>
      </c>
      <c r="H259" t="str">
        <f t="shared" ref="H259:H322" ca="1" si="19">IF(E259="","competitive",IF(ABS(C259-E259)/E259&lt;=0.05,"competitive",IF(C259&gt;E259,"overpriced","underprived")))</f>
        <v>underprived</v>
      </c>
    </row>
    <row r="260" spans="1:8" x14ac:dyDescent="0.3">
      <c r="A260" t="s">
        <v>417</v>
      </c>
      <c r="B260" t="s">
        <v>111</v>
      </c>
      <c r="C260">
        <v>69.900000000000006</v>
      </c>
      <c r="D260">
        <v>0</v>
      </c>
      <c r="E260">
        <f t="shared" ca="1" si="16"/>
        <v>71.342101555212651</v>
      </c>
      <c r="F260">
        <f t="shared" ca="1" si="17"/>
        <v>-1.4421015552126448</v>
      </c>
      <c r="G260">
        <f t="shared" ca="1" si="18"/>
        <v>-2.0213892270843498E-2</v>
      </c>
      <c r="H260" t="str">
        <f t="shared" ca="1" si="19"/>
        <v>competitive</v>
      </c>
    </row>
    <row r="261" spans="1:8" x14ac:dyDescent="0.3">
      <c r="A261" t="s">
        <v>418</v>
      </c>
      <c r="B261" t="s">
        <v>29</v>
      </c>
      <c r="C261">
        <v>109.9</v>
      </c>
      <c r="D261">
        <v>12.27</v>
      </c>
      <c r="E261">
        <f t="shared" ca="1" si="16"/>
        <v>106.31808962867743</v>
      </c>
      <c r="F261">
        <f t="shared" ca="1" si="17"/>
        <v>3.5819103713225786</v>
      </c>
      <c r="G261">
        <f t="shared" ca="1" si="18"/>
        <v>3.369050726769663E-2</v>
      </c>
      <c r="H261" t="str">
        <f t="shared" ca="1" si="19"/>
        <v>competitive</v>
      </c>
    </row>
    <row r="262" spans="1:8" x14ac:dyDescent="0.3">
      <c r="A262" t="s">
        <v>419</v>
      </c>
      <c r="B262" t="s">
        <v>420</v>
      </c>
      <c r="C262">
        <v>52.99</v>
      </c>
      <c r="D262">
        <v>22.3</v>
      </c>
      <c r="E262">
        <f t="shared" ca="1" si="16"/>
        <v>50.213807020868281</v>
      </c>
      <c r="F262">
        <f t="shared" ca="1" si="17"/>
        <v>2.7761929791317215</v>
      </c>
      <c r="G262">
        <f t="shared" ca="1" si="18"/>
        <v>5.5287442714271148E-2</v>
      </c>
      <c r="H262" t="str">
        <f t="shared" ca="1" si="19"/>
        <v>overpriced</v>
      </c>
    </row>
    <row r="263" spans="1:8" x14ac:dyDescent="0.3">
      <c r="A263" t="s">
        <v>421</v>
      </c>
      <c r="B263" t="s">
        <v>422</v>
      </c>
      <c r="C263">
        <v>110.9</v>
      </c>
      <c r="D263">
        <v>14.51</v>
      </c>
      <c r="E263">
        <f t="shared" ca="1" si="16"/>
        <v>119.86239950231342</v>
      </c>
      <c r="F263">
        <f t="shared" ca="1" si="17"/>
        <v>-8.9623995023134171</v>
      </c>
      <c r="G263">
        <f t="shared" ca="1" si="18"/>
        <v>-7.4772401850176848E-2</v>
      </c>
      <c r="H263" t="str">
        <f t="shared" ca="1" si="19"/>
        <v>underprived</v>
      </c>
    </row>
    <row r="264" spans="1:8" x14ac:dyDescent="0.3">
      <c r="A264" t="s">
        <v>423</v>
      </c>
      <c r="B264" t="s">
        <v>171</v>
      </c>
      <c r="C264">
        <v>35.9</v>
      </c>
      <c r="D264">
        <v>12.48</v>
      </c>
      <c r="E264">
        <f t="shared" ca="1" si="16"/>
        <v>33.750771991798182</v>
      </c>
      <c r="F264">
        <f t="shared" ca="1" si="17"/>
        <v>2.1492280082018169</v>
      </c>
      <c r="G264">
        <f t="shared" ca="1" si="18"/>
        <v>6.3679373281420162E-2</v>
      </c>
      <c r="H264" t="str">
        <f t="shared" ca="1" si="19"/>
        <v>overpriced</v>
      </c>
    </row>
    <row r="265" spans="1:8" x14ac:dyDescent="0.3">
      <c r="A265" t="s">
        <v>424</v>
      </c>
      <c r="B265" t="s">
        <v>315</v>
      </c>
      <c r="C265">
        <v>39</v>
      </c>
      <c r="D265">
        <v>7.53</v>
      </c>
      <c r="E265">
        <f t="shared" ca="1" si="16"/>
        <v>41.247656573806047</v>
      </c>
      <c r="F265">
        <f t="shared" ca="1" si="17"/>
        <v>-2.2476565738060472</v>
      </c>
      <c r="G265">
        <f t="shared" ca="1" si="18"/>
        <v>-5.4491739907313944E-2</v>
      </c>
      <c r="H265" t="str">
        <f t="shared" ca="1" si="19"/>
        <v>underprived</v>
      </c>
    </row>
    <row r="266" spans="1:8" x14ac:dyDescent="0.3">
      <c r="A266" t="s">
        <v>425</v>
      </c>
      <c r="B266" t="s">
        <v>426</v>
      </c>
      <c r="C266">
        <v>27.9</v>
      </c>
      <c r="D266">
        <v>7.46</v>
      </c>
      <c r="E266">
        <f t="shared" ca="1" si="16"/>
        <v>26.795747741063799</v>
      </c>
      <c r="F266">
        <f t="shared" ca="1" si="17"/>
        <v>1.1042522589361994</v>
      </c>
      <c r="G266">
        <f t="shared" ca="1" si="18"/>
        <v>4.1209981136072611E-2</v>
      </c>
      <c r="H266" t="str">
        <f t="shared" ca="1" si="19"/>
        <v>competitive</v>
      </c>
    </row>
    <row r="267" spans="1:8" x14ac:dyDescent="0.3">
      <c r="A267" t="s">
        <v>427</v>
      </c>
      <c r="B267" t="s">
        <v>428</v>
      </c>
      <c r="C267">
        <v>579</v>
      </c>
      <c r="D267">
        <v>65.34</v>
      </c>
      <c r="E267">
        <f t="shared" ca="1" si="16"/>
        <v>596.61395188910149</v>
      </c>
      <c r="F267">
        <f t="shared" ca="1" si="17"/>
        <v>-17.613951889101486</v>
      </c>
      <c r="G267">
        <f t="shared" ca="1" si="18"/>
        <v>-2.9523198097076288E-2</v>
      </c>
      <c r="H267" t="str">
        <f t="shared" ca="1" si="19"/>
        <v>competitive</v>
      </c>
    </row>
    <row r="268" spans="1:8" x14ac:dyDescent="0.3">
      <c r="A268" t="s">
        <v>429</v>
      </c>
      <c r="B268" t="s">
        <v>139</v>
      </c>
      <c r="C268">
        <v>99.9</v>
      </c>
      <c r="D268">
        <v>23.57</v>
      </c>
      <c r="E268">
        <f t="shared" ca="1" si="16"/>
        <v>107.44798762710023</v>
      </c>
      <c r="F268">
        <f t="shared" ca="1" si="17"/>
        <v>-7.5479876271002269</v>
      </c>
      <c r="G268">
        <f t="shared" ca="1" si="18"/>
        <v>-7.0247826821062717E-2</v>
      </c>
      <c r="H268" t="str">
        <f t="shared" ca="1" si="19"/>
        <v>underprived</v>
      </c>
    </row>
    <row r="269" spans="1:8" x14ac:dyDescent="0.3">
      <c r="A269" t="s">
        <v>430</v>
      </c>
      <c r="B269" t="s">
        <v>39</v>
      </c>
      <c r="C269">
        <v>37</v>
      </c>
      <c r="D269">
        <v>19.32</v>
      </c>
      <c r="E269">
        <f t="shared" ca="1" si="16"/>
        <v>36.446988803571664</v>
      </c>
      <c r="F269">
        <f t="shared" ca="1" si="17"/>
        <v>0.5530111964283364</v>
      </c>
      <c r="G269">
        <f t="shared" ca="1" si="18"/>
        <v>1.5173028405961029E-2</v>
      </c>
      <c r="H269" t="str">
        <f t="shared" ca="1" si="19"/>
        <v>competitive</v>
      </c>
    </row>
    <row r="270" spans="1:8" x14ac:dyDescent="0.3">
      <c r="A270" t="s">
        <v>431</v>
      </c>
      <c r="B270" t="s">
        <v>47</v>
      </c>
      <c r="C270">
        <v>116.6</v>
      </c>
      <c r="D270">
        <v>30.66</v>
      </c>
      <c r="E270">
        <f t="shared" ca="1" si="16"/>
        <v>125.82082155293386</v>
      </c>
      <c r="F270">
        <f t="shared" ca="1" si="17"/>
        <v>-9.2208215529338702</v>
      </c>
      <c r="G270">
        <f t="shared" ca="1" si="18"/>
        <v>-7.3285338937757558E-2</v>
      </c>
      <c r="H270" t="str">
        <f t="shared" ca="1" si="19"/>
        <v>underprived</v>
      </c>
    </row>
    <row r="271" spans="1:8" x14ac:dyDescent="0.3">
      <c r="A271" t="s">
        <v>432</v>
      </c>
      <c r="B271" t="s">
        <v>49</v>
      </c>
      <c r="C271">
        <v>49</v>
      </c>
      <c r="D271">
        <v>19.25</v>
      </c>
      <c r="E271">
        <f t="shared" ca="1" si="16"/>
        <v>49.775604357047996</v>
      </c>
      <c r="F271">
        <f t="shared" ca="1" si="17"/>
        <v>-0.77560435704799602</v>
      </c>
      <c r="G271">
        <f t="shared" ca="1" si="18"/>
        <v>-1.558201787937054E-2</v>
      </c>
      <c r="H271" t="str">
        <f t="shared" ca="1" si="19"/>
        <v>competitive</v>
      </c>
    </row>
    <row r="272" spans="1:8" x14ac:dyDescent="0.3">
      <c r="A272" t="s">
        <v>433</v>
      </c>
      <c r="B272" t="s">
        <v>434</v>
      </c>
      <c r="C272">
        <v>27.9</v>
      </c>
      <c r="D272">
        <v>9.26</v>
      </c>
      <c r="E272">
        <f t="shared" ca="1" si="16"/>
        <v>29.037328464627713</v>
      </c>
      <c r="F272">
        <f t="shared" ca="1" si="17"/>
        <v>-1.1373284646277142</v>
      </c>
      <c r="G272">
        <f t="shared" ca="1" si="18"/>
        <v>-3.9167806570537957E-2</v>
      </c>
      <c r="H272" t="str">
        <f t="shared" ca="1" si="19"/>
        <v>competitive</v>
      </c>
    </row>
    <row r="273" spans="1:8" x14ac:dyDescent="0.3">
      <c r="A273" t="s">
        <v>435</v>
      </c>
      <c r="B273" t="s">
        <v>436</v>
      </c>
      <c r="C273">
        <v>65</v>
      </c>
      <c r="D273">
        <v>25.73</v>
      </c>
      <c r="E273">
        <f t="shared" ca="1" si="16"/>
        <v>61.081133242433864</v>
      </c>
      <c r="F273">
        <f t="shared" ca="1" si="17"/>
        <v>3.9188667575661356</v>
      </c>
      <c r="G273">
        <f t="shared" ca="1" si="18"/>
        <v>6.4158383277074627E-2</v>
      </c>
      <c r="H273" t="str">
        <f t="shared" ca="1" si="19"/>
        <v>overpriced</v>
      </c>
    </row>
    <row r="274" spans="1:8" x14ac:dyDescent="0.3">
      <c r="A274" t="s">
        <v>424</v>
      </c>
      <c r="B274" t="s">
        <v>315</v>
      </c>
      <c r="C274">
        <v>39.9</v>
      </c>
      <c r="D274">
        <v>11.85</v>
      </c>
      <c r="E274">
        <f t="shared" ca="1" si="16"/>
        <v>40.088174696111672</v>
      </c>
      <c r="F274">
        <f t="shared" ca="1" si="17"/>
        <v>-0.18817469611167326</v>
      </c>
      <c r="G274">
        <f t="shared" ca="1" si="18"/>
        <v>-4.6940200579879523E-3</v>
      </c>
      <c r="H274" t="str">
        <f t="shared" ca="1" si="19"/>
        <v>competitive</v>
      </c>
    </row>
    <row r="275" spans="1:8" x14ac:dyDescent="0.3">
      <c r="A275" t="s">
        <v>437</v>
      </c>
      <c r="B275" t="s">
        <v>438</v>
      </c>
      <c r="C275">
        <v>105</v>
      </c>
      <c r="D275">
        <v>17.87</v>
      </c>
      <c r="E275">
        <f t="shared" ca="1" si="16"/>
        <v>94.56858451877271</v>
      </c>
      <c r="F275">
        <f t="shared" ca="1" si="17"/>
        <v>10.43141548122729</v>
      </c>
      <c r="G275">
        <f t="shared" ca="1" si="18"/>
        <v>0.11030529360579105</v>
      </c>
      <c r="H275" t="str">
        <f t="shared" ca="1" si="19"/>
        <v>overpriced</v>
      </c>
    </row>
    <row r="276" spans="1:8" x14ac:dyDescent="0.3">
      <c r="A276" t="s">
        <v>439</v>
      </c>
      <c r="B276" t="s">
        <v>440</v>
      </c>
      <c r="C276">
        <v>25.79</v>
      </c>
      <c r="D276">
        <v>23.33</v>
      </c>
      <c r="E276">
        <f t="shared" ca="1" si="16"/>
        <v>26.921934295908351</v>
      </c>
      <c r="F276">
        <f t="shared" ca="1" si="17"/>
        <v>-1.1319342959083514</v>
      </c>
      <c r="G276">
        <f t="shared" ca="1" si="18"/>
        <v>-4.2045058258699676E-2</v>
      </c>
      <c r="H276" t="str">
        <f t="shared" ca="1" si="19"/>
        <v>competitive</v>
      </c>
    </row>
    <row r="277" spans="1:8" x14ac:dyDescent="0.3">
      <c r="A277" t="s">
        <v>439</v>
      </c>
      <c r="B277" t="s">
        <v>440</v>
      </c>
      <c r="C277">
        <v>25.79</v>
      </c>
      <c r="D277">
        <v>23.33</v>
      </c>
      <c r="E277">
        <f t="shared" ca="1" si="16"/>
        <v>25.07419452121427</v>
      </c>
      <c r="F277">
        <f t="shared" ca="1" si="17"/>
        <v>0.71580547878572887</v>
      </c>
      <c r="G277">
        <f t="shared" ca="1" si="18"/>
        <v>2.8547496438225146E-2</v>
      </c>
      <c r="H277" t="str">
        <f t="shared" ca="1" si="19"/>
        <v>competitive</v>
      </c>
    </row>
    <row r="278" spans="1:8" x14ac:dyDescent="0.3">
      <c r="A278" t="s">
        <v>441</v>
      </c>
      <c r="B278" t="s">
        <v>200</v>
      </c>
      <c r="C278">
        <v>146.01</v>
      </c>
      <c r="D278">
        <v>13.68</v>
      </c>
      <c r="E278">
        <f t="shared" ca="1" si="16"/>
        <v>137.01061273937736</v>
      </c>
      <c r="F278">
        <f t="shared" ca="1" si="17"/>
        <v>8.9993872606226262</v>
      </c>
      <c r="G278">
        <f t="shared" ca="1" si="18"/>
        <v>6.5683869889271496E-2</v>
      </c>
      <c r="H278" t="str">
        <f t="shared" ca="1" si="19"/>
        <v>overpriced</v>
      </c>
    </row>
    <row r="279" spans="1:8" x14ac:dyDescent="0.3">
      <c r="A279" t="s">
        <v>442</v>
      </c>
      <c r="B279" t="s">
        <v>443</v>
      </c>
      <c r="C279">
        <v>189.9</v>
      </c>
      <c r="D279">
        <v>26.61</v>
      </c>
      <c r="E279">
        <f t="shared" ca="1" si="16"/>
        <v>199.92252804939653</v>
      </c>
      <c r="F279">
        <f t="shared" ca="1" si="17"/>
        <v>-10.022528049396527</v>
      </c>
      <c r="G279">
        <f t="shared" ca="1" si="18"/>
        <v>-5.0132059389125856E-2</v>
      </c>
      <c r="H279" t="str">
        <f t="shared" ca="1" si="19"/>
        <v>underprived</v>
      </c>
    </row>
    <row r="280" spans="1:8" x14ac:dyDescent="0.3">
      <c r="A280" t="s">
        <v>444</v>
      </c>
      <c r="B280" t="s">
        <v>445</v>
      </c>
      <c r="C280">
        <v>139.65</v>
      </c>
      <c r="D280">
        <v>26.26</v>
      </c>
      <c r="E280">
        <f t="shared" ca="1" si="16"/>
        <v>145.21128236780038</v>
      </c>
      <c r="F280">
        <f t="shared" ca="1" si="17"/>
        <v>-5.5612823678003735</v>
      </c>
      <c r="G280">
        <f t="shared" ca="1" si="18"/>
        <v>-3.8297866922725764E-2</v>
      </c>
      <c r="H280" t="str">
        <f t="shared" ca="1" si="19"/>
        <v>competitive</v>
      </c>
    </row>
    <row r="281" spans="1:8" x14ac:dyDescent="0.3">
      <c r="A281" t="s">
        <v>446</v>
      </c>
      <c r="B281" t="s">
        <v>447</v>
      </c>
      <c r="C281">
        <v>59.9</v>
      </c>
      <c r="D281">
        <v>7.68</v>
      </c>
      <c r="E281">
        <f t="shared" ca="1" si="16"/>
        <v>63.766638868117582</v>
      </c>
      <c r="F281">
        <f t="shared" ca="1" si="17"/>
        <v>-3.8666388681175832</v>
      </c>
      <c r="G281">
        <f t="shared" ca="1" si="18"/>
        <v>-6.0637332259499847E-2</v>
      </c>
      <c r="H281" t="str">
        <f t="shared" ca="1" si="19"/>
        <v>underprived</v>
      </c>
    </row>
    <row r="282" spans="1:8" x14ac:dyDescent="0.3">
      <c r="A282" t="s">
        <v>448</v>
      </c>
      <c r="B282" t="s">
        <v>71</v>
      </c>
      <c r="C282">
        <v>13.65</v>
      </c>
      <c r="D282">
        <v>15.23</v>
      </c>
      <c r="E282">
        <f t="shared" ca="1" si="16"/>
        <v>13.561555866573299</v>
      </c>
      <c r="F282">
        <f t="shared" ca="1" si="17"/>
        <v>8.8444133426701654E-2</v>
      </c>
      <c r="G282">
        <f t="shared" ca="1" si="18"/>
        <v>6.5216804249356016E-3</v>
      </c>
      <c r="H282" t="str">
        <f t="shared" ca="1" si="19"/>
        <v>competitive</v>
      </c>
    </row>
    <row r="283" spans="1:8" x14ac:dyDescent="0.3">
      <c r="A283" t="s">
        <v>449</v>
      </c>
      <c r="B283" t="s">
        <v>450</v>
      </c>
      <c r="C283">
        <v>31.9</v>
      </c>
      <c r="D283">
        <v>16.11</v>
      </c>
      <c r="E283">
        <f t="shared" ca="1" si="16"/>
        <v>29.35105245759517</v>
      </c>
      <c r="F283">
        <f t="shared" ca="1" si="17"/>
        <v>2.5489475424048287</v>
      </c>
      <c r="G283">
        <f t="shared" ca="1" si="18"/>
        <v>8.6843480181414676E-2</v>
      </c>
      <c r="H283" t="str">
        <f t="shared" ca="1" si="19"/>
        <v>overpriced</v>
      </c>
    </row>
    <row r="284" spans="1:8" x14ac:dyDescent="0.3">
      <c r="A284" t="s">
        <v>451</v>
      </c>
      <c r="B284" t="s">
        <v>452</v>
      </c>
      <c r="C284">
        <v>33.99</v>
      </c>
      <c r="D284">
        <v>16.600000000000001</v>
      </c>
      <c r="E284">
        <f t="shared" ca="1" si="16"/>
        <v>36.454094959908169</v>
      </c>
      <c r="F284">
        <f t="shared" ca="1" si="17"/>
        <v>-2.4640949599081665</v>
      </c>
      <c r="G284">
        <f t="shared" ca="1" si="18"/>
        <v>-6.7594462641800662E-2</v>
      </c>
      <c r="H284" t="str">
        <f t="shared" ca="1" si="19"/>
        <v>underprived</v>
      </c>
    </row>
    <row r="285" spans="1:8" x14ac:dyDescent="0.3">
      <c r="A285" t="s">
        <v>453</v>
      </c>
      <c r="B285" t="s">
        <v>454</v>
      </c>
      <c r="C285">
        <v>158.9</v>
      </c>
      <c r="D285">
        <v>14.59</v>
      </c>
      <c r="E285">
        <f t="shared" ca="1" si="16"/>
        <v>163.01540951035423</v>
      </c>
      <c r="F285">
        <f t="shared" ca="1" si="17"/>
        <v>-4.1154095103542261</v>
      </c>
      <c r="G285">
        <f t="shared" ca="1" si="18"/>
        <v>-2.5245524473518119E-2</v>
      </c>
      <c r="H285" t="str">
        <f t="shared" ca="1" si="19"/>
        <v>competitive</v>
      </c>
    </row>
    <row r="286" spans="1:8" x14ac:dyDescent="0.3">
      <c r="A286" t="s">
        <v>455</v>
      </c>
      <c r="B286" t="s">
        <v>456</v>
      </c>
      <c r="C286">
        <v>47.4</v>
      </c>
      <c r="D286">
        <v>11.85</v>
      </c>
      <c r="E286">
        <f t="shared" ca="1" si="16"/>
        <v>45.687393905446299</v>
      </c>
      <c r="F286">
        <f t="shared" ca="1" si="17"/>
        <v>1.7126060945536992</v>
      </c>
      <c r="G286">
        <f t="shared" ca="1" si="18"/>
        <v>3.748530936341158E-2</v>
      </c>
      <c r="H286" t="str">
        <f t="shared" ca="1" si="19"/>
        <v>competitive</v>
      </c>
    </row>
    <row r="287" spans="1:8" x14ac:dyDescent="0.3">
      <c r="A287" t="s">
        <v>457</v>
      </c>
      <c r="B287" t="s">
        <v>458</v>
      </c>
      <c r="C287">
        <v>50</v>
      </c>
      <c r="D287">
        <v>21.19</v>
      </c>
      <c r="E287">
        <f t="shared" ca="1" si="16"/>
        <v>48.858875766399699</v>
      </c>
      <c r="F287">
        <f t="shared" ca="1" si="17"/>
        <v>1.1411242336003014</v>
      </c>
      <c r="G287">
        <f t="shared" ca="1" si="18"/>
        <v>2.3355515568064988E-2</v>
      </c>
      <c r="H287" t="str">
        <f t="shared" ca="1" si="19"/>
        <v>competitive</v>
      </c>
    </row>
    <row r="288" spans="1:8" x14ac:dyDescent="0.3">
      <c r="A288" t="s">
        <v>459</v>
      </c>
      <c r="B288" t="s">
        <v>184</v>
      </c>
      <c r="C288">
        <v>59.9</v>
      </c>
      <c r="D288">
        <v>11.15</v>
      </c>
      <c r="E288">
        <f t="shared" ca="1" si="16"/>
        <v>60.60957518094591</v>
      </c>
      <c r="F288">
        <f t="shared" ca="1" si="17"/>
        <v>-0.70957518094591165</v>
      </c>
      <c r="G288">
        <f t="shared" ca="1" si="18"/>
        <v>-1.170731157292427E-2</v>
      </c>
      <c r="H288" t="str">
        <f t="shared" ca="1" si="19"/>
        <v>competitive</v>
      </c>
    </row>
    <row r="289" spans="1:8" x14ac:dyDescent="0.3">
      <c r="A289" t="s">
        <v>460</v>
      </c>
      <c r="B289" t="s">
        <v>461</v>
      </c>
      <c r="C289">
        <v>199</v>
      </c>
      <c r="D289">
        <v>39.659999999999997</v>
      </c>
      <c r="E289">
        <f t="shared" ca="1" si="16"/>
        <v>194.31129702848224</v>
      </c>
      <c r="F289">
        <f t="shared" ca="1" si="17"/>
        <v>4.6887029715177562</v>
      </c>
      <c r="G289">
        <f t="shared" ca="1" si="18"/>
        <v>2.4129852680827322E-2</v>
      </c>
      <c r="H289" t="str">
        <f t="shared" ca="1" si="19"/>
        <v>competitive</v>
      </c>
    </row>
    <row r="290" spans="1:8" x14ac:dyDescent="0.3">
      <c r="A290" t="s">
        <v>460</v>
      </c>
      <c r="B290" t="s">
        <v>461</v>
      </c>
      <c r="C290">
        <v>199</v>
      </c>
      <c r="D290">
        <v>39.659999999999997</v>
      </c>
      <c r="E290">
        <f t="shared" ca="1" si="16"/>
        <v>194.68726732137571</v>
      </c>
      <c r="F290">
        <f t="shared" ca="1" si="17"/>
        <v>4.3127326786242861</v>
      </c>
      <c r="G290">
        <f t="shared" ca="1" si="18"/>
        <v>2.215210443888525E-2</v>
      </c>
      <c r="H290" t="str">
        <f t="shared" ca="1" si="19"/>
        <v>competitive</v>
      </c>
    </row>
    <row r="291" spans="1:8" x14ac:dyDescent="0.3">
      <c r="A291" t="s">
        <v>462</v>
      </c>
      <c r="B291" t="s">
        <v>213</v>
      </c>
      <c r="C291">
        <v>69.900000000000006</v>
      </c>
      <c r="D291">
        <v>23.07</v>
      </c>
      <c r="E291">
        <f t="shared" ca="1" si="16"/>
        <v>75.102755813126763</v>
      </c>
      <c r="F291">
        <f t="shared" ca="1" si="17"/>
        <v>-5.2027558131267568</v>
      </c>
      <c r="G291">
        <f t="shared" ca="1" si="18"/>
        <v>-6.9275165162679661E-2</v>
      </c>
      <c r="H291" t="str">
        <f t="shared" ca="1" si="19"/>
        <v>underprived</v>
      </c>
    </row>
    <row r="292" spans="1:8" x14ac:dyDescent="0.3">
      <c r="A292" t="s">
        <v>463</v>
      </c>
      <c r="B292" t="s">
        <v>464</v>
      </c>
      <c r="C292">
        <v>50.21</v>
      </c>
      <c r="D292">
        <v>15.1</v>
      </c>
      <c r="E292">
        <f t="shared" ca="1" si="16"/>
        <v>52.629227774756053</v>
      </c>
      <c r="F292">
        <f t="shared" ca="1" si="17"/>
        <v>-2.4192277747560524</v>
      </c>
      <c r="G292">
        <f t="shared" ca="1" si="18"/>
        <v>-4.5967381188071518E-2</v>
      </c>
      <c r="H292" t="str">
        <f t="shared" ca="1" si="19"/>
        <v>competitive</v>
      </c>
    </row>
    <row r="293" spans="1:8" x14ac:dyDescent="0.3">
      <c r="A293" t="s">
        <v>465</v>
      </c>
      <c r="B293" t="s">
        <v>43</v>
      </c>
      <c r="C293">
        <v>39.9</v>
      </c>
      <c r="D293">
        <v>16.600000000000001</v>
      </c>
      <c r="E293">
        <f t="shared" ca="1" si="16"/>
        <v>38.011550210861159</v>
      </c>
      <c r="F293">
        <f t="shared" ca="1" si="17"/>
        <v>1.8884497891388392</v>
      </c>
      <c r="G293">
        <f t="shared" ca="1" si="18"/>
        <v>4.9680946413999359E-2</v>
      </c>
      <c r="H293" t="str">
        <f t="shared" ca="1" si="19"/>
        <v>competitive</v>
      </c>
    </row>
    <row r="294" spans="1:8" x14ac:dyDescent="0.3">
      <c r="A294" t="s">
        <v>466</v>
      </c>
      <c r="B294" t="s">
        <v>45</v>
      </c>
      <c r="C294">
        <v>24.99</v>
      </c>
      <c r="D294">
        <v>14.1</v>
      </c>
      <c r="E294">
        <f t="shared" ca="1" si="16"/>
        <v>23.072525097498545</v>
      </c>
      <c r="F294">
        <f t="shared" ca="1" si="17"/>
        <v>1.9174749025014535</v>
      </c>
      <c r="G294">
        <f t="shared" ca="1" si="18"/>
        <v>8.3106417455336978E-2</v>
      </c>
      <c r="H294" t="str">
        <f t="shared" ca="1" si="19"/>
        <v>overpriced</v>
      </c>
    </row>
    <row r="295" spans="1:8" x14ac:dyDescent="0.3">
      <c r="A295" t="s">
        <v>467</v>
      </c>
      <c r="B295" t="s">
        <v>468</v>
      </c>
      <c r="C295">
        <v>130</v>
      </c>
      <c r="D295">
        <v>19.010000000000002</v>
      </c>
      <c r="E295">
        <f t="shared" ca="1" si="16"/>
        <v>139.92271696509181</v>
      </c>
      <c r="F295">
        <f t="shared" ca="1" si="17"/>
        <v>-9.9227169650918086</v>
      </c>
      <c r="G295">
        <f t="shared" ca="1" si="18"/>
        <v>-7.0915696752567689E-2</v>
      </c>
      <c r="H295" t="str">
        <f t="shared" ca="1" si="19"/>
        <v>underprived</v>
      </c>
    </row>
    <row r="296" spans="1:8" x14ac:dyDescent="0.3">
      <c r="A296" t="s">
        <v>469</v>
      </c>
      <c r="B296" t="s">
        <v>25</v>
      </c>
      <c r="C296">
        <v>89.99</v>
      </c>
      <c r="D296">
        <v>7.88</v>
      </c>
      <c r="E296">
        <f t="shared" ca="1" si="16"/>
        <v>82.982386976491213</v>
      </c>
      <c r="F296">
        <f t="shared" ca="1" si="17"/>
        <v>7.0076130235087817</v>
      </c>
      <c r="G296">
        <f t="shared" ca="1" si="18"/>
        <v>8.4446992655128464E-2</v>
      </c>
      <c r="H296" t="str">
        <f t="shared" ca="1" si="19"/>
        <v>overpriced</v>
      </c>
    </row>
    <row r="297" spans="1:8" x14ac:dyDescent="0.3">
      <c r="A297" t="s">
        <v>470</v>
      </c>
      <c r="B297" t="s">
        <v>471</v>
      </c>
      <c r="C297">
        <v>69</v>
      </c>
      <c r="D297">
        <v>15.69</v>
      </c>
      <c r="E297">
        <f t="shared" ca="1" si="16"/>
        <v>68.890424651302098</v>
      </c>
      <c r="F297">
        <f t="shared" ca="1" si="17"/>
        <v>0.10957534869790209</v>
      </c>
      <c r="G297">
        <f t="shared" ca="1" si="18"/>
        <v>1.5905744412599001E-3</v>
      </c>
      <c r="H297" t="str">
        <f t="shared" ca="1" si="19"/>
        <v>competitive</v>
      </c>
    </row>
    <row r="298" spans="1:8" x14ac:dyDescent="0.3">
      <c r="A298" t="s">
        <v>472</v>
      </c>
      <c r="B298" t="s">
        <v>473</v>
      </c>
      <c r="C298">
        <v>165.5</v>
      </c>
      <c r="D298">
        <v>15.8</v>
      </c>
      <c r="E298">
        <f t="shared" ca="1" si="16"/>
        <v>173.52714016721976</v>
      </c>
      <c r="F298">
        <f t="shared" ca="1" si="17"/>
        <v>-8.0271401672197555</v>
      </c>
      <c r="G298">
        <f t="shared" ca="1" si="18"/>
        <v>-4.6258701431282662E-2</v>
      </c>
      <c r="H298" t="str">
        <f t="shared" ca="1" si="19"/>
        <v>competitive</v>
      </c>
    </row>
    <row r="299" spans="1:8" x14ac:dyDescent="0.3">
      <c r="A299" t="s">
        <v>474</v>
      </c>
      <c r="B299" t="s">
        <v>85</v>
      </c>
      <c r="C299">
        <v>175.91</v>
      </c>
      <c r="D299">
        <v>52.69</v>
      </c>
      <c r="E299">
        <f t="shared" ca="1" si="16"/>
        <v>160.66754195242871</v>
      </c>
      <c r="F299">
        <f t="shared" ca="1" si="17"/>
        <v>15.24245804757129</v>
      </c>
      <c r="G299">
        <f t="shared" ca="1" si="18"/>
        <v>9.4869554001668605E-2</v>
      </c>
      <c r="H299" t="str">
        <f t="shared" ca="1" si="19"/>
        <v>overpriced</v>
      </c>
    </row>
    <row r="300" spans="1:8" x14ac:dyDescent="0.3">
      <c r="A300" t="s">
        <v>475</v>
      </c>
      <c r="B300" t="s">
        <v>473</v>
      </c>
      <c r="C300">
        <v>165.5</v>
      </c>
      <c r="D300">
        <v>15.8</v>
      </c>
      <c r="E300">
        <f t="shared" ca="1" si="16"/>
        <v>170.98089992501809</v>
      </c>
      <c r="F300">
        <f t="shared" ca="1" si="17"/>
        <v>-5.4808999250180932</v>
      </c>
      <c r="G300">
        <f t="shared" ca="1" si="18"/>
        <v>-3.2055626841487474E-2</v>
      </c>
      <c r="H300" t="str">
        <f t="shared" ca="1" si="19"/>
        <v>competitive</v>
      </c>
    </row>
    <row r="301" spans="1:8" x14ac:dyDescent="0.3">
      <c r="A301" t="s">
        <v>476</v>
      </c>
      <c r="B301" t="s">
        <v>473</v>
      </c>
      <c r="C301">
        <v>165.5</v>
      </c>
      <c r="D301">
        <v>15.8</v>
      </c>
      <c r="E301">
        <f t="shared" ca="1" si="16"/>
        <v>166.86941850240356</v>
      </c>
      <c r="F301">
        <f t="shared" ca="1" si="17"/>
        <v>-1.3694185024035619</v>
      </c>
      <c r="G301">
        <f t="shared" ca="1" si="18"/>
        <v>-8.2065276831047203E-3</v>
      </c>
      <c r="H301" t="str">
        <f t="shared" ca="1" si="19"/>
        <v>competitive</v>
      </c>
    </row>
    <row r="302" spans="1:8" x14ac:dyDescent="0.3">
      <c r="A302" t="s">
        <v>477</v>
      </c>
      <c r="B302" t="s">
        <v>196</v>
      </c>
      <c r="C302">
        <v>98.81</v>
      </c>
      <c r="D302">
        <v>13.81</v>
      </c>
      <c r="E302">
        <f t="shared" ca="1" si="16"/>
        <v>106.59663832611841</v>
      </c>
      <c r="F302">
        <f t="shared" ca="1" si="17"/>
        <v>-7.7866383261184069</v>
      </c>
      <c r="G302">
        <f t="shared" ca="1" si="18"/>
        <v>-7.3047691262985326E-2</v>
      </c>
      <c r="H302" t="str">
        <f t="shared" ca="1" si="19"/>
        <v>underprived</v>
      </c>
    </row>
    <row r="303" spans="1:8" x14ac:dyDescent="0.3">
      <c r="A303" t="s">
        <v>478</v>
      </c>
      <c r="B303" t="s">
        <v>49</v>
      </c>
      <c r="C303">
        <v>78</v>
      </c>
      <c r="D303">
        <v>7.8</v>
      </c>
      <c r="E303">
        <f t="shared" ca="1" si="16"/>
        <v>79.515583862872603</v>
      </c>
      <c r="F303">
        <f t="shared" ca="1" si="17"/>
        <v>-1.515583862872603</v>
      </c>
      <c r="G303">
        <f t="shared" ca="1" si="18"/>
        <v>-1.9060211712540277E-2</v>
      </c>
      <c r="H303" t="str">
        <f t="shared" ca="1" si="19"/>
        <v>competitive</v>
      </c>
    </row>
    <row r="304" spans="1:8" x14ac:dyDescent="0.3">
      <c r="A304" t="s">
        <v>479</v>
      </c>
      <c r="B304" t="s">
        <v>422</v>
      </c>
      <c r="C304">
        <v>21.8</v>
      </c>
      <c r="D304">
        <v>12.48</v>
      </c>
      <c r="E304">
        <f t="shared" ca="1" si="16"/>
        <v>21.531646757815036</v>
      </c>
      <c r="F304">
        <f t="shared" ca="1" si="17"/>
        <v>0.26835324218496481</v>
      </c>
      <c r="G304">
        <f t="shared" ca="1" si="18"/>
        <v>1.2463201036286946E-2</v>
      </c>
      <c r="H304" t="str">
        <f t="shared" ca="1" si="19"/>
        <v>competitive</v>
      </c>
    </row>
    <row r="305" spans="1:8" x14ac:dyDescent="0.3">
      <c r="A305" t="s">
        <v>480</v>
      </c>
      <c r="B305" t="s">
        <v>481</v>
      </c>
      <c r="C305">
        <v>118.9</v>
      </c>
      <c r="D305">
        <v>18.93</v>
      </c>
      <c r="E305">
        <f t="shared" ca="1" si="16"/>
        <v>109.73986330947534</v>
      </c>
      <c r="F305">
        <f t="shared" ca="1" si="17"/>
        <v>9.1601366905246664</v>
      </c>
      <c r="G305">
        <f t="shared" ca="1" si="18"/>
        <v>8.34713696033349E-2</v>
      </c>
      <c r="H305" t="str">
        <f t="shared" ca="1" si="19"/>
        <v>overpriced</v>
      </c>
    </row>
    <row r="306" spans="1:8" x14ac:dyDescent="0.3">
      <c r="A306" t="s">
        <v>482</v>
      </c>
      <c r="B306" t="s">
        <v>483</v>
      </c>
      <c r="C306">
        <v>119.8</v>
      </c>
      <c r="D306">
        <v>20.18</v>
      </c>
      <c r="E306">
        <f t="shared" ca="1" si="16"/>
        <v>130.23915369599672</v>
      </c>
      <c r="F306">
        <f t="shared" ca="1" si="17"/>
        <v>-10.439153695996723</v>
      </c>
      <c r="G306">
        <f t="shared" ca="1" si="18"/>
        <v>-8.0153727966965446E-2</v>
      </c>
      <c r="H306" t="str">
        <f t="shared" ca="1" si="19"/>
        <v>underprived</v>
      </c>
    </row>
    <row r="307" spans="1:8" x14ac:dyDescent="0.3">
      <c r="A307" t="s">
        <v>484</v>
      </c>
      <c r="B307" t="s">
        <v>111</v>
      </c>
      <c r="C307">
        <v>45</v>
      </c>
      <c r="D307">
        <v>7.39</v>
      </c>
      <c r="E307">
        <f t="shared" ca="1" si="16"/>
        <v>41.562987169175415</v>
      </c>
      <c r="F307">
        <f t="shared" ca="1" si="17"/>
        <v>3.4370128308245853</v>
      </c>
      <c r="G307">
        <f t="shared" ca="1" si="18"/>
        <v>8.269407626633718E-2</v>
      </c>
      <c r="H307" t="str">
        <f t="shared" ca="1" si="19"/>
        <v>overpriced</v>
      </c>
    </row>
    <row r="308" spans="1:8" x14ac:dyDescent="0.3">
      <c r="A308" t="s">
        <v>485</v>
      </c>
      <c r="B308" t="s">
        <v>486</v>
      </c>
      <c r="C308">
        <v>449</v>
      </c>
      <c r="D308">
        <v>20.39</v>
      </c>
      <c r="E308">
        <f t="shared" ca="1" si="16"/>
        <v>482.24878624595124</v>
      </c>
      <c r="F308">
        <f t="shared" ca="1" si="17"/>
        <v>-33.248786245951237</v>
      </c>
      <c r="G308">
        <f t="shared" ca="1" si="18"/>
        <v>-6.8945297933822189E-2</v>
      </c>
      <c r="H308" t="str">
        <f t="shared" ca="1" si="19"/>
        <v>underprived</v>
      </c>
    </row>
    <row r="309" spans="1:8" x14ac:dyDescent="0.3">
      <c r="A309" t="s">
        <v>487</v>
      </c>
      <c r="B309" t="s">
        <v>390</v>
      </c>
      <c r="C309">
        <v>139.85</v>
      </c>
      <c r="D309">
        <v>16.61</v>
      </c>
      <c r="E309">
        <f t="shared" ca="1" si="16"/>
        <v>140.79487980837334</v>
      </c>
      <c r="F309">
        <f t="shared" ca="1" si="17"/>
        <v>-0.94487980837334362</v>
      </c>
      <c r="G309">
        <f t="shared" ca="1" si="18"/>
        <v>-6.7110381404448614E-3</v>
      </c>
      <c r="H309" t="str">
        <f t="shared" ca="1" si="19"/>
        <v>competitive</v>
      </c>
    </row>
    <row r="310" spans="1:8" x14ac:dyDescent="0.3">
      <c r="A310" t="s">
        <v>487</v>
      </c>
      <c r="B310" t="s">
        <v>390</v>
      </c>
      <c r="C310">
        <v>139.85</v>
      </c>
      <c r="D310">
        <v>16.61</v>
      </c>
      <c r="E310">
        <f t="shared" ca="1" si="16"/>
        <v>153.27532867723883</v>
      </c>
      <c r="F310">
        <f t="shared" ca="1" si="17"/>
        <v>-13.425328677238838</v>
      </c>
      <c r="G310">
        <f t="shared" ca="1" si="18"/>
        <v>-8.7589625761034046E-2</v>
      </c>
      <c r="H310" t="str">
        <f t="shared" ca="1" si="19"/>
        <v>underprived</v>
      </c>
    </row>
    <row r="311" spans="1:8" x14ac:dyDescent="0.3">
      <c r="A311" t="s">
        <v>488</v>
      </c>
      <c r="B311" t="s">
        <v>489</v>
      </c>
      <c r="C311">
        <v>18.899999999999999</v>
      </c>
      <c r="D311">
        <v>12.48</v>
      </c>
      <c r="E311">
        <f t="shared" ca="1" si="16"/>
        <v>20.509084499345079</v>
      </c>
      <c r="F311">
        <f t="shared" ca="1" si="17"/>
        <v>-1.6090844993450801</v>
      </c>
      <c r="G311">
        <f t="shared" ca="1" si="18"/>
        <v>-7.8457158796945009E-2</v>
      </c>
      <c r="H311" t="str">
        <f t="shared" ca="1" si="19"/>
        <v>underprived</v>
      </c>
    </row>
    <row r="312" spans="1:8" x14ac:dyDescent="0.3">
      <c r="A312" t="s">
        <v>490</v>
      </c>
      <c r="B312" t="s">
        <v>491</v>
      </c>
      <c r="C312">
        <v>29.9</v>
      </c>
      <c r="D312">
        <v>16.79</v>
      </c>
      <c r="E312">
        <f t="shared" ca="1" si="16"/>
        <v>29.275440912787602</v>
      </c>
      <c r="F312">
        <f t="shared" ca="1" si="17"/>
        <v>0.62455908721239695</v>
      </c>
      <c r="G312">
        <f t="shared" ca="1" si="18"/>
        <v>2.1333891744721344E-2</v>
      </c>
      <c r="H312" t="str">
        <f t="shared" ca="1" si="19"/>
        <v>competitive</v>
      </c>
    </row>
    <row r="313" spans="1:8" x14ac:dyDescent="0.3">
      <c r="A313" t="s">
        <v>492</v>
      </c>
      <c r="B313" t="s">
        <v>493</v>
      </c>
      <c r="C313">
        <v>39.9</v>
      </c>
      <c r="D313">
        <v>15.1</v>
      </c>
      <c r="E313">
        <f t="shared" ca="1" si="16"/>
        <v>37.799148496108671</v>
      </c>
      <c r="F313">
        <f t="shared" ca="1" si="17"/>
        <v>2.1008515038913274</v>
      </c>
      <c r="G313">
        <f t="shared" ca="1" si="18"/>
        <v>5.5579334124619365E-2</v>
      </c>
      <c r="H313" t="str">
        <f t="shared" ca="1" si="19"/>
        <v>overpriced</v>
      </c>
    </row>
    <row r="314" spans="1:8" x14ac:dyDescent="0.3">
      <c r="A314" t="s">
        <v>494</v>
      </c>
      <c r="B314" t="s">
        <v>495</v>
      </c>
      <c r="C314">
        <v>59</v>
      </c>
      <c r="D314">
        <v>13.07</v>
      </c>
      <c r="E314">
        <f t="shared" ca="1" si="16"/>
        <v>60.820254110406168</v>
      </c>
      <c r="F314">
        <f t="shared" ca="1" si="17"/>
        <v>-1.820254110406168</v>
      </c>
      <c r="G314">
        <f t="shared" ca="1" si="18"/>
        <v>-2.9928420014521576E-2</v>
      </c>
      <c r="H314" t="str">
        <f t="shared" ca="1" si="19"/>
        <v>competitive</v>
      </c>
    </row>
    <row r="315" spans="1:8" x14ac:dyDescent="0.3">
      <c r="A315" t="s">
        <v>496</v>
      </c>
      <c r="B315" t="s">
        <v>497</v>
      </c>
      <c r="C315">
        <v>199</v>
      </c>
      <c r="D315">
        <v>67.69</v>
      </c>
      <c r="E315">
        <f t="shared" ca="1" si="16"/>
        <v>216.0266572760965</v>
      </c>
      <c r="F315">
        <f t="shared" ca="1" si="17"/>
        <v>-17.0266572760965</v>
      </c>
      <c r="G315">
        <f t="shared" ca="1" si="18"/>
        <v>-7.881738990357702E-2</v>
      </c>
      <c r="H315" t="str">
        <f t="shared" ca="1" si="19"/>
        <v>underprived</v>
      </c>
    </row>
    <row r="316" spans="1:8" x14ac:dyDescent="0.3">
      <c r="A316" t="s">
        <v>498</v>
      </c>
      <c r="B316" t="s">
        <v>436</v>
      </c>
      <c r="C316">
        <v>32</v>
      </c>
      <c r="D316">
        <v>7.39</v>
      </c>
      <c r="E316">
        <f t="shared" ca="1" si="16"/>
        <v>34.208808941326438</v>
      </c>
      <c r="F316">
        <f t="shared" ca="1" si="17"/>
        <v>-2.2088089413264385</v>
      </c>
      <c r="G316">
        <f t="shared" ca="1" si="18"/>
        <v>-6.4568425785150776E-2</v>
      </c>
      <c r="H316" t="str">
        <f t="shared" ca="1" si="19"/>
        <v>underprived</v>
      </c>
    </row>
    <row r="317" spans="1:8" x14ac:dyDescent="0.3">
      <c r="A317" t="s">
        <v>499</v>
      </c>
      <c r="B317" t="s">
        <v>111</v>
      </c>
      <c r="C317">
        <v>110</v>
      </c>
      <c r="D317">
        <v>18.350000000000001</v>
      </c>
      <c r="E317">
        <f t="shared" ca="1" si="16"/>
        <v>117.47543326166358</v>
      </c>
      <c r="F317">
        <f t="shared" ca="1" si="17"/>
        <v>-7.4754332616635821</v>
      </c>
      <c r="G317">
        <f t="shared" ca="1" si="18"/>
        <v>-6.3634013121814825E-2</v>
      </c>
      <c r="H317" t="str">
        <f t="shared" ca="1" si="19"/>
        <v>underprived</v>
      </c>
    </row>
    <row r="318" spans="1:8" x14ac:dyDescent="0.3">
      <c r="A318" t="s">
        <v>28</v>
      </c>
      <c r="B318" t="s">
        <v>29</v>
      </c>
      <c r="C318">
        <v>79.900000000000006</v>
      </c>
      <c r="D318">
        <v>14.65</v>
      </c>
      <c r="E318">
        <f t="shared" ca="1" si="16"/>
        <v>87.827605575223117</v>
      </c>
      <c r="F318">
        <f t="shared" ca="1" si="17"/>
        <v>-7.9276055752231116</v>
      </c>
      <c r="G318">
        <f t="shared" ca="1" si="18"/>
        <v>-9.0263255195238451E-2</v>
      </c>
      <c r="H318" t="str">
        <f t="shared" ca="1" si="19"/>
        <v>underprived</v>
      </c>
    </row>
    <row r="319" spans="1:8" x14ac:dyDescent="0.3">
      <c r="A319" t="s">
        <v>500</v>
      </c>
      <c r="B319" t="s">
        <v>501</v>
      </c>
      <c r="C319">
        <v>24.99</v>
      </c>
      <c r="D319">
        <v>14.1</v>
      </c>
      <c r="E319">
        <f t="shared" ca="1" si="16"/>
        <v>24.139172649112844</v>
      </c>
      <c r="F319">
        <f t="shared" ca="1" si="17"/>
        <v>0.85082735088715467</v>
      </c>
      <c r="G319">
        <f t="shared" ca="1" si="18"/>
        <v>3.5246748646061157E-2</v>
      </c>
      <c r="H319" t="str">
        <f t="shared" ca="1" si="19"/>
        <v>competitive</v>
      </c>
    </row>
    <row r="320" spans="1:8" x14ac:dyDescent="0.3">
      <c r="A320" t="s">
        <v>502</v>
      </c>
      <c r="B320" t="s">
        <v>229</v>
      </c>
      <c r="C320">
        <v>79</v>
      </c>
      <c r="D320">
        <v>13.91</v>
      </c>
      <c r="E320">
        <f t="shared" ca="1" si="16"/>
        <v>85.393953819060059</v>
      </c>
      <c r="F320">
        <f t="shared" ca="1" si="17"/>
        <v>-6.3939538190600587</v>
      </c>
      <c r="G320">
        <f t="shared" ca="1" si="18"/>
        <v>-7.4875954714640688E-2</v>
      </c>
      <c r="H320" t="str">
        <f t="shared" ca="1" si="19"/>
        <v>underprived</v>
      </c>
    </row>
    <row r="321" spans="1:8" x14ac:dyDescent="0.3">
      <c r="A321" t="s">
        <v>30</v>
      </c>
      <c r="B321" t="s">
        <v>31</v>
      </c>
      <c r="C321">
        <v>59.9</v>
      </c>
      <c r="D321">
        <v>17.670000000000002</v>
      </c>
      <c r="E321">
        <f t="shared" ca="1" si="16"/>
        <v>57.941669043533842</v>
      </c>
      <c r="F321">
        <f t="shared" ca="1" si="17"/>
        <v>1.9583309564661562</v>
      </c>
      <c r="G321">
        <f t="shared" ca="1" si="18"/>
        <v>3.379831801177121E-2</v>
      </c>
      <c r="H321" t="str">
        <f t="shared" ca="1" si="19"/>
        <v>competitive</v>
      </c>
    </row>
    <row r="322" spans="1:8" x14ac:dyDescent="0.3">
      <c r="A322" t="s">
        <v>503</v>
      </c>
      <c r="B322" t="s">
        <v>489</v>
      </c>
      <c r="C322">
        <v>19.899999999999999</v>
      </c>
      <c r="D322">
        <v>15.1</v>
      </c>
      <c r="E322">
        <f t="shared" ca="1" si="16"/>
        <v>18.920503856573287</v>
      </c>
      <c r="F322">
        <f t="shared" ca="1" si="17"/>
        <v>0.97949614342671154</v>
      </c>
      <c r="G322">
        <f t="shared" ca="1" si="18"/>
        <v>5.1769030616297187E-2</v>
      </c>
      <c r="H322" t="str">
        <f t="shared" ca="1" si="19"/>
        <v>overpriced</v>
      </c>
    </row>
    <row r="323" spans="1:8" x14ac:dyDescent="0.3">
      <c r="A323" t="s">
        <v>504</v>
      </c>
      <c r="B323" t="s">
        <v>505</v>
      </c>
      <c r="C323">
        <v>158</v>
      </c>
      <c r="D323">
        <v>15.2</v>
      </c>
      <c r="E323">
        <f t="shared" ref="E323:E386" ca="1" si="20">C323*(1+RAND()*0.2-0.1)</f>
        <v>156.83102661470255</v>
      </c>
      <c r="F323">
        <f t="shared" ref="F323:F386" ca="1" si="21">C323-E323</f>
        <v>1.1689733852974484</v>
      </c>
      <c r="G323">
        <f t="shared" ref="G323:G386" ca="1" si="22">(C323-E323)/E323</f>
        <v>7.4537125116788585E-3</v>
      </c>
      <c r="H323" t="str">
        <f t="shared" ref="H323:H386" ca="1" si="23">IF(E323="","competitive",IF(ABS(C323-E323)/E323&lt;=0.05,"competitive",IF(C323&gt;E323,"overpriced","underprived")))</f>
        <v>competitive</v>
      </c>
    </row>
    <row r="324" spans="1:8" x14ac:dyDescent="0.3">
      <c r="A324" t="s">
        <v>506</v>
      </c>
      <c r="B324" t="s">
        <v>507</v>
      </c>
      <c r="C324">
        <v>1050.6099999999999</v>
      </c>
      <c r="D324">
        <v>25.13</v>
      </c>
      <c r="E324">
        <f t="shared" ca="1" si="20"/>
        <v>1123.8890917613837</v>
      </c>
      <c r="F324">
        <f t="shared" ca="1" si="21"/>
        <v>-73.279091761383825</v>
      </c>
      <c r="G324">
        <f t="shared" ca="1" si="22"/>
        <v>-6.5201355096826522E-2</v>
      </c>
      <c r="H324" t="str">
        <f t="shared" ca="1" si="23"/>
        <v>underprived</v>
      </c>
    </row>
    <row r="325" spans="1:8" x14ac:dyDescent="0.3">
      <c r="A325" t="s">
        <v>508</v>
      </c>
      <c r="B325" t="s">
        <v>157</v>
      </c>
      <c r="C325">
        <v>106.9</v>
      </c>
      <c r="D325">
        <v>18</v>
      </c>
      <c r="E325">
        <f t="shared" ca="1" si="20"/>
        <v>97.341125440761303</v>
      </c>
      <c r="F325">
        <f t="shared" ca="1" si="21"/>
        <v>9.5588745592387028</v>
      </c>
      <c r="G325">
        <f t="shared" ca="1" si="22"/>
        <v>9.819975386514232E-2</v>
      </c>
      <c r="H325" t="str">
        <f t="shared" ca="1" si="23"/>
        <v>overpriced</v>
      </c>
    </row>
    <row r="326" spans="1:8" x14ac:dyDescent="0.3">
      <c r="A326" t="s">
        <v>509</v>
      </c>
      <c r="B326" t="s">
        <v>510</v>
      </c>
      <c r="C326">
        <v>362.45</v>
      </c>
      <c r="D326">
        <v>25.12</v>
      </c>
      <c r="E326">
        <f t="shared" ca="1" si="20"/>
        <v>394.15452337780982</v>
      </c>
      <c r="F326">
        <f t="shared" ca="1" si="21"/>
        <v>-31.704523377809835</v>
      </c>
      <c r="G326">
        <f t="shared" ca="1" si="22"/>
        <v>-8.0436786837075128E-2</v>
      </c>
      <c r="H326" t="str">
        <f t="shared" ca="1" si="23"/>
        <v>underprived</v>
      </c>
    </row>
    <row r="327" spans="1:8" x14ac:dyDescent="0.3">
      <c r="A327" t="s">
        <v>511</v>
      </c>
      <c r="B327" t="s">
        <v>390</v>
      </c>
      <c r="C327">
        <v>44.55</v>
      </c>
      <c r="D327">
        <v>11.74</v>
      </c>
      <c r="E327">
        <f t="shared" ca="1" si="20"/>
        <v>40.981901775140322</v>
      </c>
      <c r="F327">
        <f t="shared" ca="1" si="21"/>
        <v>3.5680982248596749</v>
      </c>
      <c r="G327">
        <f t="shared" ca="1" si="22"/>
        <v>8.7065218311173836E-2</v>
      </c>
      <c r="H327" t="str">
        <f t="shared" ca="1" si="23"/>
        <v>overpriced</v>
      </c>
    </row>
    <row r="328" spans="1:8" x14ac:dyDescent="0.3">
      <c r="A328" t="s">
        <v>512</v>
      </c>
      <c r="B328" t="s">
        <v>513</v>
      </c>
      <c r="C328">
        <v>14.99</v>
      </c>
      <c r="D328">
        <v>15.1</v>
      </c>
      <c r="E328">
        <f t="shared" ca="1" si="20"/>
        <v>16.378465985383553</v>
      </c>
      <c r="F328">
        <f t="shared" ca="1" si="21"/>
        <v>-1.3884659853835526</v>
      </c>
      <c r="G328">
        <f t="shared" ca="1" si="22"/>
        <v>-8.4773872389675903E-2</v>
      </c>
      <c r="H328" t="str">
        <f t="shared" ca="1" si="23"/>
        <v>underprived</v>
      </c>
    </row>
    <row r="329" spans="1:8" x14ac:dyDescent="0.3">
      <c r="A329" t="s">
        <v>512</v>
      </c>
      <c r="B329" t="s">
        <v>513</v>
      </c>
      <c r="C329">
        <v>14.99</v>
      </c>
      <c r="D329">
        <v>15.1</v>
      </c>
      <c r="E329">
        <f t="shared" ca="1" si="20"/>
        <v>14.276473133056825</v>
      </c>
      <c r="F329">
        <f t="shared" ca="1" si="21"/>
        <v>0.71352686694317491</v>
      </c>
      <c r="G329">
        <f t="shared" ca="1" si="22"/>
        <v>4.9979211272497048E-2</v>
      </c>
      <c r="H329" t="str">
        <f t="shared" ca="1" si="23"/>
        <v>competitive</v>
      </c>
    </row>
    <row r="330" spans="1:8" x14ac:dyDescent="0.3">
      <c r="A330" t="s">
        <v>512</v>
      </c>
      <c r="B330" t="s">
        <v>513</v>
      </c>
      <c r="C330">
        <v>14.99</v>
      </c>
      <c r="D330">
        <v>15.1</v>
      </c>
      <c r="E330">
        <f t="shared" ca="1" si="20"/>
        <v>15.69156214565157</v>
      </c>
      <c r="F330">
        <f t="shared" ca="1" si="21"/>
        <v>-0.70156214565156994</v>
      </c>
      <c r="G330">
        <f t="shared" ca="1" si="22"/>
        <v>-4.4709515798335354E-2</v>
      </c>
      <c r="H330" t="str">
        <f t="shared" ca="1" si="23"/>
        <v>competitive</v>
      </c>
    </row>
    <row r="331" spans="1:8" x14ac:dyDescent="0.3">
      <c r="A331" t="s">
        <v>512</v>
      </c>
      <c r="B331" t="s">
        <v>513</v>
      </c>
      <c r="C331">
        <v>14.99</v>
      </c>
      <c r="D331">
        <v>15.1</v>
      </c>
      <c r="E331">
        <f t="shared" ca="1" si="20"/>
        <v>14.546044653665666</v>
      </c>
      <c r="F331">
        <f t="shared" ca="1" si="21"/>
        <v>0.44395534633433442</v>
      </c>
      <c r="G331">
        <f t="shared" ca="1" si="22"/>
        <v>3.0520691837863687E-2</v>
      </c>
      <c r="H331" t="str">
        <f t="shared" ca="1" si="23"/>
        <v>competitive</v>
      </c>
    </row>
    <row r="332" spans="1:8" x14ac:dyDescent="0.3">
      <c r="A332" t="s">
        <v>514</v>
      </c>
      <c r="B332" t="s">
        <v>515</v>
      </c>
      <c r="C332">
        <v>125.9</v>
      </c>
      <c r="D332">
        <v>18.13</v>
      </c>
      <c r="E332">
        <f t="shared" ca="1" si="20"/>
        <v>120.1567958527844</v>
      </c>
      <c r="F332">
        <f t="shared" ca="1" si="21"/>
        <v>5.7432041472156072</v>
      </c>
      <c r="G332">
        <f t="shared" ca="1" si="22"/>
        <v>4.7797580706564084E-2</v>
      </c>
      <c r="H332" t="str">
        <f t="shared" ca="1" si="23"/>
        <v>competitive</v>
      </c>
    </row>
    <row r="333" spans="1:8" x14ac:dyDescent="0.3">
      <c r="A333" t="s">
        <v>516</v>
      </c>
      <c r="B333" t="s">
        <v>376</v>
      </c>
      <c r="C333">
        <v>99.9</v>
      </c>
      <c r="D333">
        <v>26.84</v>
      </c>
      <c r="E333">
        <f t="shared" ca="1" si="20"/>
        <v>109.72667828472717</v>
      </c>
      <c r="F333">
        <f t="shared" ca="1" si="21"/>
        <v>-9.8266782847271656</v>
      </c>
      <c r="G333">
        <f t="shared" ca="1" si="22"/>
        <v>-8.9555962490982827E-2</v>
      </c>
      <c r="H333" t="str">
        <f t="shared" ca="1" si="23"/>
        <v>underprived</v>
      </c>
    </row>
    <row r="334" spans="1:8" x14ac:dyDescent="0.3">
      <c r="A334" t="s">
        <v>238</v>
      </c>
      <c r="B334" t="s">
        <v>239</v>
      </c>
      <c r="C334">
        <v>149</v>
      </c>
      <c r="D334">
        <v>40.369999999999997</v>
      </c>
      <c r="E334">
        <f t="shared" ca="1" si="20"/>
        <v>155.10032014181547</v>
      </c>
      <c r="F334">
        <f t="shared" ca="1" si="21"/>
        <v>-6.1003201418154731</v>
      </c>
      <c r="G334">
        <f t="shared" ca="1" si="22"/>
        <v>-3.9331447776752911E-2</v>
      </c>
      <c r="H334" t="str">
        <f t="shared" ca="1" si="23"/>
        <v>competitive</v>
      </c>
    </row>
    <row r="335" spans="1:8" x14ac:dyDescent="0.3">
      <c r="A335" t="s">
        <v>172</v>
      </c>
      <c r="B335" t="s">
        <v>173</v>
      </c>
      <c r="C335">
        <v>19.899999999999999</v>
      </c>
      <c r="D335">
        <v>14.1</v>
      </c>
      <c r="E335">
        <f t="shared" ca="1" si="20"/>
        <v>18.003090397356811</v>
      </c>
      <c r="F335">
        <f t="shared" ca="1" si="21"/>
        <v>1.8969096026431878</v>
      </c>
      <c r="G335">
        <f t="shared" ca="1" si="22"/>
        <v>0.10536577669585492</v>
      </c>
      <c r="H335" t="str">
        <f t="shared" ca="1" si="23"/>
        <v>overpriced</v>
      </c>
    </row>
    <row r="336" spans="1:8" x14ac:dyDescent="0.3">
      <c r="A336" t="s">
        <v>517</v>
      </c>
      <c r="B336" t="s">
        <v>518</v>
      </c>
      <c r="C336">
        <v>59.9</v>
      </c>
      <c r="D336">
        <v>9.17</v>
      </c>
      <c r="E336">
        <f t="shared" ca="1" si="20"/>
        <v>57.953399532330664</v>
      </c>
      <c r="F336">
        <f t="shared" ca="1" si="21"/>
        <v>1.9466004676693345</v>
      </c>
      <c r="G336">
        <f t="shared" ca="1" si="22"/>
        <v>3.3589064375479434E-2</v>
      </c>
      <c r="H336" t="str">
        <f t="shared" ca="1" si="23"/>
        <v>competitive</v>
      </c>
    </row>
    <row r="337" spans="1:8" x14ac:dyDescent="0.3">
      <c r="A337" t="s">
        <v>519</v>
      </c>
      <c r="B337" t="s">
        <v>200</v>
      </c>
      <c r="C337">
        <v>320</v>
      </c>
      <c r="D337">
        <v>14.68</v>
      </c>
      <c r="E337">
        <f t="shared" ca="1" si="20"/>
        <v>346.93383044685663</v>
      </c>
      <c r="F337">
        <f t="shared" ca="1" si="21"/>
        <v>-26.933830446856632</v>
      </c>
      <c r="G337">
        <f t="shared" ca="1" si="22"/>
        <v>-7.7633911954234622E-2</v>
      </c>
      <c r="H337" t="str">
        <f t="shared" ca="1" si="23"/>
        <v>underprived</v>
      </c>
    </row>
    <row r="338" spans="1:8" x14ac:dyDescent="0.3">
      <c r="A338" t="s">
        <v>520</v>
      </c>
      <c r="B338" t="s">
        <v>521</v>
      </c>
      <c r="C338">
        <v>59.9</v>
      </c>
      <c r="D338">
        <v>14.59</v>
      </c>
      <c r="E338">
        <f t="shared" ca="1" si="20"/>
        <v>56.488144222272837</v>
      </c>
      <c r="F338">
        <f t="shared" ca="1" si="21"/>
        <v>3.4118557777271619</v>
      </c>
      <c r="G338">
        <f t="shared" ca="1" si="22"/>
        <v>6.0399501961013152E-2</v>
      </c>
      <c r="H338" t="str">
        <f t="shared" ca="1" si="23"/>
        <v>overpriced</v>
      </c>
    </row>
    <row r="339" spans="1:8" x14ac:dyDescent="0.3">
      <c r="A339" t="s">
        <v>522</v>
      </c>
      <c r="B339" t="s">
        <v>99</v>
      </c>
      <c r="C339">
        <v>29.99</v>
      </c>
      <c r="D339">
        <v>15.11</v>
      </c>
      <c r="E339">
        <f t="shared" ca="1" si="20"/>
        <v>27.802085018165311</v>
      </c>
      <c r="F339">
        <f t="shared" ca="1" si="21"/>
        <v>2.1879149818346875</v>
      </c>
      <c r="G339">
        <f t="shared" ca="1" si="22"/>
        <v>7.8696075506752422E-2</v>
      </c>
      <c r="H339" t="str">
        <f t="shared" ca="1" si="23"/>
        <v>overpriced</v>
      </c>
    </row>
    <row r="340" spans="1:8" x14ac:dyDescent="0.3">
      <c r="A340" t="s">
        <v>523</v>
      </c>
      <c r="B340" t="s">
        <v>524</v>
      </c>
      <c r="C340">
        <v>69</v>
      </c>
      <c r="D340">
        <v>21.17</v>
      </c>
      <c r="E340">
        <f t="shared" ca="1" si="20"/>
        <v>62.957344593607544</v>
      </c>
      <c r="F340">
        <f t="shared" ca="1" si="21"/>
        <v>6.0426554063924556</v>
      </c>
      <c r="G340">
        <f t="shared" ca="1" si="22"/>
        <v>9.5980150455805671E-2</v>
      </c>
      <c r="H340" t="str">
        <f t="shared" ca="1" si="23"/>
        <v>overpriced</v>
      </c>
    </row>
    <row r="341" spans="1:8" x14ac:dyDescent="0.3">
      <c r="A341" t="s">
        <v>525</v>
      </c>
      <c r="B341" t="s">
        <v>526</v>
      </c>
      <c r="C341">
        <v>56</v>
      </c>
      <c r="D341">
        <v>18.690000000000001</v>
      </c>
      <c r="E341">
        <f t="shared" ca="1" si="20"/>
        <v>51.355396113040733</v>
      </c>
      <c r="F341">
        <f t="shared" ca="1" si="21"/>
        <v>4.644603886959267</v>
      </c>
      <c r="G341">
        <f t="shared" ca="1" si="22"/>
        <v>9.0440425709808855E-2</v>
      </c>
      <c r="H341" t="str">
        <f t="shared" ca="1" si="23"/>
        <v>overpriced</v>
      </c>
    </row>
    <row r="342" spans="1:8" x14ac:dyDescent="0.3">
      <c r="A342" t="s">
        <v>527</v>
      </c>
      <c r="B342" t="s">
        <v>528</v>
      </c>
      <c r="C342">
        <v>160</v>
      </c>
      <c r="D342">
        <v>19</v>
      </c>
      <c r="E342">
        <f t="shared" ca="1" si="20"/>
        <v>149.72904761363571</v>
      </c>
      <c r="F342">
        <f t="shared" ca="1" si="21"/>
        <v>10.270952386364286</v>
      </c>
      <c r="G342">
        <f t="shared" ca="1" si="22"/>
        <v>6.8596925914253384E-2</v>
      </c>
      <c r="H342" t="str">
        <f t="shared" ca="1" si="23"/>
        <v>overpriced</v>
      </c>
    </row>
    <row r="343" spans="1:8" x14ac:dyDescent="0.3">
      <c r="A343" t="s">
        <v>529</v>
      </c>
      <c r="B343" t="s">
        <v>530</v>
      </c>
      <c r="C343">
        <v>57.95</v>
      </c>
      <c r="D343">
        <v>22.34</v>
      </c>
      <c r="E343">
        <f t="shared" ca="1" si="20"/>
        <v>57.083688889407973</v>
      </c>
      <c r="F343">
        <f t="shared" ca="1" si="21"/>
        <v>0.86631111059202937</v>
      </c>
      <c r="G343">
        <f t="shared" ca="1" si="22"/>
        <v>1.5176158504233872E-2</v>
      </c>
      <c r="H343" t="str">
        <f t="shared" ca="1" si="23"/>
        <v>competitive</v>
      </c>
    </row>
    <row r="344" spans="1:8" x14ac:dyDescent="0.3">
      <c r="A344" t="s">
        <v>531</v>
      </c>
      <c r="B344" t="s">
        <v>319</v>
      </c>
      <c r="C344">
        <v>64.900000000000006</v>
      </c>
      <c r="D344">
        <v>20.18</v>
      </c>
      <c r="E344">
        <f t="shared" ca="1" si="20"/>
        <v>69.978458019672161</v>
      </c>
      <c r="F344">
        <f t="shared" ca="1" si="21"/>
        <v>-5.0784580196721549</v>
      </c>
      <c r="G344">
        <f t="shared" ca="1" si="22"/>
        <v>-7.2571733693310478E-2</v>
      </c>
      <c r="H344" t="str">
        <f t="shared" ca="1" si="23"/>
        <v>underprived</v>
      </c>
    </row>
    <row r="345" spans="1:8" x14ac:dyDescent="0.3">
      <c r="A345" t="s">
        <v>531</v>
      </c>
      <c r="B345" t="s">
        <v>319</v>
      </c>
      <c r="C345">
        <v>64.900000000000006</v>
      </c>
      <c r="D345">
        <v>20.18</v>
      </c>
      <c r="E345">
        <f t="shared" ca="1" si="20"/>
        <v>58.822712112648105</v>
      </c>
      <c r="F345">
        <f t="shared" ca="1" si="21"/>
        <v>6.0772878873519005</v>
      </c>
      <c r="G345">
        <f t="shared" ca="1" si="22"/>
        <v>0.10331532955695114</v>
      </c>
      <c r="H345" t="str">
        <f t="shared" ca="1" si="23"/>
        <v>overpriced</v>
      </c>
    </row>
    <row r="346" spans="1:8" x14ac:dyDescent="0.3">
      <c r="A346" t="s">
        <v>532</v>
      </c>
      <c r="B346" t="s">
        <v>533</v>
      </c>
      <c r="C346">
        <v>849</v>
      </c>
      <c r="D346">
        <v>23.52</v>
      </c>
      <c r="E346">
        <f t="shared" ca="1" si="20"/>
        <v>770.38468525371979</v>
      </c>
      <c r="F346">
        <f t="shared" ca="1" si="21"/>
        <v>78.615314746280205</v>
      </c>
      <c r="G346">
        <f t="shared" ca="1" si="22"/>
        <v>0.10204682965678231</v>
      </c>
      <c r="H346" t="str">
        <f t="shared" ca="1" si="23"/>
        <v>overpriced</v>
      </c>
    </row>
    <row r="347" spans="1:8" x14ac:dyDescent="0.3">
      <c r="A347" t="s">
        <v>534</v>
      </c>
      <c r="B347" t="s">
        <v>45</v>
      </c>
      <c r="C347">
        <v>20.99</v>
      </c>
      <c r="D347">
        <v>11.85</v>
      </c>
      <c r="E347">
        <f t="shared" ca="1" si="20"/>
        <v>20.98102978875232</v>
      </c>
      <c r="F347">
        <f t="shared" ca="1" si="21"/>
        <v>8.9702112476786056E-3</v>
      </c>
      <c r="G347">
        <f t="shared" ca="1" si="22"/>
        <v>4.2753913120543915E-4</v>
      </c>
      <c r="H347" t="str">
        <f t="shared" ca="1" si="23"/>
        <v>competitive</v>
      </c>
    </row>
    <row r="348" spans="1:8" x14ac:dyDescent="0.3">
      <c r="A348" t="s">
        <v>535</v>
      </c>
      <c r="B348" t="s">
        <v>265</v>
      </c>
      <c r="C348">
        <v>19.45</v>
      </c>
      <c r="D348">
        <v>14.52</v>
      </c>
      <c r="E348">
        <f t="shared" ca="1" si="20"/>
        <v>19.122373627858153</v>
      </c>
      <c r="F348">
        <f t="shared" ca="1" si="21"/>
        <v>0.32762637214184664</v>
      </c>
      <c r="G348">
        <f t="shared" ca="1" si="22"/>
        <v>1.7133143537397935E-2</v>
      </c>
      <c r="H348" t="str">
        <f t="shared" ca="1" si="23"/>
        <v>competitive</v>
      </c>
    </row>
    <row r="349" spans="1:8" x14ac:dyDescent="0.3">
      <c r="A349" t="s">
        <v>536</v>
      </c>
      <c r="B349" t="s">
        <v>184</v>
      </c>
      <c r="C349">
        <v>59.9</v>
      </c>
      <c r="D349">
        <v>34.22</v>
      </c>
      <c r="E349">
        <f t="shared" ca="1" si="20"/>
        <v>61.773131489382074</v>
      </c>
      <c r="F349">
        <f t="shared" ca="1" si="21"/>
        <v>-1.8731314893820752</v>
      </c>
      <c r="G349">
        <f t="shared" ca="1" si="22"/>
        <v>-3.0322754314374364E-2</v>
      </c>
      <c r="H349" t="str">
        <f t="shared" ca="1" si="23"/>
        <v>competitive</v>
      </c>
    </row>
    <row r="350" spans="1:8" x14ac:dyDescent="0.3">
      <c r="A350" t="s">
        <v>536</v>
      </c>
      <c r="B350" t="s">
        <v>184</v>
      </c>
      <c r="C350">
        <v>59.9</v>
      </c>
      <c r="D350">
        <v>34.22</v>
      </c>
      <c r="E350">
        <f t="shared" ca="1" si="20"/>
        <v>62.374621580041179</v>
      </c>
      <c r="F350">
        <f t="shared" ca="1" si="21"/>
        <v>-2.4746215800411804</v>
      </c>
      <c r="G350">
        <f t="shared" ca="1" si="22"/>
        <v>-3.9673532557879553E-2</v>
      </c>
      <c r="H350" t="str">
        <f t="shared" ca="1" si="23"/>
        <v>competitive</v>
      </c>
    </row>
    <row r="351" spans="1:8" x14ac:dyDescent="0.3">
      <c r="A351" t="s">
        <v>537</v>
      </c>
      <c r="B351" t="s">
        <v>538</v>
      </c>
      <c r="C351">
        <v>64.900000000000006</v>
      </c>
      <c r="D351">
        <v>15.33</v>
      </c>
      <c r="E351">
        <f t="shared" ca="1" si="20"/>
        <v>63.405216866010818</v>
      </c>
      <c r="F351">
        <f t="shared" ca="1" si="21"/>
        <v>1.4947831339891877</v>
      </c>
      <c r="G351">
        <f t="shared" ca="1" si="22"/>
        <v>2.3575081166396665E-2</v>
      </c>
      <c r="H351" t="str">
        <f t="shared" ca="1" si="23"/>
        <v>competitive</v>
      </c>
    </row>
    <row r="352" spans="1:8" x14ac:dyDescent="0.3">
      <c r="A352" t="s">
        <v>539</v>
      </c>
      <c r="B352" t="s">
        <v>21</v>
      </c>
      <c r="C352">
        <v>128.9</v>
      </c>
      <c r="D352">
        <v>9.26</v>
      </c>
      <c r="E352">
        <f t="shared" ca="1" si="20"/>
        <v>127.46774667401289</v>
      </c>
      <c r="F352">
        <f t="shared" ca="1" si="21"/>
        <v>1.4322533259871193</v>
      </c>
      <c r="G352">
        <f t="shared" ca="1" si="22"/>
        <v>1.1236201810721392E-2</v>
      </c>
      <c r="H352" t="str">
        <f t="shared" ca="1" si="23"/>
        <v>competitive</v>
      </c>
    </row>
    <row r="353" spans="1:8" x14ac:dyDescent="0.3">
      <c r="A353" t="s">
        <v>540</v>
      </c>
      <c r="B353" t="s">
        <v>541</v>
      </c>
      <c r="C353">
        <v>189.9</v>
      </c>
      <c r="D353">
        <v>13.77</v>
      </c>
      <c r="E353">
        <f t="shared" ca="1" si="20"/>
        <v>198.84177673043592</v>
      </c>
      <c r="F353">
        <f t="shared" ca="1" si="21"/>
        <v>-8.9417767304359188</v>
      </c>
      <c r="G353">
        <f t="shared" ca="1" si="22"/>
        <v>-4.496930613609447E-2</v>
      </c>
      <c r="H353" t="str">
        <f t="shared" ca="1" si="23"/>
        <v>competitive</v>
      </c>
    </row>
    <row r="354" spans="1:8" x14ac:dyDescent="0.3">
      <c r="A354" t="s">
        <v>542</v>
      </c>
      <c r="B354" t="s">
        <v>438</v>
      </c>
      <c r="C354">
        <v>250</v>
      </c>
      <c r="D354">
        <v>97.56</v>
      </c>
      <c r="E354">
        <f t="shared" ca="1" si="20"/>
        <v>255.40322689580196</v>
      </c>
      <c r="F354">
        <f t="shared" ca="1" si="21"/>
        <v>-5.4032268958019642</v>
      </c>
      <c r="G354">
        <f t="shared" ca="1" si="22"/>
        <v>-2.1155671999423656E-2</v>
      </c>
      <c r="H354" t="str">
        <f t="shared" ca="1" si="23"/>
        <v>competitive</v>
      </c>
    </row>
    <row r="355" spans="1:8" x14ac:dyDescent="0.3">
      <c r="A355" t="s">
        <v>543</v>
      </c>
      <c r="B355" t="s">
        <v>544</v>
      </c>
      <c r="C355">
        <v>94.9</v>
      </c>
      <c r="D355">
        <v>35.979999999999997</v>
      </c>
      <c r="E355">
        <f t="shared" ca="1" si="20"/>
        <v>100.20150427912033</v>
      </c>
      <c r="F355">
        <f t="shared" ca="1" si="21"/>
        <v>-5.3015042791203228</v>
      </c>
      <c r="G355">
        <f t="shared" ca="1" si="22"/>
        <v>-5.2908430040655922E-2</v>
      </c>
      <c r="H355" t="str">
        <f t="shared" ca="1" si="23"/>
        <v>underprived</v>
      </c>
    </row>
    <row r="356" spans="1:8" x14ac:dyDescent="0.3">
      <c r="A356" t="s">
        <v>545</v>
      </c>
      <c r="B356" t="s">
        <v>339</v>
      </c>
      <c r="C356">
        <v>27.9</v>
      </c>
      <c r="D356">
        <v>20.8</v>
      </c>
      <c r="E356">
        <f t="shared" ca="1" si="20"/>
        <v>30.654903992735225</v>
      </c>
      <c r="F356">
        <f t="shared" ca="1" si="21"/>
        <v>-2.7549039927352261</v>
      </c>
      <c r="G356">
        <f t="shared" ca="1" si="22"/>
        <v>-8.9868296223928779E-2</v>
      </c>
      <c r="H356" t="str">
        <f t="shared" ca="1" si="23"/>
        <v>underprived</v>
      </c>
    </row>
    <row r="357" spans="1:8" x14ac:dyDescent="0.3">
      <c r="A357" t="s">
        <v>545</v>
      </c>
      <c r="B357" t="s">
        <v>339</v>
      </c>
      <c r="C357">
        <v>27.9</v>
      </c>
      <c r="D357">
        <v>20.8</v>
      </c>
      <c r="E357">
        <f t="shared" ca="1" si="20"/>
        <v>28.171978060686087</v>
      </c>
      <c r="F357">
        <f t="shared" ca="1" si="21"/>
        <v>-0.27197806068608799</v>
      </c>
      <c r="G357">
        <f t="shared" ca="1" si="22"/>
        <v>-9.65420532772715E-3</v>
      </c>
      <c r="H357" t="str">
        <f t="shared" ca="1" si="23"/>
        <v>competitive</v>
      </c>
    </row>
    <row r="358" spans="1:8" x14ac:dyDescent="0.3">
      <c r="A358" t="s">
        <v>546</v>
      </c>
      <c r="B358" t="s">
        <v>547</v>
      </c>
      <c r="C358">
        <v>349.9</v>
      </c>
      <c r="D358">
        <v>29.3</v>
      </c>
      <c r="E358">
        <f t="shared" ca="1" si="20"/>
        <v>346.52394515736955</v>
      </c>
      <c r="F358">
        <f t="shared" ca="1" si="21"/>
        <v>3.376054842630424</v>
      </c>
      <c r="G358">
        <f t="shared" ca="1" si="22"/>
        <v>9.7426307469090784E-3</v>
      </c>
      <c r="H358" t="str">
        <f t="shared" ca="1" si="23"/>
        <v>competitive</v>
      </c>
    </row>
    <row r="359" spans="1:8" x14ac:dyDescent="0.3">
      <c r="A359" t="s">
        <v>548</v>
      </c>
      <c r="B359" t="s">
        <v>549</v>
      </c>
      <c r="C359">
        <v>110.99</v>
      </c>
      <c r="D359">
        <v>33.229999999999997</v>
      </c>
      <c r="E359">
        <f t="shared" ca="1" si="20"/>
        <v>108.82376884057395</v>
      </c>
      <c r="F359">
        <f t="shared" ca="1" si="21"/>
        <v>2.1662311594260473</v>
      </c>
      <c r="G359">
        <f t="shared" ca="1" si="22"/>
        <v>1.9905864155463689E-2</v>
      </c>
      <c r="H359" t="str">
        <f t="shared" ca="1" si="23"/>
        <v>competitive</v>
      </c>
    </row>
    <row r="360" spans="1:8" x14ac:dyDescent="0.3">
      <c r="A360" t="s">
        <v>550</v>
      </c>
      <c r="B360" t="s">
        <v>551</v>
      </c>
      <c r="C360">
        <v>190.83</v>
      </c>
      <c r="D360">
        <v>12.84</v>
      </c>
      <c r="E360">
        <f t="shared" ca="1" si="20"/>
        <v>207.69368056421541</v>
      </c>
      <c r="F360">
        <f t="shared" ca="1" si="21"/>
        <v>-16.8636805642154</v>
      </c>
      <c r="G360">
        <f t="shared" ca="1" si="22"/>
        <v>-8.1194962304119947E-2</v>
      </c>
      <c r="H360" t="str">
        <f t="shared" ca="1" si="23"/>
        <v>underprived</v>
      </c>
    </row>
    <row r="361" spans="1:8" x14ac:dyDescent="0.3">
      <c r="A361" t="s">
        <v>552</v>
      </c>
      <c r="B361" t="s">
        <v>295</v>
      </c>
      <c r="C361">
        <v>99.5</v>
      </c>
      <c r="D361">
        <v>35.07</v>
      </c>
      <c r="E361">
        <f t="shared" ca="1" si="20"/>
        <v>93.875713857543602</v>
      </c>
      <c r="F361">
        <f t="shared" ca="1" si="21"/>
        <v>5.6242861424563984</v>
      </c>
      <c r="G361">
        <f t="shared" ca="1" si="22"/>
        <v>5.9912046591637673E-2</v>
      </c>
      <c r="H361" t="str">
        <f t="shared" ca="1" si="23"/>
        <v>overpriced</v>
      </c>
    </row>
    <row r="362" spans="1:8" x14ac:dyDescent="0.3">
      <c r="A362" t="s">
        <v>553</v>
      </c>
      <c r="B362" t="s">
        <v>309</v>
      </c>
      <c r="C362">
        <v>104</v>
      </c>
      <c r="D362">
        <v>14.82</v>
      </c>
      <c r="E362">
        <f t="shared" ca="1" si="20"/>
        <v>100.36939460244956</v>
      </c>
      <c r="F362">
        <f t="shared" ca="1" si="21"/>
        <v>3.6306053975504398</v>
      </c>
      <c r="G362">
        <f t="shared" ca="1" si="22"/>
        <v>3.6172434953212651E-2</v>
      </c>
      <c r="H362" t="str">
        <f t="shared" ca="1" si="23"/>
        <v>competitive</v>
      </c>
    </row>
    <row r="363" spans="1:8" x14ac:dyDescent="0.3">
      <c r="A363" t="s">
        <v>554</v>
      </c>
      <c r="B363" t="s">
        <v>555</v>
      </c>
      <c r="C363">
        <v>79</v>
      </c>
      <c r="D363">
        <v>15.3</v>
      </c>
      <c r="E363">
        <f t="shared" ca="1" si="20"/>
        <v>75.140362070294699</v>
      </c>
      <c r="F363">
        <f t="shared" ca="1" si="21"/>
        <v>3.8596379297053005</v>
      </c>
      <c r="G363">
        <f t="shared" ca="1" si="22"/>
        <v>5.1365708433698566E-2</v>
      </c>
      <c r="H363" t="str">
        <f t="shared" ca="1" si="23"/>
        <v>overpriced</v>
      </c>
    </row>
    <row r="364" spans="1:8" x14ac:dyDescent="0.3">
      <c r="A364" t="s">
        <v>556</v>
      </c>
      <c r="B364" t="s">
        <v>192</v>
      </c>
      <c r="C364">
        <v>61.99</v>
      </c>
      <c r="D364">
        <v>24.56</v>
      </c>
      <c r="E364">
        <f t="shared" ca="1" si="20"/>
        <v>65.640220005044867</v>
      </c>
      <c r="F364">
        <f t="shared" ca="1" si="21"/>
        <v>-3.650220005044865</v>
      </c>
      <c r="G364">
        <f t="shared" ca="1" si="22"/>
        <v>-5.5609502904839785E-2</v>
      </c>
      <c r="H364" t="str">
        <f t="shared" ca="1" si="23"/>
        <v>underprived</v>
      </c>
    </row>
    <row r="365" spans="1:8" x14ac:dyDescent="0.3">
      <c r="A365" t="s">
        <v>557</v>
      </c>
      <c r="B365" t="s">
        <v>558</v>
      </c>
      <c r="C365">
        <v>419.9</v>
      </c>
      <c r="D365">
        <v>17.690000000000001</v>
      </c>
      <c r="E365">
        <f t="shared" ca="1" si="20"/>
        <v>418.35091900651224</v>
      </c>
      <c r="F365">
        <f t="shared" ca="1" si="21"/>
        <v>1.5490809934877348</v>
      </c>
      <c r="G365">
        <f t="shared" ca="1" si="22"/>
        <v>3.7028267970976325E-3</v>
      </c>
      <c r="H365" t="str">
        <f t="shared" ca="1" si="23"/>
        <v>competitive</v>
      </c>
    </row>
    <row r="366" spans="1:8" x14ac:dyDescent="0.3">
      <c r="A366" t="s">
        <v>559</v>
      </c>
      <c r="B366" t="s">
        <v>65</v>
      </c>
      <c r="C366">
        <v>299</v>
      </c>
      <c r="D366">
        <v>23.17</v>
      </c>
      <c r="E366">
        <f t="shared" ca="1" si="20"/>
        <v>280.86264265301941</v>
      </c>
      <c r="F366">
        <f t="shared" ca="1" si="21"/>
        <v>18.137357346980593</v>
      </c>
      <c r="G366">
        <f t="shared" ca="1" si="22"/>
        <v>6.4577322123211919E-2</v>
      </c>
      <c r="H366" t="str">
        <f t="shared" ca="1" si="23"/>
        <v>overpriced</v>
      </c>
    </row>
    <row r="367" spans="1:8" x14ac:dyDescent="0.3">
      <c r="A367" t="s">
        <v>560</v>
      </c>
      <c r="B367" t="s">
        <v>200</v>
      </c>
      <c r="C367">
        <v>175</v>
      </c>
      <c r="D367">
        <v>19.329999999999998</v>
      </c>
      <c r="E367">
        <f t="shared" ca="1" si="20"/>
        <v>166.4414503127191</v>
      </c>
      <c r="F367">
        <f t="shared" ca="1" si="21"/>
        <v>8.5585496872809017</v>
      </c>
      <c r="G367">
        <f t="shared" ca="1" si="22"/>
        <v>5.1420782931178743E-2</v>
      </c>
      <c r="H367" t="str">
        <f t="shared" ca="1" si="23"/>
        <v>overpriced</v>
      </c>
    </row>
    <row r="368" spans="1:8" x14ac:dyDescent="0.3">
      <c r="A368" t="s">
        <v>561</v>
      </c>
      <c r="B368" t="s">
        <v>290</v>
      </c>
      <c r="C368">
        <v>49.9</v>
      </c>
      <c r="D368">
        <v>14.1</v>
      </c>
      <c r="E368">
        <f t="shared" ca="1" si="20"/>
        <v>51.050424339398845</v>
      </c>
      <c r="F368">
        <f t="shared" ca="1" si="21"/>
        <v>-1.150424339398846</v>
      </c>
      <c r="G368">
        <f t="shared" ca="1" si="22"/>
        <v>-2.2535059292562838E-2</v>
      </c>
      <c r="H368" t="str">
        <f t="shared" ca="1" si="23"/>
        <v>competitive</v>
      </c>
    </row>
    <row r="369" spans="1:8" x14ac:dyDescent="0.3">
      <c r="A369" t="s">
        <v>144</v>
      </c>
      <c r="B369" t="s">
        <v>145</v>
      </c>
      <c r="C369">
        <v>44.9</v>
      </c>
      <c r="D369">
        <v>11.85</v>
      </c>
      <c r="E369">
        <f t="shared" ca="1" si="20"/>
        <v>46.849375375010148</v>
      </c>
      <c r="F369">
        <f t="shared" ca="1" si="21"/>
        <v>-1.949375375010149</v>
      </c>
      <c r="G369">
        <f t="shared" ca="1" si="22"/>
        <v>-4.1609420817378971E-2</v>
      </c>
      <c r="H369" t="str">
        <f t="shared" ca="1" si="23"/>
        <v>competitive</v>
      </c>
    </row>
    <row r="370" spans="1:8" x14ac:dyDescent="0.3">
      <c r="A370" t="s">
        <v>144</v>
      </c>
      <c r="B370" t="s">
        <v>145</v>
      </c>
      <c r="C370">
        <v>44.9</v>
      </c>
      <c r="D370">
        <v>11.85</v>
      </c>
      <c r="E370">
        <f t="shared" ca="1" si="20"/>
        <v>47.860222701174393</v>
      </c>
      <c r="F370">
        <f t="shared" ca="1" si="21"/>
        <v>-2.9602227011743949</v>
      </c>
      <c r="G370">
        <f t="shared" ca="1" si="22"/>
        <v>-6.1851419281042271E-2</v>
      </c>
      <c r="H370" t="str">
        <f t="shared" ca="1" si="23"/>
        <v>underprived</v>
      </c>
    </row>
    <row r="371" spans="1:8" x14ac:dyDescent="0.3">
      <c r="A371" t="s">
        <v>562</v>
      </c>
      <c r="B371" t="s">
        <v>563</v>
      </c>
      <c r="C371">
        <v>38.950000000000003</v>
      </c>
      <c r="D371">
        <v>15.37</v>
      </c>
      <c r="E371">
        <f t="shared" ca="1" si="20"/>
        <v>41.362044906095825</v>
      </c>
      <c r="F371">
        <f t="shared" ca="1" si="21"/>
        <v>-2.4120449060958222</v>
      </c>
      <c r="G371">
        <f t="shared" ca="1" si="22"/>
        <v>-5.8315417227844592E-2</v>
      </c>
      <c r="H371" t="str">
        <f t="shared" ca="1" si="23"/>
        <v>underprived</v>
      </c>
    </row>
    <row r="372" spans="1:8" x14ac:dyDescent="0.3">
      <c r="A372" t="s">
        <v>564</v>
      </c>
      <c r="B372" t="s">
        <v>233</v>
      </c>
      <c r="C372">
        <v>159.77000000000001</v>
      </c>
      <c r="D372">
        <v>16</v>
      </c>
      <c r="E372">
        <f t="shared" ca="1" si="20"/>
        <v>157.57303273790774</v>
      </c>
      <c r="F372">
        <f t="shared" ca="1" si="21"/>
        <v>2.1969672620922722</v>
      </c>
      <c r="G372">
        <f t="shared" ca="1" si="22"/>
        <v>1.3942533337836445E-2</v>
      </c>
      <c r="H372" t="str">
        <f t="shared" ca="1" si="23"/>
        <v>competitive</v>
      </c>
    </row>
    <row r="373" spans="1:8" x14ac:dyDescent="0.3">
      <c r="A373" t="s">
        <v>565</v>
      </c>
      <c r="B373" t="s">
        <v>481</v>
      </c>
      <c r="C373">
        <v>132.9</v>
      </c>
      <c r="D373">
        <v>19.03</v>
      </c>
      <c r="E373">
        <f t="shared" ca="1" si="20"/>
        <v>123.92452496567482</v>
      </c>
      <c r="F373">
        <f t="shared" ca="1" si="21"/>
        <v>8.9754750343251857</v>
      </c>
      <c r="G373">
        <f t="shared" ca="1" si="22"/>
        <v>7.2426947263354483E-2</v>
      </c>
      <c r="H373" t="str">
        <f t="shared" ca="1" si="23"/>
        <v>overpriced</v>
      </c>
    </row>
    <row r="374" spans="1:8" x14ac:dyDescent="0.3">
      <c r="A374" t="s">
        <v>566</v>
      </c>
      <c r="B374" t="s">
        <v>21</v>
      </c>
      <c r="C374">
        <v>36.85</v>
      </c>
      <c r="D374">
        <v>21.85</v>
      </c>
      <c r="E374">
        <f t="shared" ca="1" si="20"/>
        <v>39.536287884917833</v>
      </c>
      <c r="F374">
        <f t="shared" ca="1" si="21"/>
        <v>-2.6862878849178315</v>
      </c>
      <c r="G374">
        <f t="shared" ca="1" si="22"/>
        <v>-6.794486859102894E-2</v>
      </c>
      <c r="H374" t="str">
        <f t="shared" ca="1" si="23"/>
        <v>underprived</v>
      </c>
    </row>
    <row r="375" spans="1:8" x14ac:dyDescent="0.3">
      <c r="A375" t="s">
        <v>567</v>
      </c>
      <c r="B375" t="s">
        <v>47</v>
      </c>
      <c r="C375">
        <v>124.99</v>
      </c>
      <c r="D375">
        <v>21.88</v>
      </c>
      <c r="E375">
        <f t="shared" ca="1" si="20"/>
        <v>135.46067626084101</v>
      </c>
      <c r="F375">
        <f t="shared" ca="1" si="21"/>
        <v>-10.470676260841017</v>
      </c>
      <c r="G375">
        <f t="shared" ca="1" si="22"/>
        <v>-7.7296796013913607E-2</v>
      </c>
      <c r="H375" t="str">
        <f t="shared" ca="1" si="23"/>
        <v>underprived</v>
      </c>
    </row>
    <row r="376" spans="1:8" x14ac:dyDescent="0.3">
      <c r="A376" t="s">
        <v>568</v>
      </c>
      <c r="B376" t="s">
        <v>45</v>
      </c>
      <c r="C376">
        <v>94.99</v>
      </c>
      <c r="D376">
        <v>13.33</v>
      </c>
      <c r="E376">
        <f t="shared" ca="1" si="20"/>
        <v>98.417390828318688</v>
      </c>
      <c r="F376">
        <f t="shared" ca="1" si="21"/>
        <v>-3.4273908283186927</v>
      </c>
      <c r="G376">
        <f t="shared" ca="1" si="22"/>
        <v>-3.4825052762245075E-2</v>
      </c>
      <c r="H376" t="str">
        <f t="shared" ca="1" si="23"/>
        <v>competitive</v>
      </c>
    </row>
    <row r="377" spans="1:8" x14ac:dyDescent="0.3">
      <c r="A377" t="s">
        <v>569</v>
      </c>
      <c r="B377" t="s">
        <v>438</v>
      </c>
      <c r="C377">
        <v>32.99</v>
      </c>
      <c r="D377">
        <v>16.11</v>
      </c>
      <c r="E377">
        <f t="shared" ca="1" si="20"/>
        <v>31.427239997605046</v>
      </c>
      <c r="F377">
        <f t="shared" ca="1" si="21"/>
        <v>1.5627600023949562</v>
      </c>
      <c r="G377">
        <f t="shared" ca="1" si="22"/>
        <v>4.9726288484577337E-2</v>
      </c>
      <c r="H377" t="str">
        <f t="shared" ca="1" si="23"/>
        <v>competitive</v>
      </c>
    </row>
    <row r="378" spans="1:8" x14ac:dyDescent="0.3">
      <c r="A378" t="s">
        <v>570</v>
      </c>
      <c r="B378" t="s">
        <v>571</v>
      </c>
      <c r="C378">
        <v>89.9</v>
      </c>
      <c r="D378">
        <v>17.07</v>
      </c>
      <c r="E378">
        <f t="shared" ca="1" si="20"/>
        <v>88.176548825408318</v>
      </c>
      <c r="F378">
        <f t="shared" ca="1" si="21"/>
        <v>1.7234511745916876</v>
      </c>
      <c r="G378">
        <f t="shared" ca="1" si="22"/>
        <v>1.9545459621062765E-2</v>
      </c>
      <c r="H378" t="str">
        <f t="shared" ca="1" si="23"/>
        <v>competitive</v>
      </c>
    </row>
    <row r="379" spans="1:8" x14ac:dyDescent="0.3">
      <c r="A379" t="s">
        <v>572</v>
      </c>
      <c r="B379" t="s">
        <v>573</v>
      </c>
      <c r="C379">
        <v>173</v>
      </c>
      <c r="D379">
        <v>14.96</v>
      </c>
      <c r="E379">
        <f t="shared" ca="1" si="20"/>
        <v>165.50953445053216</v>
      </c>
      <c r="F379">
        <f t="shared" ca="1" si="21"/>
        <v>7.4904655494678423</v>
      </c>
      <c r="G379">
        <f t="shared" ca="1" si="22"/>
        <v>4.5257003316063395E-2</v>
      </c>
      <c r="H379" t="str">
        <f t="shared" ca="1" si="23"/>
        <v>competitive</v>
      </c>
    </row>
    <row r="380" spans="1:8" x14ac:dyDescent="0.3">
      <c r="A380" t="s">
        <v>574</v>
      </c>
      <c r="B380" t="s">
        <v>575</v>
      </c>
      <c r="C380">
        <v>44.9</v>
      </c>
      <c r="D380">
        <v>16.11</v>
      </c>
      <c r="E380">
        <f t="shared" ca="1" si="20"/>
        <v>40.671340739450329</v>
      </c>
      <c r="F380">
        <f t="shared" ca="1" si="21"/>
        <v>4.2286592605496693</v>
      </c>
      <c r="G380">
        <f t="shared" ca="1" si="22"/>
        <v>0.10397147435191288</v>
      </c>
      <c r="H380" t="str">
        <f t="shared" ca="1" si="23"/>
        <v>overpriced</v>
      </c>
    </row>
    <row r="381" spans="1:8" x14ac:dyDescent="0.3">
      <c r="A381" t="s">
        <v>576</v>
      </c>
      <c r="B381" t="s">
        <v>577</v>
      </c>
      <c r="C381">
        <v>85</v>
      </c>
      <c r="D381">
        <v>13.26</v>
      </c>
      <c r="E381">
        <f t="shared" ca="1" si="20"/>
        <v>78.605853414956755</v>
      </c>
      <c r="F381">
        <f t="shared" ca="1" si="21"/>
        <v>6.3941465850432451</v>
      </c>
      <c r="G381">
        <f t="shared" ca="1" si="22"/>
        <v>8.1344407665022517E-2</v>
      </c>
      <c r="H381" t="str">
        <f t="shared" ca="1" si="23"/>
        <v>overpriced</v>
      </c>
    </row>
    <row r="382" spans="1:8" x14ac:dyDescent="0.3">
      <c r="A382" t="s">
        <v>578</v>
      </c>
      <c r="B382" t="s">
        <v>31</v>
      </c>
      <c r="C382">
        <v>49.9</v>
      </c>
      <c r="D382">
        <v>13.37</v>
      </c>
      <c r="E382">
        <f t="shared" ca="1" si="20"/>
        <v>49.875967021808286</v>
      </c>
      <c r="F382">
        <f t="shared" ca="1" si="21"/>
        <v>2.4032978191712573E-2</v>
      </c>
      <c r="G382">
        <f t="shared" ca="1" si="22"/>
        <v>4.8185488175505735E-4</v>
      </c>
      <c r="H382" t="str">
        <f t="shared" ca="1" si="23"/>
        <v>competitive</v>
      </c>
    </row>
    <row r="383" spans="1:8" x14ac:dyDescent="0.3">
      <c r="A383" t="s">
        <v>579</v>
      </c>
      <c r="B383" t="s">
        <v>145</v>
      </c>
      <c r="C383">
        <v>54.99</v>
      </c>
      <c r="D383">
        <v>21.18</v>
      </c>
      <c r="E383">
        <f t="shared" ca="1" si="20"/>
        <v>50.933289157695285</v>
      </c>
      <c r="F383">
        <f t="shared" ca="1" si="21"/>
        <v>4.0567108423047173</v>
      </c>
      <c r="G383">
        <f t="shared" ca="1" si="22"/>
        <v>7.9647533261491849E-2</v>
      </c>
      <c r="H383" t="str">
        <f t="shared" ca="1" si="23"/>
        <v>overpriced</v>
      </c>
    </row>
    <row r="384" spans="1:8" x14ac:dyDescent="0.3">
      <c r="A384" t="s">
        <v>191</v>
      </c>
      <c r="B384" t="s">
        <v>192</v>
      </c>
      <c r="C384">
        <v>66.989999999999995</v>
      </c>
      <c r="D384">
        <v>22.97</v>
      </c>
      <c r="E384">
        <f t="shared" ca="1" si="20"/>
        <v>63.628986541695149</v>
      </c>
      <c r="F384">
        <f t="shared" ca="1" si="21"/>
        <v>3.3610134583048463</v>
      </c>
      <c r="G384">
        <f t="shared" ca="1" si="22"/>
        <v>5.2822049210267133E-2</v>
      </c>
      <c r="H384" t="str">
        <f t="shared" ca="1" si="23"/>
        <v>overpriced</v>
      </c>
    </row>
    <row r="385" spans="1:8" x14ac:dyDescent="0.3">
      <c r="A385" t="s">
        <v>580</v>
      </c>
      <c r="B385" t="s">
        <v>273</v>
      </c>
      <c r="C385">
        <v>69.989999999999995</v>
      </c>
      <c r="D385">
        <v>14.8</v>
      </c>
      <c r="E385">
        <f t="shared" ca="1" si="20"/>
        <v>74.02571782564263</v>
      </c>
      <c r="F385">
        <f t="shared" ca="1" si="21"/>
        <v>-4.0357178256426351</v>
      </c>
      <c r="G385">
        <f t="shared" ca="1" si="22"/>
        <v>-5.4517780363146383E-2</v>
      </c>
      <c r="H385" t="str">
        <f t="shared" ca="1" si="23"/>
        <v>underprived</v>
      </c>
    </row>
    <row r="386" spans="1:8" x14ac:dyDescent="0.3">
      <c r="A386" t="s">
        <v>581</v>
      </c>
      <c r="B386" t="s">
        <v>190</v>
      </c>
      <c r="C386">
        <v>268.89999999999998</v>
      </c>
      <c r="D386">
        <v>19.98</v>
      </c>
      <c r="E386">
        <f t="shared" ca="1" si="20"/>
        <v>282.57621731511307</v>
      </c>
      <c r="F386">
        <f t="shared" ca="1" si="21"/>
        <v>-13.676217315113092</v>
      </c>
      <c r="G386">
        <f t="shared" ca="1" si="22"/>
        <v>-4.8398331059340868E-2</v>
      </c>
      <c r="H386" t="str">
        <f t="shared" ca="1" si="23"/>
        <v>competitive</v>
      </c>
    </row>
    <row r="387" spans="1:8" x14ac:dyDescent="0.3">
      <c r="A387" t="s">
        <v>398</v>
      </c>
      <c r="B387" t="s">
        <v>25</v>
      </c>
      <c r="C387">
        <v>84.99</v>
      </c>
      <c r="D387">
        <v>16.350000000000001</v>
      </c>
      <c r="E387">
        <f t="shared" ref="E387:E450" ca="1" si="24">C387*(1+RAND()*0.2-0.1)</f>
        <v>86.46377613950645</v>
      </c>
      <c r="F387">
        <f t="shared" ref="F387:F450" ca="1" si="25">C387-E387</f>
        <v>-1.4737761395064553</v>
      </c>
      <c r="G387">
        <f t="shared" ref="G387:G450" ca="1" si="26">(C387-E387)/E387</f>
        <v>-1.7045012435364448E-2</v>
      </c>
      <c r="H387" t="str">
        <f t="shared" ref="H387:H450" ca="1" si="27">IF(E387="","competitive",IF(ABS(C387-E387)/E387&lt;=0.05,"competitive",IF(C387&gt;E387,"overpriced","underprived")))</f>
        <v>competitive</v>
      </c>
    </row>
    <row r="388" spans="1:8" x14ac:dyDescent="0.3">
      <c r="A388" t="s">
        <v>582</v>
      </c>
      <c r="B388" t="s">
        <v>583</v>
      </c>
      <c r="C388">
        <v>34.99</v>
      </c>
      <c r="D388">
        <v>9.34</v>
      </c>
      <c r="E388">
        <f t="shared" ca="1" si="24"/>
        <v>36.366630433781054</v>
      </c>
      <c r="F388">
        <f t="shared" ca="1" si="25"/>
        <v>-1.3766304337810524</v>
      </c>
      <c r="G388">
        <f t="shared" ca="1" si="26"/>
        <v>-3.7854220128744648E-2</v>
      </c>
      <c r="H388" t="str">
        <f t="shared" ca="1" si="27"/>
        <v>competitive</v>
      </c>
    </row>
    <row r="389" spans="1:8" x14ac:dyDescent="0.3">
      <c r="A389" t="s">
        <v>582</v>
      </c>
      <c r="B389" t="s">
        <v>583</v>
      </c>
      <c r="C389">
        <v>34.99</v>
      </c>
      <c r="D389">
        <v>9.34</v>
      </c>
      <c r="E389">
        <f t="shared" ca="1" si="24"/>
        <v>34.912023935125241</v>
      </c>
      <c r="F389">
        <f t="shared" ca="1" si="25"/>
        <v>7.7976064874761164E-2</v>
      </c>
      <c r="G389">
        <f t="shared" ca="1" si="26"/>
        <v>2.2335017018680742E-3</v>
      </c>
      <c r="H389" t="str">
        <f t="shared" ca="1" si="27"/>
        <v>competitive</v>
      </c>
    </row>
    <row r="390" spans="1:8" x14ac:dyDescent="0.3">
      <c r="A390" t="s">
        <v>582</v>
      </c>
      <c r="B390" t="s">
        <v>583</v>
      </c>
      <c r="C390">
        <v>34.99</v>
      </c>
      <c r="D390">
        <v>9.34</v>
      </c>
      <c r="E390">
        <f t="shared" ca="1" si="24"/>
        <v>32.022851541609356</v>
      </c>
      <c r="F390">
        <f t="shared" ca="1" si="25"/>
        <v>2.9671484583906462</v>
      </c>
      <c r="G390">
        <f t="shared" ca="1" si="26"/>
        <v>9.2657221813467763E-2</v>
      </c>
      <c r="H390" t="str">
        <f t="shared" ca="1" si="27"/>
        <v>overpriced</v>
      </c>
    </row>
    <row r="391" spans="1:8" x14ac:dyDescent="0.3">
      <c r="A391" t="s">
        <v>582</v>
      </c>
      <c r="B391" t="s">
        <v>583</v>
      </c>
      <c r="C391">
        <v>34.99</v>
      </c>
      <c r="D391">
        <v>9.34</v>
      </c>
      <c r="E391">
        <f t="shared" ca="1" si="24"/>
        <v>36.984799309460222</v>
      </c>
      <c r="F391">
        <f t="shared" ca="1" si="25"/>
        <v>-1.9947993094602197</v>
      </c>
      <c r="G391">
        <f t="shared" ca="1" si="26"/>
        <v>-5.3935653206315395E-2</v>
      </c>
      <c r="H391" t="str">
        <f t="shared" ca="1" si="27"/>
        <v>underprived</v>
      </c>
    </row>
    <row r="392" spans="1:8" x14ac:dyDescent="0.3">
      <c r="A392" t="s">
        <v>584</v>
      </c>
      <c r="B392" t="s">
        <v>29</v>
      </c>
      <c r="C392">
        <v>77.900000000000006</v>
      </c>
      <c r="D392">
        <v>23.35</v>
      </c>
      <c r="E392">
        <f t="shared" ca="1" si="24"/>
        <v>76.082894341754567</v>
      </c>
      <c r="F392">
        <f t="shared" ca="1" si="25"/>
        <v>1.8171056582454383</v>
      </c>
      <c r="G392">
        <f t="shared" ca="1" si="26"/>
        <v>2.3883235173510008E-2</v>
      </c>
      <c r="H392" t="str">
        <f t="shared" ca="1" si="27"/>
        <v>competitive</v>
      </c>
    </row>
    <row r="393" spans="1:8" x14ac:dyDescent="0.3">
      <c r="A393" t="s">
        <v>585</v>
      </c>
      <c r="B393" t="s">
        <v>267</v>
      </c>
      <c r="C393">
        <v>38.4</v>
      </c>
      <c r="D393">
        <v>9.27</v>
      </c>
      <c r="E393">
        <f t="shared" ca="1" si="24"/>
        <v>40.785464359601569</v>
      </c>
      <c r="F393">
        <f t="shared" ca="1" si="25"/>
        <v>-2.3854643596015705</v>
      </c>
      <c r="G393">
        <f t="shared" ca="1" si="26"/>
        <v>-5.8488101019744623E-2</v>
      </c>
      <c r="H393" t="str">
        <f t="shared" ca="1" si="27"/>
        <v>underprived</v>
      </c>
    </row>
    <row r="394" spans="1:8" x14ac:dyDescent="0.3">
      <c r="A394" t="s">
        <v>586</v>
      </c>
      <c r="B394" t="s">
        <v>186</v>
      </c>
      <c r="C394">
        <v>69</v>
      </c>
      <c r="D394">
        <v>17.22</v>
      </c>
      <c r="E394">
        <f t="shared" ca="1" si="24"/>
        <v>67.905614589074517</v>
      </c>
      <c r="F394">
        <f t="shared" ca="1" si="25"/>
        <v>1.0943854109254829</v>
      </c>
      <c r="G394">
        <f t="shared" ca="1" si="26"/>
        <v>1.6116272822918547E-2</v>
      </c>
      <c r="H394" t="str">
        <f t="shared" ca="1" si="27"/>
        <v>competitive</v>
      </c>
    </row>
    <row r="395" spans="1:8" x14ac:dyDescent="0.3">
      <c r="A395" t="s">
        <v>587</v>
      </c>
      <c r="B395" t="s">
        <v>588</v>
      </c>
      <c r="C395">
        <v>134.9</v>
      </c>
      <c r="D395">
        <v>21.43</v>
      </c>
      <c r="E395">
        <f t="shared" ca="1" si="24"/>
        <v>137.22976908293882</v>
      </c>
      <c r="F395">
        <f t="shared" ca="1" si="25"/>
        <v>-2.3297690829388102</v>
      </c>
      <c r="G395">
        <f t="shared" ca="1" si="26"/>
        <v>-1.6977140590615919E-2</v>
      </c>
      <c r="H395" t="str">
        <f t="shared" ca="1" si="27"/>
        <v>competitive</v>
      </c>
    </row>
    <row r="396" spans="1:8" x14ac:dyDescent="0.3">
      <c r="A396" t="s">
        <v>589</v>
      </c>
      <c r="B396" t="s">
        <v>43</v>
      </c>
      <c r="C396">
        <v>39.5</v>
      </c>
      <c r="D396">
        <v>15.11</v>
      </c>
      <c r="E396">
        <f t="shared" ca="1" si="24"/>
        <v>43.359663516070093</v>
      </c>
      <c r="F396">
        <f t="shared" ca="1" si="25"/>
        <v>-3.8596635160700927</v>
      </c>
      <c r="G396">
        <f t="shared" ca="1" si="26"/>
        <v>-8.9015070761322035E-2</v>
      </c>
      <c r="H396" t="str">
        <f t="shared" ca="1" si="27"/>
        <v>underprived</v>
      </c>
    </row>
    <row r="397" spans="1:8" x14ac:dyDescent="0.3">
      <c r="A397" t="s">
        <v>590</v>
      </c>
      <c r="B397" t="s">
        <v>591</v>
      </c>
      <c r="C397">
        <v>71</v>
      </c>
      <c r="D397">
        <v>23.65</v>
      </c>
      <c r="E397">
        <f t="shared" ca="1" si="24"/>
        <v>71.119829349007517</v>
      </c>
      <c r="F397">
        <f t="shared" ca="1" si="25"/>
        <v>-0.11982934900751729</v>
      </c>
      <c r="G397">
        <f t="shared" ca="1" si="26"/>
        <v>-1.6848936520850852E-3</v>
      </c>
      <c r="H397" t="str">
        <f t="shared" ca="1" si="27"/>
        <v>competitive</v>
      </c>
    </row>
    <row r="398" spans="1:8" x14ac:dyDescent="0.3">
      <c r="A398" t="s">
        <v>592</v>
      </c>
      <c r="B398" t="s">
        <v>438</v>
      </c>
      <c r="C398">
        <v>225</v>
      </c>
      <c r="D398">
        <v>60.81</v>
      </c>
      <c r="E398">
        <f t="shared" ca="1" si="24"/>
        <v>226.55257817825111</v>
      </c>
      <c r="F398">
        <f t="shared" ca="1" si="25"/>
        <v>-1.5525781782511103</v>
      </c>
      <c r="G398">
        <f t="shared" ca="1" si="26"/>
        <v>-6.8530589708387466E-3</v>
      </c>
      <c r="H398" t="str">
        <f t="shared" ca="1" si="27"/>
        <v>competitive</v>
      </c>
    </row>
    <row r="399" spans="1:8" x14ac:dyDescent="0.3">
      <c r="A399" t="s">
        <v>593</v>
      </c>
      <c r="B399" t="s">
        <v>204</v>
      </c>
      <c r="C399">
        <v>189</v>
      </c>
      <c r="D399">
        <v>32.07</v>
      </c>
      <c r="E399">
        <f t="shared" ca="1" si="24"/>
        <v>180.08294759165099</v>
      </c>
      <c r="F399">
        <f t="shared" ca="1" si="25"/>
        <v>8.9170524083490079</v>
      </c>
      <c r="G399">
        <f t="shared" ca="1" si="26"/>
        <v>4.9516361918780699E-2</v>
      </c>
      <c r="H399" t="str">
        <f t="shared" ca="1" si="27"/>
        <v>competitive</v>
      </c>
    </row>
    <row r="400" spans="1:8" x14ac:dyDescent="0.3">
      <c r="A400" t="s">
        <v>594</v>
      </c>
      <c r="B400" t="s">
        <v>595</v>
      </c>
      <c r="C400">
        <v>199</v>
      </c>
      <c r="D400">
        <v>32.79</v>
      </c>
      <c r="E400">
        <f t="shared" ca="1" si="24"/>
        <v>210.31460236659063</v>
      </c>
      <c r="F400">
        <f t="shared" ca="1" si="25"/>
        <v>-11.314602366590634</v>
      </c>
      <c r="G400">
        <f t="shared" ca="1" si="26"/>
        <v>-5.3798463060917762E-2</v>
      </c>
      <c r="H400" t="str">
        <f t="shared" ca="1" si="27"/>
        <v>underprived</v>
      </c>
    </row>
    <row r="401" spans="1:8" x14ac:dyDescent="0.3">
      <c r="A401" t="s">
        <v>596</v>
      </c>
      <c r="B401" t="s">
        <v>438</v>
      </c>
      <c r="C401">
        <v>35</v>
      </c>
      <c r="D401">
        <v>19.440000000000001</v>
      </c>
      <c r="E401">
        <f t="shared" ca="1" si="24"/>
        <v>33.001907732595676</v>
      </c>
      <c r="F401">
        <f t="shared" ca="1" si="25"/>
        <v>1.9980922674043242</v>
      </c>
      <c r="G401">
        <f t="shared" ca="1" si="26"/>
        <v>6.0544750430619111E-2</v>
      </c>
      <c r="H401" t="str">
        <f t="shared" ca="1" si="27"/>
        <v>overpriced</v>
      </c>
    </row>
    <row r="402" spans="1:8" x14ac:dyDescent="0.3">
      <c r="A402" t="s">
        <v>596</v>
      </c>
      <c r="B402" t="s">
        <v>438</v>
      </c>
      <c r="C402">
        <v>35</v>
      </c>
      <c r="D402">
        <v>19.440000000000001</v>
      </c>
      <c r="E402">
        <f t="shared" ca="1" si="24"/>
        <v>33.329522828861577</v>
      </c>
      <c r="F402">
        <f t="shared" ca="1" si="25"/>
        <v>1.6704771711384225</v>
      </c>
      <c r="G402">
        <f t="shared" ca="1" si="26"/>
        <v>5.0120044613776435E-2</v>
      </c>
      <c r="H402" t="str">
        <f t="shared" ca="1" si="27"/>
        <v>overpriced</v>
      </c>
    </row>
    <row r="403" spans="1:8" x14ac:dyDescent="0.3">
      <c r="A403" t="s">
        <v>596</v>
      </c>
      <c r="B403" t="s">
        <v>438</v>
      </c>
      <c r="C403">
        <v>35</v>
      </c>
      <c r="D403">
        <v>19.440000000000001</v>
      </c>
      <c r="E403">
        <f t="shared" ca="1" si="24"/>
        <v>34.294129829364174</v>
      </c>
      <c r="F403">
        <f t="shared" ca="1" si="25"/>
        <v>0.70587017063582636</v>
      </c>
      <c r="G403">
        <f t="shared" ca="1" si="26"/>
        <v>2.0582827852696488E-2</v>
      </c>
      <c r="H403" t="str">
        <f t="shared" ca="1" si="27"/>
        <v>competitive</v>
      </c>
    </row>
    <row r="404" spans="1:8" x14ac:dyDescent="0.3">
      <c r="A404" t="s">
        <v>597</v>
      </c>
      <c r="B404" t="s">
        <v>598</v>
      </c>
      <c r="C404">
        <v>49.9</v>
      </c>
      <c r="D404">
        <v>14.52</v>
      </c>
      <c r="E404">
        <f t="shared" ca="1" si="24"/>
        <v>51.589671652750276</v>
      </c>
      <c r="F404">
        <f t="shared" ca="1" si="25"/>
        <v>-1.6896716527502775</v>
      </c>
      <c r="G404">
        <f t="shared" ca="1" si="26"/>
        <v>-3.2752130390040969E-2</v>
      </c>
      <c r="H404" t="str">
        <f t="shared" ca="1" si="27"/>
        <v>competitive</v>
      </c>
    </row>
    <row r="405" spans="1:8" x14ac:dyDescent="0.3">
      <c r="A405" t="s">
        <v>599</v>
      </c>
      <c r="B405" t="s">
        <v>111</v>
      </c>
      <c r="C405">
        <v>45</v>
      </c>
      <c r="D405">
        <v>35.67</v>
      </c>
      <c r="E405">
        <f t="shared" ca="1" si="24"/>
        <v>47.359678747866496</v>
      </c>
      <c r="F405">
        <f t="shared" ca="1" si="25"/>
        <v>-2.3596787478664965</v>
      </c>
      <c r="G405">
        <f t="shared" ca="1" si="26"/>
        <v>-4.9824635855934676E-2</v>
      </c>
      <c r="H405" t="str">
        <f t="shared" ca="1" si="27"/>
        <v>competitive</v>
      </c>
    </row>
    <row r="406" spans="1:8" x14ac:dyDescent="0.3">
      <c r="A406" t="s">
        <v>600</v>
      </c>
      <c r="B406" t="s">
        <v>601</v>
      </c>
      <c r="C406">
        <v>39.97</v>
      </c>
      <c r="D406">
        <v>18.38</v>
      </c>
      <c r="E406">
        <f t="shared" ca="1" si="24"/>
        <v>38.559616897913159</v>
      </c>
      <c r="F406">
        <f t="shared" ca="1" si="25"/>
        <v>1.4103831020868398</v>
      </c>
      <c r="G406">
        <f t="shared" ca="1" si="26"/>
        <v>3.6576688659040325E-2</v>
      </c>
      <c r="H406" t="str">
        <f t="shared" ca="1" si="27"/>
        <v>competitive</v>
      </c>
    </row>
    <row r="407" spans="1:8" x14ac:dyDescent="0.3">
      <c r="A407" t="s">
        <v>600</v>
      </c>
      <c r="B407" t="s">
        <v>601</v>
      </c>
      <c r="C407">
        <v>39.97</v>
      </c>
      <c r="D407">
        <v>18.38</v>
      </c>
      <c r="E407">
        <f t="shared" ca="1" si="24"/>
        <v>40.799266664209028</v>
      </c>
      <c r="F407">
        <f t="shared" ca="1" si="25"/>
        <v>-0.82926666420902961</v>
      </c>
      <c r="G407">
        <f t="shared" ca="1" si="26"/>
        <v>-2.0325528667810591E-2</v>
      </c>
      <c r="H407" t="str">
        <f t="shared" ca="1" si="27"/>
        <v>competitive</v>
      </c>
    </row>
    <row r="408" spans="1:8" x14ac:dyDescent="0.3">
      <c r="A408" t="s">
        <v>600</v>
      </c>
      <c r="B408" t="s">
        <v>601</v>
      </c>
      <c r="C408">
        <v>39.97</v>
      </c>
      <c r="D408">
        <v>18.38</v>
      </c>
      <c r="E408">
        <f t="shared" ca="1" si="24"/>
        <v>40.203903700345371</v>
      </c>
      <c r="F408">
        <f t="shared" ca="1" si="25"/>
        <v>-0.23390370034537256</v>
      </c>
      <c r="G408">
        <f t="shared" ca="1" si="26"/>
        <v>-5.8179350465254248E-3</v>
      </c>
      <c r="H408" t="str">
        <f t="shared" ca="1" si="27"/>
        <v>competitive</v>
      </c>
    </row>
    <row r="409" spans="1:8" x14ac:dyDescent="0.3">
      <c r="A409" t="s">
        <v>602</v>
      </c>
      <c r="B409" t="s">
        <v>603</v>
      </c>
      <c r="C409">
        <v>149</v>
      </c>
      <c r="D409">
        <v>14.77</v>
      </c>
      <c r="E409">
        <f t="shared" ca="1" si="24"/>
        <v>153.1701928767163</v>
      </c>
      <c r="F409">
        <f t="shared" ca="1" si="25"/>
        <v>-4.1701928767162997</v>
      </c>
      <c r="G409">
        <f t="shared" ca="1" si="26"/>
        <v>-2.7225877296327534E-2</v>
      </c>
      <c r="H409" t="str">
        <f t="shared" ca="1" si="27"/>
        <v>competitive</v>
      </c>
    </row>
    <row r="410" spans="1:8" x14ac:dyDescent="0.3">
      <c r="A410" t="s">
        <v>604</v>
      </c>
      <c r="B410" t="s">
        <v>605</v>
      </c>
      <c r="C410">
        <v>51.6</v>
      </c>
      <c r="D410">
        <v>9.34</v>
      </c>
      <c r="E410">
        <f t="shared" ca="1" si="24"/>
        <v>56.107684341167982</v>
      </c>
      <c r="F410">
        <f t="shared" ca="1" si="25"/>
        <v>-4.5076843411679803</v>
      </c>
      <c r="G410">
        <f t="shared" ca="1" si="26"/>
        <v>-8.0339874904809608E-2</v>
      </c>
      <c r="H410" t="str">
        <f t="shared" ca="1" si="27"/>
        <v>underprived</v>
      </c>
    </row>
    <row r="411" spans="1:8" x14ac:dyDescent="0.3">
      <c r="A411" t="s">
        <v>606</v>
      </c>
      <c r="B411" t="s">
        <v>607</v>
      </c>
      <c r="C411">
        <v>146.9</v>
      </c>
      <c r="D411">
        <v>19.72</v>
      </c>
      <c r="E411">
        <f t="shared" ca="1" si="24"/>
        <v>157.82684206248683</v>
      </c>
      <c r="F411">
        <f t="shared" ca="1" si="25"/>
        <v>-10.926842062486827</v>
      </c>
      <c r="G411">
        <f t="shared" ca="1" si="26"/>
        <v>-6.923310331559869E-2</v>
      </c>
      <c r="H411" t="str">
        <f t="shared" ca="1" si="27"/>
        <v>underprived</v>
      </c>
    </row>
    <row r="412" spans="1:8" x14ac:dyDescent="0.3">
      <c r="A412" t="s">
        <v>281</v>
      </c>
      <c r="B412" t="s">
        <v>282</v>
      </c>
      <c r="C412">
        <v>79.900000000000006</v>
      </c>
      <c r="D412">
        <v>9.7100000000000009</v>
      </c>
      <c r="E412">
        <f t="shared" ca="1" si="24"/>
        <v>83.782325654569178</v>
      </c>
      <c r="F412">
        <f t="shared" ca="1" si="25"/>
        <v>-3.882325654569172</v>
      </c>
      <c r="G412">
        <f t="shared" ca="1" si="26"/>
        <v>-4.6338241678511395E-2</v>
      </c>
      <c r="H412" t="str">
        <f t="shared" ca="1" si="27"/>
        <v>competitive</v>
      </c>
    </row>
    <row r="413" spans="1:8" x14ac:dyDescent="0.3">
      <c r="A413" t="s">
        <v>608</v>
      </c>
      <c r="B413" t="s">
        <v>609</v>
      </c>
      <c r="C413">
        <v>22.5</v>
      </c>
      <c r="D413">
        <v>18.260000000000002</v>
      </c>
      <c r="E413">
        <f t="shared" ca="1" si="24"/>
        <v>21.894355386157383</v>
      </c>
      <c r="F413">
        <f t="shared" ca="1" si="25"/>
        <v>0.60564461384261747</v>
      </c>
      <c r="G413">
        <f t="shared" ca="1" si="26"/>
        <v>2.7662134973178237E-2</v>
      </c>
      <c r="H413" t="str">
        <f t="shared" ca="1" si="27"/>
        <v>competitive</v>
      </c>
    </row>
    <row r="414" spans="1:8" x14ac:dyDescent="0.3">
      <c r="A414" t="s">
        <v>610</v>
      </c>
      <c r="B414" t="s">
        <v>611</v>
      </c>
      <c r="C414">
        <v>11.9</v>
      </c>
      <c r="D414">
        <v>16.79</v>
      </c>
      <c r="E414">
        <f t="shared" ca="1" si="24"/>
        <v>12.171269546095537</v>
      </c>
      <c r="F414">
        <f t="shared" ca="1" si="25"/>
        <v>-0.271269546095537</v>
      </c>
      <c r="G414">
        <f t="shared" ca="1" si="26"/>
        <v>-2.2287695220960618E-2</v>
      </c>
      <c r="H414" t="str">
        <f t="shared" ca="1" si="27"/>
        <v>competitive</v>
      </c>
    </row>
    <row r="415" spans="1:8" x14ac:dyDescent="0.3">
      <c r="A415" t="s">
        <v>610</v>
      </c>
      <c r="B415" t="s">
        <v>611</v>
      </c>
      <c r="C415">
        <v>11.9</v>
      </c>
      <c r="D415">
        <v>16.79</v>
      </c>
      <c r="E415">
        <f t="shared" ca="1" si="24"/>
        <v>11.025421716301283</v>
      </c>
      <c r="F415">
        <f t="shared" ca="1" si="25"/>
        <v>0.87457828369871748</v>
      </c>
      <c r="G415">
        <f t="shared" ca="1" si="26"/>
        <v>7.9323794245950513E-2</v>
      </c>
      <c r="H415" t="str">
        <f t="shared" ca="1" si="27"/>
        <v>overpriced</v>
      </c>
    </row>
    <row r="416" spans="1:8" x14ac:dyDescent="0.3">
      <c r="A416" t="s">
        <v>612</v>
      </c>
      <c r="B416" t="s">
        <v>416</v>
      </c>
      <c r="C416">
        <v>19.989999999999998</v>
      </c>
      <c r="D416">
        <v>10.96</v>
      </c>
      <c r="E416">
        <f t="shared" ca="1" si="24"/>
        <v>21.84467783022022</v>
      </c>
      <c r="F416">
        <f t="shared" ca="1" si="25"/>
        <v>-1.854677830220222</v>
      </c>
      <c r="G416">
        <f t="shared" ca="1" si="26"/>
        <v>-8.4902961015723283E-2</v>
      </c>
      <c r="H416" t="str">
        <f t="shared" ca="1" si="27"/>
        <v>underprived</v>
      </c>
    </row>
    <row r="417" spans="1:8" x14ac:dyDescent="0.3">
      <c r="A417" t="s">
        <v>613</v>
      </c>
      <c r="B417" t="s">
        <v>614</v>
      </c>
      <c r="C417">
        <v>7.9</v>
      </c>
      <c r="D417">
        <v>16.11</v>
      </c>
      <c r="E417">
        <f t="shared" ca="1" si="24"/>
        <v>7.9181917445187286</v>
      </c>
      <c r="F417">
        <f t="shared" ca="1" si="25"/>
        <v>-1.8191744518728292E-2</v>
      </c>
      <c r="G417">
        <f t="shared" ca="1" si="26"/>
        <v>-2.2974619844639789E-3</v>
      </c>
      <c r="H417" t="str">
        <f t="shared" ca="1" si="27"/>
        <v>competitive</v>
      </c>
    </row>
    <row r="418" spans="1:8" x14ac:dyDescent="0.3">
      <c r="A418" t="s">
        <v>615</v>
      </c>
      <c r="B418" t="s">
        <v>186</v>
      </c>
      <c r="C418">
        <v>85.71</v>
      </c>
      <c r="D418">
        <v>18.399999999999999</v>
      </c>
      <c r="E418">
        <f t="shared" ca="1" si="24"/>
        <v>91.047999490426932</v>
      </c>
      <c r="F418">
        <f t="shared" ca="1" si="25"/>
        <v>-5.3379994904269381</v>
      </c>
      <c r="G418">
        <f t="shared" ca="1" si="26"/>
        <v>-5.8628410512063932E-2</v>
      </c>
      <c r="H418" t="str">
        <f t="shared" ca="1" si="27"/>
        <v>underprived</v>
      </c>
    </row>
    <row r="419" spans="1:8" x14ac:dyDescent="0.3">
      <c r="A419" t="s">
        <v>616</v>
      </c>
      <c r="B419" t="s">
        <v>111</v>
      </c>
      <c r="C419">
        <v>29.5</v>
      </c>
      <c r="D419">
        <v>20.84</v>
      </c>
      <c r="E419">
        <f t="shared" ca="1" si="24"/>
        <v>28.700665563919429</v>
      </c>
      <c r="F419">
        <f t="shared" ca="1" si="25"/>
        <v>0.79933443608057075</v>
      </c>
      <c r="G419">
        <f t="shared" ca="1" si="26"/>
        <v>2.7850728210478886E-2</v>
      </c>
      <c r="H419" t="str">
        <f t="shared" ca="1" si="27"/>
        <v>competitive</v>
      </c>
    </row>
    <row r="420" spans="1:8" x14ac:dyDescent="0.3">
      <c r="A420" t="s">
        <v>617</v>
      </c>
      <c r="B420" t="s">
        <v>618</v>
      </c>
      <c r="C420">
        <v>18.25</v>
      </c>
      <c r="D420">
        <v>17.600000000000001</v>
      </c>
      <c r="E420">
        <f t="shared" ca="1" si="24"/>
        <v>19.694452617209169</v>
      </c>
      <c r="F420">
        <f t="shared" ca="1" si="25"/>
        <v>-1.4444526172091692</v>
      </c>
      <c r="G420">
        <f t="shared" ca="1" si="26"/>
        <v>-7.3343120790622787E-2</v>
      </c>
      <c r="H420" t="str">
        <f t="shared" ca="1" si="27"/>
        <v>underprived</v>
      </c>
    </row>
    <row r="421" spans="1:8" x14ac:dyDescent="0.3">
      <c r="A421" t="s">
        <v>619</v>
      </c>
      <c r="B421" t="s">
        <v>620</v>
      </c>
      <c r="C421">
        <v>142</v>
      </c>
      <c r="D421">
        <v>8.02</v>
      </c>
      <c r="E421">
        <f t="shared" ca="1" si="24"/>
        <v>140.5917854518643</v>
      </c>
      <c r="F421">
        <f t="shared" ca="1" si="25"/>
        <v>1.4082145481357031</v>
      </c>
      <c r="G421">
        <f t="shared" ca="1" si="26"/>
        <v>1.0016335901914031E-2</v>
      </c>
      <c r="H421" t="str">
        <f t="shared" ca="1" si="27"/>
        <v>competitive</v>
      </c>
    </row>
    <row r="422" spans="1:8" x14ac:dyDescent="0.3">
      <c r="A422" t="s">
        <v>621</v>
      </c>
      <c r="B422" t="s">
        <v>622</v>
      </c>
      <c r="C422">
        <v>179.99</v>
      </c>
      <c r="D422">
        <v>26.1</v>
      </c>
      <c r="E422">
        <f t="shared" ca="1" si="24"/>
        <v>186.65256923849282</v>
      </c>
      <c r="F422">
        <f t="shared" ca="1" si="25"/>
        <v>-6.6625692384928072</v>
      </c>
      <c r="G422">
        <f t="shared" ca="1" si="26"/>
        <v>-3.56950309640785E-2</v>
      </c>
      <c r="H422" t="str">
        <f t="shared" ca="1" si="27"/>
        <v>competitive</v>
      </c>
    </row>
    <row r="423" spans="1:8" x14ac:dyDescent="0.3">
      <c r="A423" t="s">
        <v>621</v>
      </c>
      <c r="B423" t="s">
        <v>622</v>
      </c>
      <c r="C423">
        <v>179.99</v>
      </c>
      <c r="D423">
        <v>26.1</v>
      </c>
      <c r="E423">
        <f t="shared" ca="1" si="24"/>
        <v>196.04824457719772</v>
      </c>
      <c r="F423">
        <f t="shared" ca="1" si="25"/>
        <v>-16.058244577197712</v>
      </c>
      <c r="G423">
        <f t="shared" ca="1" si="26"/>
        <v>-8.1909657553064563E-2</v>
      </c>
      <c r="H423" t="str">
        <f t="shared" ca="1" si="27"/>
        <v>underprived</v>
      </c>
    </row>
    <row r="424" spans="1:8" x14ac:dyDescent="0.3">
      <c r="A424" t="s">
        <v>623</v>
      </c>
      <c r="B424" t="s">
        <v>624</v>
      </c>
      <c r="C424">
        <v>154.9</v>
      </c>
      <c r="D424">
        <v>15.25</v>
      </c>
      <c r="E424">
        <f t="shared" ca="1" si="24"/>
        <v>164.23403477137367</v>
      </c>
      <c r="F424">
        <f t="shared" ca="1" si="25"/>
        <v>-9.3340347713736662</v>
      </c>
      <c r="G424">
        <f t="shared" ca="1" si="26"/>
        <v>-5.683374207037753E-2</v>
      </c>
      <c r="H424" t="str">
        <f t="shared" ca="1" si="27"/>
        <v>underprived</v>
      </c>
    </row>
    <row r="425" spans="1:8" x14ac:dyDescent="0.3">
      <c r="A425" t="s">
        <v>625</v>
      </c>
      <c r="B425" t="s">
        <v>626</v>
      </c>
      <c r="C425">
        <v>299</v>
      </c>
      <c r="D425">
        <v>10.29</v>
      </c>
      <c r="E425">
        <f t="shared" ca="1" si="24"/>
        <v>325.76928564693003</v>
      </c>
      <c r="F425">
        <f t="shared" ca="1" si="25"/>
        <v>-26.76928564693003</v>
      </c>
      <c r="G425">
        <f t="shared" ca="1" si="26"/>
        <v>-8.2172527694776856E-2</v>
      </c>
      <c r="H425" t="str">
        <f t="shared" ca="1" si="27"/>
        <v>underprived</v>
      </c>
    </row>
    <row r="426" spans="1:8" x14ac:dyDescent="0.3">
      <c r="A426" t="s">
        <v>627</v>
      </c>
      <c r="B426" t="s">
        <v>628</v>
      </c>
      <c r="C426">
        <v>126.99</v>
      </c>
      <c r="D426">
        <v>18.14</v>
      </c>
      <c r="E426">
        <f t="shared" ca="1" si="24"/>
        <v>130.84910392186205</v>
      </c>
      <c r="F426">
        <f t="shared" ca="1" si="25"/>
        <v>-3.859103921862058</v>
      </c>
      <c r="G426">
        <f t="shared" ca="1" si="26"/>
        <v>-2.9492780662575751E-2</v>
      </c>
      <c r="H426" t="str">
        <f t="shared" ca="1" si="27"/>
        <v>competitive</v>
      </c>
    </row>
    <row r="427" spans="1:8" x14ac:dyDescent="0.3">
      <c r="A427" t="s">
        <v>629</v>
      </c>
      <c r="B427" t="s">
        <v>630</v>
      </c>
      <c r="C427">
        <v>49.89</v>
      </c>
      <c r="D427">
        <v>8.7200000000000006</v>
      </c>
      <c r="E427">
        <f t="shared" ca="1" si="24"/>
        <v>51.409827331122159</v>
      </c>
      <c r="F427">
        <f t="shared" ca="1" si="25"/>
        <v>-1.5198273311221584</v>
      </c>
      <c r="G427">
        <f t="shared" ca="1" si="26"/>
        <v>-2.9562972879352483E-2</v>
      </c>
      <c r="H427" t="str">
        <f t="shared" ca="1" si="27"/>
        <v>competitive</v>
      </c>
    </row>
    <row r="428" spans="1:8" x14ac:dyDescent="0.3">
      <c r="A428" t="s">
        <v>631</v>
      </c>
      <c r="B428" t="s">
        <v>632</v>
      </c>
      <c r="C428">
        <v>8</v>
      </c>
      <c r="D428">
        <v>11.85</v>
      </c>
      <c r="E428">
        <f t="shared" ca="1" si="24"/>
        <v>7.2407459787388708</v>
      </c>
      <c r="F428">
        <f t="shared" ca="1" si="25"/>
        <v>0.75925402126112918</v>
      </c>
      <c r="G428">
        <f t="shared" ca="1" si="26"/>
        <v>0.10485853577663684</v>
      </c>
      <c r="H428" t="str">
        <f t="shared" ca="1" si="27"/>
        <v>overpriced</v>
      </c>
    </row>
    <row r="429" spans="1:8" x14ac:dyDescent="0.3">
      <c r="A429" t="s">
        <v>584</v>
      </c>
      <c r="B429" t="s">
        <v>29</v>
      </c>
      <c r="C429">
        <v>84</v>
      </c>
      <c r="D429">
        <v>10.9</v>
      </c>
      <c r="E429">
        <f t="shared" ca="1" si="24"/>
        <v>84.834462438837065</v>
      </c>
      <c r="F429">
        <f t="shared" ca="1" si="25"/>
        <v>-0.83446243883706472</v>
      </c>
      <c r="G429">
        <f t="shared" ca="1" si="26"/>
        <v>-9.8363614838566996E-3</v>
      </c>
      <c r="H429" t="str">
        <f t="shared" ca="1" si="27"/>
        <v>competitive</v>
      </c>
    </row>
    <row r="430" spans="1:8" x14ac:dyDescent="0.3">
      <c r="A430" t="s">
        <v>633</v>
      </c>
      <c r="B430" t="s">
        <v>438</v>
      </c>
      <c r="C430">
        <v>78</v>
      </c>
      <c r="D430">
        <v>15.85</v>
      </c>
      <c r="E430">
        <f t="shared" ca="1" si="24"/>
        <v>83.823303254069202</v>
      </c>
      <c r="F430">
        <f t="shared" ca="1" si="25"/>
        <v>-5.8233032540692022</v>
      </c>
      <c r="G430">
        <f t="shared" ca="1" si="26"/>
        <v>-6.9471173623624885E-2</v>
      </c>
      <c r="H430" t="str">
        <f t="shared" ca="1" si="27"/>
        <v>underprived</v>
      </c>
    </row>
    <row r="431" spans="1:8" x14ac:dyDescent="0.3">
      <c r="A431" t="s">
        <v>634</v>
      </c>
      <c r="B431" t="s">
        <v>635</v>
      </c>
      <c r="C431">
        <v>229.99</v>
      </c>
      <c r="D431">
        <v>35.369999999999997</v>
      </c>
      <c r="E431">
        <f t="shared" ca="1" si="24"/>
        <v>209.61653026200943</v>
      </c>
      <c r="F431">
        <f t="shared" ca="1" si="25"/>
        <v>20.373469737990575</v>
      </c>
      <c r="G431">
        <f t="shared" ca="1" si="26"/>
        <v>9.719400331894068E-2</v>
      </c>
      <c r="H431" t="str">
        <f t="shared" ca="1" si="27"/>
        <v>overpriced</v>
      </c>
    </row>
    <row r="432" spans="1:8" x14ac:dyDescent="0.3">
      <c r="A432" t="s">
        <v>636</v>
      </c>
      <c r="B432" t="s">
        <v>322</v>
      </c>
      <c r="C432">
        <v>89.9</v>
      </c>
      <c r="D432">
        <v>26.71</v>
      </c>
      <c r="E432">
        <f t="shared" ca="1" si="24"/>
        <v>81.527735880212362</v>
      </c>
      <c r="F432">
        <f t="shared" ca="1" si="25"/>
        <v>8.3722641197876442</v>
      </c>
      <c r="G432">
        <f t="shared" ca="1" si="26"/>
        <v>0.10269221914967568</v>
      </c>
      <c r="H432" t="str">
        <f t="shared" ca="1" si="27"/>
        <v>overpriced</v>
      </c>
    </row>
    <row r="433" spans="1:8" x14ac:dyDescent="0.3">
      <c r="A433" t="s">
        <v>637</v>
      </c>
      <c r="B433" t="s">
        <v>638</v>
      </c>
      <c r="C433">
        <v>165</v>
      </c>
      <c r="D433">
        <v>28.53</v>
      </c>
      <c r="E433">
        <f t="shared" ca="1" si="24"/>
        <v>154.05348859620349</v>
      </c>
      <c r="F433">
        <f t="shared" ca="1" si="25"/>
        <v>10.946511403796507</v>
      </c>
      <c r="G433">
        <f t="shared" ca="1" si="26"/>
        <v>7.1056562909061399E-2</v>
      </c>
      <c r="H433" t="str">
        <f t="shared" ca="1" si="27"/>
        <v>overpriced</v>
      </c>
    </row>
    <row r="434" spans="1:8" x14ac:dyDescent="0.3">
      <c r="A434" t="s">
        <v>639</v>
      </c>
      <c r="B434" t="s">
        <v>640</v>
      </c>
      <c r="C434">
        <v>199</v>
      </c>
      <c r="D434">
        <v>20.12</v>
      </c>
      <c r="E434">
        <f t="shared" ca="1" si="24"/>
        <v>218.26940741898514</v>
      </c>
      <c r="F434">
        <f t="shared" ca="1" si="25"/>
        <v>-19.269407418985139</v>
      </c>
      <c r="G434">
        <f t="shared" ca="1" si="26"/>
        <v>-8.8282676197475582E-2</v>
      </c>
      <c r="H434" t="str">
        <f t="shared" ca="1" si="27"/>
        <v>underprived</v>
      </c>
    </row>
    <row r="435" spans="1:8" x14ac:dyDescent="0.3">
      <c r="A435" t="s">
        <v>641</v>
      </c>
      <c r="B435" t="s">
        <v>642</v>
      </c>
      <c r="C435">
        <v>79.900000000000006</v>
      </c>
      <c r="D435">
        <v>28.96</v>
      </c>
      <c r="E435">
        <f t="shared" ca="1" si="24"/>
        <v>76.915069701614655</v>
      </c>
      <c r="F435">
        <f t="shared" ca="1" si="25"/>
        <v>2.9849302983853505</v>
      </c>
      <c r="G435">
        <f t="shared" ca="1" si="26"/>
        <v>3.8808133568169784E-2</v>
      </c>
      <c r="H435" t="str">
        <f t="shared" ca="1" si="27"/>
        <v>competitive</v>
      </c>
    </row>
    <row r="436" spans="1:8" x14ac:dyDescent="0.3">
      <c r="A436" t="s">
        <v>232</v>
      </c>
      <c r="B436" t="s">
        <v>233</v>
      </c>
      <c r="C436">
        <v>122.99</v>
      </c>
      <c r="D436">
        <v>9.06</v>
      </c>
      <c r="E436">
        <f t="shared" ca="1" si="24"/>
        <v>132.31224182864807</v>
      </c>
      <c r="F436">
        <f t="shared" ca="1" si="25"/>
        <v>-9.3222418286480746</v>
      </c>
      <c r="G436">
        <f t="shared" ca="1" si="26"/>
        <v>-7.0456381811751873E-2</v>
      </c>
      <c r="H436" t="str">
        <f t="shared" ca="1" si="27"/>
        <v>underprived</v>
      </c>
    </row>
    <row r="437" spans="1:8" x14ac:dyDescent="0.3">
      <c r="A437" t="s">
        <v>643</v>
      </c>
      <c r="B437" t="s">
        <v>644</v>
      </c>
      <c r="C437">
        <v>139.9</v>
      </c>
      <c r="D437">
        <v>15.15</v>
      </c>
      <c r="E437">
        <f t="shared" ca="1" si="24"/>
        <v>136.05730230340015</v>
      </c>
      <c r="F437">
        <f t="shared" ca="1" si="25"/>
        <v>3.8426976965998563</v>
      </c>
      <c r="G437">
        <f t="shared" ca="1" si="26"/>
        <v>2.824323010631841E-2</v>
      </c>
      <c r="H437" t="str">
        <f t="shared" ca="1" si="27"/>
        <v>competitive</v>
      </c>
    </row>
    <row r="438" spans="1:8" x14ac:dyDescent="0.3">
      <c r="A438" t="s">
        <v>645</v>
      </c>
      <c r="B438" t="s">
        <v>646</v>
      </c>
      <c r="C438">
        <v>27.99</v>
      </c>
      <c r="D438">
        <v>8.7200000000000006</v>
      </c>
      <c r="E438">
        <f t="shared" ca="1" si="24"/>
        <v>29.255821476279028</v>
      </c>
      <c r="F438">
        <f t="shared" ca="1" si="25"/>
        <v>-1.2658214762790294</v>
      </c>
      <c r="G438">
        <f t="shared" ca="1" si="26"/>
        <v>-4.3267336632655237E-2</v>
      </c>
      <c r="H438" t="str">
        <f t="shared" ca="1" si="27"/>
        <v>competitive</v>
      </c>
    </row>
    <row r="439" spans="1:8" x14ac:dyDescent="0.3">
      <c r="A439" t="s">
        <v>647</v>
      </c>
      <c r="B439" t="s">
        <v>246</v>
      </c>
      <c r="C439">
        <v>22</v>
      </c>
      <c r="D439">
        <v>34.15</v>
      </c>
      <c r="E439">
        <f t="shared" ca="1" si="24"/>
        <v>23.245384167375754</v>
      </c>
      <c r="F439">
        <f t="shared" ca="1" si="25"/>
        <v>-1.2453841673757537</v>
      </c>
      <c r="G439">
        <f t="shared" ca="1" si="26"/>
        <v>-5.3575546801399636E-2</v>
      </c>
      <c r="H439" t="str">
        <f t="shared" ca="1" si="27"/>
        <v>underprived</v>
      </c>
    </row>
    <row r="440" spans="1:8" x14ac:dyDescent="0.3">
      <c r="A440" t="s">
        <v>647</v>
      </c>
      <c r="B440" t="s">
        <v>246</v>
      </c>
      <c r="C440">
        <v>22</v>
      </c>
      <c r="D440">
        <v>34.15</v>
      </c>
      <c r="E440">
        <f t="shared" ca="1" si="24"/>
        <v>23.793006967838739</v>
      </c>
      <c r="F440">
        <f t="shared" ca="1" si="25"/>
        <v>-1.793006967838739</v>
      </c>
      <c r="G440">
        <f t="shared" ca="1" si="26"/>
        <v>-7.5358569442793233E-2</v>
      </c>
      <c r="H440" t="str">
        <f t="shared" ca="1" si="27"/>
        <v>underprived</v>
      </c>
    </row>
    <row r="441" spans="1:8" x14ac:dyDescent="0.3">
      <c r="A441" t="s">
        <v>647</v>
      </c>
      <c r="B441" t="s">
        <v>246</v>
      </c>
      <c r="C441">
        <v>22</v>
      </c>
      <c r="D441">
        <v>34.15</v>
      </c>
      <c r="E441">
        <f t="shared" ca="1" si="24"/>
        <v>23.585163051227639</v>
      </c>
      <c r="F441">
        <f t="shared" ca="1" si="25"/>
        <v>-1.5851630512276387</v>
      </c>
      <c r="G441">
        <f t="shared" ca="1" si="26"/>
        <v>-6.7210179882353144E-2</v>
      </c>
      <c r="H441" t="str">
        <f t="shared" ca="1" si="27"/>
        <v>underprived</v>
      </c>
    </row>
    <row r="442" spans="1:8" x14ac:dyDescent="0.3">
      <c r="A442" t="s">
        <v>647</v>
      </c>
      <c r="B442" t="s">
        <v>246</v>
      </c>
      <c r="C442">
        <v>22</v>
      </c>
      <c r="D442">
        <v>34.15</v>
      </c>
      <c r="E442">
        <f t="shared" ca="1" si="24"/>
        <v>20.983853256364188</v>
      </c>
      <c r="F442">
        <f t="shared" ca="1" si="25"/>
        <v>1.0161467436358116</v>
      </c>
      <c r="G442">
        <f t="shared" ca="1" si="26"/>
        <v>4.8425173928798068E-2</v>
      </c>
      <c r="H442" t="str">
        <f t="shared" ca="1" si="27"/>
        <v>competitive</v>
      </c>
    </row>
    <row r="443" spans="1:8" x14ac:dyDescent="0.3">
      <c r="A443" t="s">
        <v>648</v>
      </c>
      <c r="B443" t="s">
        <v>649</v>
      </c>
      <c r="C443">
        <v>42</v>
      </c>
      <c r="D443">
        <v>14.12</v>
      </c>
      <c r="E443">
        <f t="shared" ca="1" si="24"/>
        <v>45.107805518259624</v>
      </c>
      <c r="F443">
        <f t="shared" ca="1" si="25"/>
        <v>-3.1078055182596245</v>
      </c>
      <c r="G443">
        <f t="shared" ca="1" si="26"/>
        <v>-6.8897289117768892E-2</v>
      </c>
      <c r="H443" t="str">
        <f t="shared" ca="1" si="27"/>
        <v>underprived</v>
      </c>
    </row>
    <row r="444" spans="1:8" x14ac:dyDescent="0.3">
      <c r="A444" t="s">
        <v>650</v>
      </c>
      <c r="B444" t="s">
        <v>651</v>
      </c>
      <c r="C444">
        <v>27.9</v>
      </c>
      <c r="D444">
        <v>16.79</v>
      </c>
      <c r="E444">
        <f t="shared" ca="1" si="24"/>
        <v>30.241531802075034</v>
      </c>
      <c r="F444">
        <f t="shared" ca="1" si="25"/>
        <v>-2.3415318020750355</v>
      </c>
      <c r="G444">
        <f t="shared" ca="1" si="26"/>
        <v>-7.7427685125208187E-2</v>
      </c>
      <c r="H444" t="str">
        <f t="shared" ca="1" si="27"/>
        <v>underprived</v>
      </c>
    </row>
    <row r="445" spans="1:8" x14ac:dyDescent="0.3">
      <c r="A445" t="s">
        <v>652</v>
      </c>
      <c r="B445" t="s">
        <v>644</v>
      </c>
      <c r="C445">
        <v>279.89999999999998</v>
      </c>
      <c r="D445">
        <v>20.65</v>
      </c>
      <c r="E445">
        <f t="shared" ca="1" si="24"/>
        <v>276.71642479416852</v>
      </c>
      <c r="F445">
        <f t="shared" ca="1" si="25"/>
        <v>3.1835752058314597</v>
      </c>
      <c r="G445">
        <f t="shared" ca="1" si="26"/>
        <v>1.1504829206287686E-2</v>
      </c>
      <c r="H445" t="str">
        <f t="shared" ca="1" si="27"/>
        <v>competitive</v>
      </c>
    </row>
    <row r="446" spans="1:8" x14ac:dyDescent="0.3">
      <c r="A446" t="s">
        <v>653</v>
      </c>
      <c r="B446" t="s">
        <v>654</v>
      </c>
      <c r="C446">
        <v>14.9</v>
      </c>
      <c r="D446">
        <v>15.23</v>
      </c>
      <c r="E446">
        <f t="shared" ca="1" si="24"/>
        <v>15.557167475011443</v>
      </c>
      <c r="F446">
        <f t="shared" ca="1" si="25"/>
        <v>-0.6571674750114429</v>
      </c>
      <c r="G446">
        <f t="shared" ca="1" si="26"/>
        <v>-4.2242103266356947E-2</v>
      </c>
      <c r="H446" t="str">
        <f t="shared" ca="1" si="27"/>
        <v>competitive</v>
      </c>
    </row>
    <row r="447" spans="1:8" x14ac:dyDescent="0.3">
      <c r="A447" t="s">
        <v>655</v>
      </c>
      <c r="B447" t="s">
        <v>153</v>
      </c>
      <c r="C447">
        <v>104</v>
      </c>
      <c r="D447">
        <v>15.48</v>
      </c>
      <c r="E447">
        <f t="shared" ca="1" si="24"/>
        <v>96.731433788744312</v>
      </c>
      <c r="F447">
        <f t="shared" ca="1" si="25"/>
        <v>7.2685662112556884</v>
      </c>
      <c r="G447">
        <f t="shared" ca="1" si="26"/>
        <v>7.5141718948669819E-2</v>
      </c>
      <c r="H447" t="str">
        <f t="shared" ca="1" si="27"/>
        <v>overpriced</v>
      </c>
    </row>
    <row r="448" spans="1:8" x14ac:dyDescent="0.3">
      <c r="A448" t="s">
        <v>578</v>
      </c>
      <c r="B448" t="s">
        <v>31</v>
      </c>
      <c r="C448">
        <v>49</v>
      </c>
      <c r="D448">
        <v>17.670000000000002</v>
      </c>
      <c r="E448">
        <f t="shared" ca="1" si="24"/>
        <v>46.228343654348784</v>
      </c>
      <c r="F448">
        <f t="shared" ca="1" si="25"/>
        <v>2.7716563456512162</v>
      </c>
      <c r="G448">
        <f t="shared" ca="1" si="26"/>
        <v>5.9955778783142309E-2</v>
      </c>
      <c r="H448" t="str">
        <f t="shared" ca="1" si="27"/>
        <v>overpriced</v>
      </c>
    </row>
    <row r="449" spans="1:8" x14ac:dyDescent="0.3">
      <c r="A449" t="s">
        <v>578</v>
      </c>
      <c r="B449" t="s">
        <v>31</v>
      </c>
      <c r="C449">
        <v>49</v>
      </c>
      <c r="D449">
        <v>17.670000000000002</v>
      </c>
      <c r="E449">
        <f t="shared" ca="1" si="24"/>
        <v>50.536620084790876</v>
      </c>
      <c r="F449">
        <f t="shared" ca="1" si="25"/>
        <v>-1.5366200847908758</v>
      </c>
      <c r="G449">
        <f t="shared" ca="1" si="26"/>
        <v>-3.040607152224898E-2</v>
      </c>
      <c r="H449" t="str">
        <f t="shared" ca="1" si="27"/>
        <v>competitive</v>
      </c>
    </row>
    <row r="450" spans="1:8" x14ac:dyDescent="0.3">
      <c r="A450" t="s">
        <v>656</v>
      </c>
      <c r="B450" t="s">
        <v>657</v>
      </c>
      <c r="C450">
        <v>59.9</v>
      </c>
      <c r="D450">
        <v>14.51</v>
      </c>
      <c r="E450">
        <f t="shared" ca="1" si="24"/>
        <v>64.841316300549622</v>
      </c>
      <c r="F450">
        <f t="shared" ca="1" si="25"/>
        <v>-4.941316300549623</v>
      </c>
      <c r="G450">
        <f t="shared" ca="1" si="26"/>
        <v>-7.620629226041388E-2</v>
      </c>
      <c r="H450" t="str">
        <f t="shared" ca="1" si="27"/>
        <v>underprived</v>
      </c>
    </row>
    <row r="451" spans="1:8" x14ac:dyDescent="0.3">
      <c r="A451" t="s">
        <v>658</v>
      </c>
      <c r="B451" t="s">
        <v>380</v>
      </c>
      <c r="C451">
        <v>110</v>
      </c>
      <c r="D451">
        <v>18.649999999999999</v>
      </c>
      <c r="E451">
        <f t="shared" ref="E451:E514" ca="1" si="28">C451*(1+RAND()*0.2-0.1)</f>
        <v>102.57131733355357</v>
      </c>
      <c r="F451">
        <f t="shared" ref="F451:F514" ca="1" si="29">C451-E451</f>
        <v>7.4286826664464343</v>
      </c>
      <c r="G451">
        <f t="shared" ref="G451:G514" ca="1" si="30">(C451-E451)/E451</f>
        <v>7.2424561364352602E-2</v>
      </c>
      <c r="H451" t="str">
        <f t="shared" ref="H451:H514" ca="1" si="31">IF(E451="","competitive",IF(ABS(C451-E451)/E451&lt;=0.05,"competitive",IF(C451&gt;E451,"overpriced","underprived")))</f>
        <v>overpriced</v>
      </c>
    </row>
    <row r="452" spans="1:8" x14ac:dyDescent="0.3">
      <c r="A452" t="s">
        <v>659</v>
      </c>
      <c r="B452" t="s">
        <v>190</v>
      </c>
      <c r="C452">
        <v>79</v>
      </c>
      <c r="D452">
        <v>18.43</v>
      </c>
      <c r="E452">
        <f t="shared" ca="1" si="28"/>
        <v>78.072715139068563</v>
      </c>
      <c r="F452">
        <f t="shared" ca="1" si="29"/>
        <v>0.92728486093143658</v>
      </c>
      <c r="G452">
        <f t="shared" ca="1" si="30"/>
        <v>1.1877194987771235E-2</v>
      </c>
      <c r="H452" t="str">
        <f t="shared" ca="1" si="31"/>
        <v>competitive</v>
      </c>
    </row>
    <row r="453" spans="1:8" x14ac:dyDescent="0.3">
      <c r="A453" t="s">
        <v>660</v>
      </c>
      <c r="B453" t="s">
        <v>661</v>
      </c>
      <c r="C453">
        <v>39.9</v>
      </c>
      <c r="D453">
        <v>14.1</v>
      </c>
      <c r="E453">
        <f t="shared" ca="1" si="28"/>
        <v>36.325089715775597</v>
      </c>
      <c r="F453">
        <f t="shared" ca="1" si="29"/>
        <v>3.5749102842244014</v>
      </c>
      <c r="G453">
        <f t="shared" ca="1" si="30"/>
        <v>9.8414355262331429E-2</v>
      </c>
      <c r="H453" t="str">
        <f t="shared" ca="1" si="31"/>
        <v>overpriced</v>
      </c>
    </row>
    <row r="454" spans="1:8" x14ac:dyDescent="0.3">
      <c r="A454" t="s">
        <v>662</v>
      </c>
      <c r="B454" t="s">
        <v>663</v>
      </c>
      <c r="C454">
        <v>249</v>
      </c>
      <c r="D454">
        <v>13.24</v>
      </c>
      <c r="E454">
        <f t="shared" ca="1" si="28"/>
        <v>254.4077533333128</v>
      </c>
      <c r="F454">
        <f t="shared" ca="1" si="29"/>
        <v>-5.4077533333127974</v>
      </c>
      <c r="G454">
        <f t="shared" ca="1" si="30"/>
        <v>-2.1256244208201543E-2</v>
      </c>
      <c r="H454" t="str">
        <f t="shared" ca="1" si="31"/>
        <v>competitive</v>
      </c>
    </row>
    <row r="455" spans="1:8" x14ac:dyDescent="0.3">
      <c r="A455" t="s">
        <v>664</v>
      </c>
      <c r="B455" t="s">
        <v>665</v>
      </c>
      <c r="C455">
        <v>379</v>
      </c>
      <c r="D455">
        <v>79.94</v>
      </c>
      <c r="E455">
        <f t="shared" ca="1" si="28"/>
        <v>394.77380478460685</v>
      </c>
      <c r="F455">
        <f t="shared" ca="1" si="29"/>
        <v>-15.773804784606853</v>
      </c>
      <c r="G455">
        <f t="shared" ca="1" si="30"/>
        <v>-3.9956563970127708E-2</v>
      </c>
      <c r="H455" t="str">
        <f t="shared" ca="1" si="31"/>
        <v>competitive</v>
      </c>
    </row>
    <row r="456" spans="1:8" x14ac:dyDescent="0.3">
      <c r="A456" t="s">
        <v>666</v>
      </c>
      <c r="B456" t="s">
        <v>667</v>
      </c>
      <c r="C456">
        <v>33.9</v>
      </c>
      <c r="D456">
        <v>13.82</v>
      </c>
      <c r="E456">
        <f t="shared" ca="1" si="28"/>
        <v>34.206321324156875</v>
      </c>
      <c r="F456">
        <f t="shared" ca="1" si="29"/>
        <v>-0.30632132415687607</v>
      </c>
      <c r="G456">
        <f t="shared" ca="1" si="30"/>
        <v>-8.9551086553276531E-3</v>
      </c>
      <c r="H456" t="str">
        <f t="shared" ca="1" si="31"/>
        <v>competitive</v>
      </c>
    </row>
    <row r="457" spans="1:8" x14ac:dyDescent="0.3">
      <c r="A457" t="s">
        <v>668</v>
      </c>
      <c r="B457" t="s">
        <v>669</v>
      </c>
      <c r="C457">
        <v>208.1</v>
      </c>
      <c r="D457">
        <v>43.49</v>
      </c>
      <c r="E457">
        <f t="shared" ca="1" si="28"/>
        <v>203.19538685879238</v>
      </c>
      <c r="F457">
        <f t="shared" ca="1" si="29"/>
        <v>4.9046131412076193</v>
      </c>
      <c r="G457">
        <f t="shared" ca="1" si="30"/>
        <v>2.41374236739735E-2</v>
      </c>
      <c r="H457" t="str">
        <f t="shared" ca="1" si="31"/>
        <v>competitive</v>
      </c>
    </row>
    <row r="458" spans="1:8" x14ac:dyDescent="0.3">
      <c r="A458" t="s">
        <v>670</v>
      </c>
      <c r="B458" t="s">
        <v>515</v>
      </c>
      <c r="C458">
        <v>593.36</v>
      </c>
      <c r="D458">
        <v>98.13</v>
      </c>
      <c r="E458">
        <f t="shared" ca="1" si="28"/>
        <v>546.43388636155294</v>
      </c>
      <c r="F458">
        <f t="shared" ca="1" si="29"/>
        <v>46.926113638447077</v>
      </c>
      <c r="G458">
        <f t="shared" ca="1" si="30"/>
        <v>8.5877019726770726E-2</v>
      </c>
      <c r="H458" t="str">
        <f t="shared" ca="1" si="31"/>
        <v>overpriced</v>
      </c>
    </row>
    <row r="459" spans="1:8" x14ac:dyDescent="0.3">
      <c r="A459" t="s">
        <v>671</v>
      </c>
      <c r="B459" t="s">
        <v>672</v>
      </c>
      <c r="C459">
        <v>52.5</v>
      </c>
      <c r="D459">
        <v>19.34</v>
      </c>
      <c r="E459">
        <f t="shared" ca="1" si="28"/>
        <v>53.800429912338487</v>
      </c>
      <c r="F459">
        <f t="shared" ca="1" si="29"/>
        <v>-1.3004299123384868</v>
      </c>
      <c r="G459">
        <f t="shared" ca="1" si="30"/>
        <v>-2.4171366557058843E-2</v>
      </c>
      <c r="H459" t="str">
        <f t="shared" ca="1" si="31"/>
        <v>competitive</v>
      </c>
    </row>
    <row r="460" spans="1:8" x14ac:dyDescent="0.3">
      <c r="A460" t="s">
        <v>671</v>
      </c>
      <c r="B460" t="s">
        <v>672</v>
      </c>
      <c r="C460">
        <v>52.5</v>
      </c>
      <c r="D460">
        <v>19.34</v>
      </c>
      <c r="E460">
        <f t="shared" ca="1" si="28"/>
        <v>50.9779896710684</v>
      </c>
      <c r="F460">
        <f t="shared" ca="1" si="29"/>
        <v>1.5220103289316</v>
      </c>
      <c r="G460">
        <f t="shared" ca="1" si="30"/>
        <v>2.9856224985572319E-2</v>
      </c>
      <c r="H460" t="str">
        <f t="shared" ca="1" si="31"/>
        <v>competitive</v>
      </c>
    </row>
    <row r="461" spans="1:8" x14ac:dyDescent="0.3">
      <c r="A461" t="s">
        <v>673</v>
      </c>
      <c r="B461" t="s">
        <v>674</v>
      </c>
      <c r="C461">
        <v>66</v>
      </c>
      <c r="D461">
        <v>78.63</v>
      </c>
      <c r="E461">
        <f t="shared" ca="1" si="28"/>
        <v>60.89475658197501</v>
      </c>
      <c r="F461">
        <f t="shared" ca="1" si="29"/>
        <v>5.1052434180249904</v>
      </c>
      <c r="G461">
        <f t="shared" ca="1" si="30"/>
        <v>8.3837159463022712E-2</v>
      </c>
      <c r="H461" t="str">
        <f t="shared" ca="1" si="31"/>
        <v>overpriced</v>
      </c>
    </row>
    <row r="462" spans="1:8" x14ac:dyDescent="0.3">
      <c r="A462" t="s">
        <v>675</v>
      </c>
      <c r="B462" t="s">
        <v>676</v>
      </c>
      <c r="C462">
        <v>127.48</v>
      </c>
      <c r="D462">
        <v>16.809999999999999</v>
      </c>
      <c r="E462">
        <f t="shared" ca="1" si="28"/>
        <v>136.72399606044024</v>
      </c>
      <c r="F462">
        <f t="shared" ca="1" si="29"/>
        <v>-9.2439960604402387</v>
      </c>
      <c r="G462">
        <f t="shared" ca="1" si="30"/>
        <v>-6.7610634027649663E-2</v>
      </c>
      <c r="H462" t="str">
        <f t="shared" ca="1" si="31"/>
        <v>underprived</v>
      </c>
    </row>
    <row r="463" spans="1:8" x14ac:dyDescent="0.3">
      <c r="A463" t="s">
        <v>677</v>
      </c>
      <c r="B463" t="s">
        <v>192</v>
      </c>
      <c r="C463">
        <v>122.99</v>
      </c>
      <c r="D463">
        <v>63.11</v>
      </c>
      <c r="E463">
        <f t="shared" ca="1" si="28"/>
        <v>115.77522840267825</v>
      </c>
      <c r="F463">
        <f t="shared" ca="1" si="29"/>
        <v>7.214771597321743</v>
      </c>
      <c r="G463">
        <f t="shared" ca="1" si="30"/>
        <v>6.2317057775330136E-2</v>
      </c>
      <c r="H463" t="str">
        <f t="shared" ca="1" si="31"/>
        <v>overpriced</v>
      </c>
    </row>
    <row r="464" spans="1:8" x14ac:dyDescent="0.3">
      <c r="A464" t="s">
        <v>678</v>
      </c>
      <c r="B464" t="s">
        <v>679</v>
      </c>
      <c r="C464">
        <v>49</v>
      </c>
      <c r="D464">
        <v>15.44</v>
      </c>
      <c r="E464">
        <f t="shared" ca="1" si="28"/>
        <v>53.416077953349067</v>
      </c>
      <c r="F464">
        <f t="shared" ca="1" si="29"/>
        <v>-4.4160779533490668</v>
      </c>
      <c r="G464">
        <f t="shared" ca="1" si="30"/>
        <v>-8.2673197332193665E-2</v>
      </c>
      <c r="H464" t="str">
        <f t="shared" ca="1" si="31"/>
        <v>underprived</v>
      </c>
    </row>
    <row r="465" spans="1:8" x14ac:dyDescent="0.3">
      <c r="A465" t="s">
        <v>678</v>
      </c>
      <c r="B465" t="s">
        <v>679</v>
      </c>
      <c r="C465">
        <v>49</v>
      </c>
      <c r="D465">
        <v>15.44</v>
      </c>
      <c r="E465">
        <f t="shared" ca="1" si="28"/>
        <v>47.112629079040097</v>
      </c>
      <c r="F465">
        <f t="shared" ca="1" si="29"/>
        <v>1.8873709209599028</v>
      </c>
      <c r="G465">
        <f t="shared" ca="1" si="30"/>
        <v>4.0060827804652782E-2</v>
      </c>
      <c r="H465" t="str">
        <f t="shared" ca="1" si="31"/>
        <v>competitive</v>
      </c>
    </row>
    <row r="466" spans="1:8" x14ac:dyDescent="0.3">
      <c r="A466" t="s">
        <v>680</v>
      </c>
      <c r="B466" t="s">
        <v>59</v>
      </c>
      <c r="C466">
        <v>29.99</v>
      </c>
      <c r="D466">
        <v>7.87</v>
      </c>
      <c r="E466">
        <f t="shared" ca="1" si="28"/>
        <v>29.651760457206233</v>
      </c>
      <c r="F466">
        <f t="shared" ca="1" si="29"/>
        <v>0.33823954279376522</v>
      </c>
      <c r="G466">
        <f t="shared" ca="1" si="30"/>
        <v>1.1407064456827664E-2</v>
      </c>
      <c r="H466" t="str">
        <f t="shared" ca="1" si="31"/>
        <v>competitive</v>
      </c>
    </row>
    <row r="467" spans="1:8" x14ac:dyDescent="0.3">
      <c r="A467" t="s">
        <v>681</v>
      </c>
      <c r="B467" t="s">
        <v>227</v>
      </c>
      <c r="C467">
        <v>59.9</v>
      </c>
      <c r="D467">
        <v>24.7</v>
      </c>
      <c r="E467">
        <f t="shared" ca="1" si="28"/>
        <v>62.278677948559398</v>
      </c>
      <c r="F467">
        <f t="shared" ca="1" si="29"/>
        <v>-2.3786779485593996</v>
      </c>
      <c r="G467">
        <f t="shared" ca="1" si="30"/>
        <v>-3.8194098316026028E-2</v>
      </c>
      <c r="H467" t="str">
        <f t="shared" ca="1" si="31"/>
        <v>competitive</v>
      </c>
    </row>
    <row r="468" spans="1:8" x14ac:dyDescent="0.3">
      <c r="A468" t="s">
        <v>682</v>
      </c>
      <c r="B468" t="s">
        <v>683</v>
      </c>
      <c r="C468">
        <v>62</v>
      </c>
      <c r="D468">
        <v>24.7</v>
      </c>
      <c r="E468">
        <f t="shared" ca="1" si="28"/>
        <v>59.605334640558553</v>
      </c>
      <c r="F468">
        <f t="shared" ca="1" si="29"/>
        <v>2.3946653594414471</v>
      </c>
      <c r="G468">
        <f t="shared" ca="1" si="30"/>
        <v>4.0175352992850959E-2</v>
      </c>
      <c r="H468" t="str">
        <f t="shared" ca="1" si="31"/>
        <v>competitive</v>
      </c>
    </row>
    <row r="469" spans="1:8" x14ac:dyDescent="0.3">
      <c r="A469" t="s">
        <v>684</v>
      </c>
      <c r="B469" t="s">
        <v>685</v>
      </c>
      <c r="C469">
        <v>102</v>
      </c>
      <c r="D469">
        <v>10.130000000000001</v>
      </c>
      <c r="E469">
        <f t="shared" ca="1" si="28"/>
        <v>104.41626667417646</v>
      </c>
      <c r="F469">
        <f t="shared" ca="1" si="29"/>
        <v>-2.4162666741764554</v>
      </c>
      <c r="G469">
        <f t="shared" ca="1" si="30"/>
        <v>-2.31407112238196E-2</v>
      </c>
      <c r="H469" t="str">
        <f t="shared" ca="1" si="31"/>
        <v>competitive</v>
      </c>
    </row>
    <row r="470" spans="1:8" x14ac:dyDescent="0.3">
      <c r="A470" t="s">
        <v>686</v>
      </c>
      <c r="B470" t="s">
        <v>489</v>
      </c>
      <c r="C470">
        <v>27.9</v>
      </c>
      <c r="D470">
        <v>15.1</v>
      </c>
      <c r="E470">
        <f t="shared" ca="1" si="28"/>
        <v>27.999902138151707</v>
      </c>
      <c r="F470">
        <f t="shared" ca="1" si="29"/>
        <v>-9.9902138151708897E-2</v>
      </c>
      <c r="G470">
        <f t="shared" ca="1" si="30"/>
        <v>-3.5679459756248815E-3</v>
      </c>
      <c r="H470" t="str">
        <f t="shared" ca="1" si="31"/>
        <v>competitive</v>
      </c>
    </row>
    <row r="471" spans="1:8" x14ac:dyDescent="0.3">
      <c r="A471" t="s">
        <v>687</v>
      </c>
      <c r="B471" t="s">
        <v>667</v>
      </c>
      <c r="C471">
        <v>196</v>
      </c>
      <c r="D471">
        <v>11.98</v>
      </c>
      <c r="E471">
        <f t="shared" ca="1" si="28"/>
        <v>209.90086483111156</v>
      </c>
      <c r="F471">
        <f t="shared" ca="1" si="29"/>
        <v>-13.900864831111562</v>
      </c>
      <c r="G471">
        <f t="shared" ca="1" si="30"/>
        <v>-6.6225857822436049E-2</v>
      </c>
      <c r="H471" t="str">
        <f t="shared" ca="1" si="31"/>
        <v>underprived</v>
      </c>
    </row>
    <row r="472" spans="1:8" x14ac:dyDescent="0.3">
      <c r="A472" t="s">
        <v>688</v>
      </c>
      <c r="B472" t="s">
        <v>689</v>
      </c>
      <c r="C472">
        <v>389</v>
      </c>
      <c r="D472">
        <v>22.63</v>
      </c>
      <c r="E472">
        <f t="shared" ca="1" si="28"/>
        <v>378.52971843835445</v>
      </c>
      <c r="F472">
        <f t="shared" ca="1" si="29"/>
        <v>10.47028156164555</v>
      </c>
      <c r="G472">
        <f t="shared" ca="1" si="30"/>
        <v>2.7660395080315706E-2</v>
      </c>
      <c r="H472" t="str">
        <f t="shared" ca="1" si="31"/>
        <v>competitive</v>
      </c>
    </row>
    <row r="473" spans="1:8" x14ac:dyDescent="0.3">
      <c r="A473" t="s">
        <v>690</v>
      </c>
      <c r="B473" t="s">
        <v>691</v>
      </c>
      <c r="C473">
        <v>119.99</v>
      </c>
      <c r="D473">
        <v>16.47</v>
      </c>
      <c r="E473">
        <f t="shared" ca="1" si="28"/>
        <v>118.19873276289319</v>
      </c>
      <c r="F473">
        <f t="shared" ca="1" si="29"/>
        <v>1.7912672371068084</v>
      </c>
      <c r="G473">
        <f t="shared" ca="1" si="30"/>
        <v>1.5154707628719614E-2</v>
      </c>
      <c r="H473" t="str">
        <f t="shared" ca="1" si="31"/>
        <v>competitive</v>
      </c>
    </row>
    <row r="474" spans="1:8" x14ac:dyDescent="0.3">
      <c r="A474" t="s">
        <v>692</v>
      </c>
      <c r="B474" t="s">
        <v>45</v>
      </c>
      <c r="C474">
        <v>27.99</v>
      </c>
      <c r="D474">
        <v>14.1</v>
      </c>
      <c r="E474">
        <f t="shared" ca="1" si="28"/>
        <v>25.740809239713386</v>
      </c>
      <c r="F474">
        <f t="shared" ca="1" si="29"/>
        <v>2.2491907602866128</v>
      </c>
      <c r="G474">
        <f t="shared" ca="1" si="30"/>
        <v>8.7378401329221644E-2</v>
      </c>
      <c r="H474" t="str">
        <f t="shared" ca="1" si="31"/>
        <v>overpriced</v>
      </c>
    </row>
    <row r="475" spans="1:8" x14ac:dyDescent="0.3">
      <c r="A475" t="s">
        <v>693</v>
      </c>
      <c r="B475" t="s">
        <v>694</v>
      </c>
      <c r="C475">
        <v>54.99</v>
      </c>
      <c r="D475">
        <v>14.7</v>
      </c>
      <c r="E475">
        <f t="shared" ca="1" si="28"/>
        <v>54.883700981672916</v>
      </c>
      <c r="F475">
        <f t="shared" ca="1" si="29"/>
        <v>0.10629901832708555</v>
      </c>
      <c r="G475">
        <f t="shared" ca="1" si="30"/>
        <v>1.9368048514545608E-3</v>
      </c>
      <c r="H475" t="str">
        <f t="shared" ca="1" si="31"/>
        <v>competitive</v>
      </c>
    </row>
    <row r="476" spans="1:8" x14ac:dyDescent="0.3">
      <c r="A476" t="s">
        <v>695</v>
      </c>
      <c r="B476" t="s">
        <v>696</v>
      </c>
      <c r="C476">
        <v>88.9</v>
      </c>
      <c r="D476">
        <v>16.059999999999999</v>
      </c>
      <c r="E476">
        <f t="shared" ca="1" si="28"/>
        <v>80.040082648674215</v>
      </c>
      <c r="F476">
        <f t="shared" ca="1" si="29"/>
        <v>8.8599173513257909</v>
      </c>
      <c r="G476">
        <f t="shared" ca="1" si="30"/>
        <v>0.11069350578028853</v>
      </c>
      <c r="H476" t="str">
        <f t="shared" ca="1" si="31"/>
        <v>overpriced</v>
      </c>
    </row>
    <row r="477" spans="1:8" x14ac:dyDescent="0.3">
      <c r="A477" t="s">
        <v>697</v>
      </c>
      <c r="B477" t="s">
        <v>507</v>
      </c>
      <c r="C477">
        <v>899</v>
      </c>
      <c r="D477">
        <v>21.2</v>
      </c>
      <c r="E477">
        <f t="shared" ca="1" si="28"/>
        <v>835.41780413770141</v>
      </c>
      <c r="F477">
        <f t="shared" ca="1" si="29"/>
        <v>63.58219586229859</v>
      </c>
      <c r="G477">
        <f t="shared" ca="1" si="30"/>
        <v>7.6108260498382166E-2</v>
      </c>
      <c r="H477" t="str">
        <f t="shared" ca="1" si="31"/>
        <v>overpriced</v>
      </c>
    </row>
    <row r="478" spans="1:8" x14ac:dyDescent="0.3">
      <c r="A478" t="s">
        <v>698</v>
      </c>
      <c r="B478" t="s">
        <v>699</v>
      </c>
      <c r="C478">
        <v>120</v>
      </c>
      <c r="D478">
        <v>17.28</v>
      </c>
      <c r="E478">
        <f t="shared" ca="1" si="28"/>
        <v>116.4352799378553</v>
      </c>
      <c r="F478">
        <f t="shared" ca="1" si="29"/>
        <v>3.5647200621447013</v>
      </c>
      <c r="G478">
        <f t="shared" ca="1" si="30"/>
        <v>3.0615463492227529E-2</v>
      </c>
      <c r="H478" t="str">
        <f t="shared" ca="1" si="31"/>
        <v>competitive</v>
      </c>
    </row>
    <row r="479" spans="1:8" x14ac:dyDescent="0.3">
      <c r="A479" t="s">
        <v>700</v>
      </c>
      <c r="B479" t="s">
        <v>176</v>
      </c>
      <c r="C479">
        <v>279.99</v>
      </c>
      <c r="D479">
        <v>16.72</v>
      </c>
      <c r="E479">
        <f t="shared" ca="1" si="28"/>
        <v>260.73673302835857</v>
      </c>
      <c r="F479">
        <f t="shared" ca="1" si="29"/>
        <v>19.253266971641438</v>
      </c>
      <c r="G479">
        <f t="shared" ca="1" si="30"/>
        <v>7.3841789563066237E-2</v>
      </c>
      <c r="H479" t="str">
        <f t="shared" ca="1" si="31"/>
        <v>overpriced</v>
      </c>
    </row>
    <row r="480" spans="1:8" x14ac:dyDescent="0.3">
      <c r="A480" t="s">
        <v>701</v>
      </c>
      <c r="B480" t="s">
        <v>689</v>
      </c>
      <c r="C480">
        <v>59</v>
      </c>
      <c r="D480">
        <v>15.16</v>
      </c>
      <c r="E480">
        <f t="shared" ca="1" si="28"/>
        <v>56.079679977932756</v>
      </c>
      <c r="F480">
        <f t="shared" ca="1" si="29"/>
        <v>2.9203200220672443</v>
      </c>
      <c r="G480">
        <f t="shared" ca="1" si="30"/>
        <v>5.2074477301161215E-2</v>
      </c>
      <c r="H480" t="str">
        <f t="shared" ca="1" si="31"/>
        <v>overpriced</v>
      </c>
    </row>
    <row r="481" spans="1:8" x14ac:dyDescent="0.3">
      <c r="A481" t="s">
        <v>702</v>
      </c>
      <c r="B481" t="s">
        <v>378</v>
      </c>
      <c r="C481">
        <v>243.37</v>
      </c>
      <c r="D481">
        <v>53.83</v>
      </c>
      <c r="E481">
        <f t="shared" ca="1" si="28"/>
        <v>255.11252661831622</v>
      </c>
      <c r="F481">
        <f t="shared" ca="1" si="29"/>
        <v>-11.742526618316219</v>
      </c>
      <c r="G481">
        <f t="shared" ca="1" si="30"/>
        <v>-4.6028812359671663E-2</v>
      </c>
      <c r="H481" t="str">
        <f t="shared" ca="1" si="31"/>
        <v>competitive</v>
      </c>
    </row>
    <row r="482" spans="1:8" x14ac:dyDescent="0.3">
      <c r="A482" t="s">
        <v>703</v>
      </c>
      <c r="B482" t="s">
        <v>704</v>
      </c>
      <c r="C482">
        <v>249.48</v>
      </c>
      <c r="D482">
        <v>16.5</v>
      </c>
      <c r="E482">
        <f t="shared" ca="1" si="28"/>
        <v>267.01115232139512</v>
      </c>
      <c r="F482">
        <f t="shared" ca="1" si="29"/>
        <v>-17.531152321395126</v>
      </c>
      <c r="G482">
        <f t="shared" ca="1" si="30"/>
        <v>-6.5657004095069735E-2</v>
      </c>
      <c r="H482" t="str">
        <f t="shared" ca="1" si="31"/>
        <v>underprived</v>
      </c>
    </row>
    <row r="483" spans="1:8" x14ac:dyDescent="0.3">
      <c r="A483" t="s">
        <v>569</v>
      </c>
      <c r="B483" t="s">
        <v>438</v>
      </c>
      <c r="C483">
        <v>35</v>
      </c>
      <c r="D483">
        <v>19.32</v>
      </c>
      <c r="E483">
        <f t="shared" ca="1" si="28"/>
        <v>38.401347579522977</v>
      </c>
      <c r="F483">
        <f t="shared" ca="1" si="29"/>
        <v>-3.4013475795229766</v>
      </c>
      <c r="G483">
        <f t="shared" ca="1" si="30"/>
        <v>-8.8573651549059218E-2</v>
      </c>
      <c r="H483" t="str">
        <f t="shared" ca="1" si="31"/>
        <v>underprived</v>
      </c>
    </row>
    <row r="484" spans="1:8" x14ac:dyDescent="0.3">
      <c r="A484" t="s">
        <v>569</v>
      </c>
      <c r="B484" t="s">
        <v>438</v>
      </c>
      <c r="C484">
        <v>35</v>
      </c>
      <c r="D484">
        <v>19.32</v>
      </c>
      <c r="E484">
        <f t="shared" ca="1" si="28"/>
        <v>34.559627176012548</v>
      </c>
      <c r="F484">
        <f t="shared" ca="1" si="29"/>
        <v>0.44037282398745248</v>
      </c>
      <c r="G484">
        <f t="shared" ca="1" si="30"/>
        <v>1.2742406674256902E-2</v>
      </c>
      <c r="H484" t="str">
        <f t="shared" ca="1" si="31"/>
        <v>competitive</v>
      </c>
    </row>
    <row r="485" spans="1:8" x14ac:dyDescent="0.3">
      <c r="A485" t="s">
        <v>199</v>
      </c>
      <c r="B485" t="s">
        <v>200</v>
      </c>
      <c r="C485">
        <v>99.9</v>
      </c>
      <c r="D485">
        <v>0</v>
      </c>
      <c r="E485">
        <f t="shared" ca="1" si="28"/>
        <v>106.80697737597917</v>
      </c>
      <c r="F485">
        <f t="shared" ca="1" si="29"/>
        <v>-6.9069773759791673</v>
      </c>
      <c r="G485">
        <f t="shared" ca="1" si="30"/>
        <v>-6.4667847978371329E-2</v>
      </c>
      <c r="H485" t="str">
        <f t="shared" ca="1" si="31"/>
        <v>underprived</v>
      </c>
    </row>
    <row r="486" spans="1:8" x14ac:dyDescent="0.3">
      <c r="A486" t="s">
        <v>705</v>
      </c>
      <c r="B486" t="s">
        <v>109</v>
      </c>
      <c r="C486">
        <v>14.99</v>
      </c>
      <c r="D486">
        <v>8.2899999999999991</v>
      </c>
      <c r="E486">
        <f t="shared" ca="1" si="28"/>
        <v>16.394879904523428</v>
      </c>
      <c r="F486">
        <f t="shared" ca="1" si="29"/>
        <v>-1.4048799045234279</v>
      </c>
      <c r="G486">
        <f t="shared" ca="1" si="30"/>
        <v>-8.5690161361646491E-2</v>
      </c>
      <c r="H486" t="str">
        <f t="shared" ca="1" si="31"/>
        <v>underprived</v>
      </c>
    </row>
    <row r="487" spans="1:8" x14ac:dyDescent="0.3">
      <c r="A487" t="s">
        <v>706</v>
      </c>
      <c r="B487" t="s">
        <v>313</v>
      </c>
      <c r="C487">
        <v>109.73</v>
      </c>
      <c r="D487">
        <v>16.53</v>
      </c>
      <c r="E487">
        <f t="shared" ca="1" si="28"/>
        <v>108.68996526092633</v>
      </c>
      <c r="F487">
        <f t="shared" ca="1" si="29"/>
        <v>1.0400347390736755</v>
      </c>
      <c r="G487">
        <f t="shared" ca="1" si="30"/>
        <v>9.5688202363200543E-3</v>
      </c>
      <c r="H487" t="str">
        <f t="shared" ca="1" si="31"/>
        <v>competitive</v>
      </c>
    </row>
    <row r="488" spans="1:8" x14ac:dyDescent="0.3">
      <c r="A488" t="s">
        <v>707</v>
      </c>
      <c r="B488" t="s">
        <v>71</v>
      </c>
      <c r="C488">
        <v>9</v>
      </c>
      <c r="D488">
        <v>14.1</v>
      </c>
      <c r="E488">
        <f t="shared" ca="1" si="28"/>
        <v>9.170514749595732</v>
      </c>
      <c r="F488">
        <f t="shared" ca="1" si="29"/>
        <v>-0.17051474959573198</v>
      </c>
      <c r="G488">
        <f t="shared" ca="1" si="30"/>
        <v>-1.85938035379365E-2</v>
      </c>
      <c r="H488" t="str">
        <f t="shared" ca="1" si="31"/>
        <v>competitive</v>
      </c>
    </row>
    <row r="489" spans="1:8" x14ac:dyDescent="0.3">
      <c r="A489" t="s">
        <v>708</v>
      </c>
      <c r="B489" t="s">
        <v>709</v>
      </c>
      <c r="C489">
        <v>239</v>
      </c>
      <c r="D489">
        <v>19.25</v>
      </c>
      <c r="E489">
        <f t="shared" ca="1" si="28"/>
        <v>255.29648294857992</v>
      </c>
      <c r="F489">
        <f t="shared" ca="1" si="29"/>
        <v>-16.296482948579921</v>
      </c>
      <c r="G489">
        <f t="shared" ca="1" si="30"/>
        <v>-6.3833558380286218E-2</v>
      </c>
      <c r="H489" t="str">
        <f t="shared" ca="1" si="31"/>
        <v>underprived</v>
      </c>
    </row>
    <row r="490" spans="1:8" x14ac:dyDescent="0.3">
      <c r="A490" t="s">
        <v>710</v>
      </c>
      <c r="B490" t="s">
        <v>711</v>
      </c>
      <c r="C490">
        <v>13.99</v>
      </c>
      <c r="D490">
        <v>16.11</v>
      </c>
      <c r="E490">
        <f t="shared" ca="1" si="28"/>
        <v>13.40775295597197</v>
      </c>
      <c r="F490">
        <f t="shared" ca="1" si="29"/>
        <v>0.58224704402802985</v>
      </c>
      <c r="G490">
        <f t="shared" ca="1" si="30"/>
        <v>4.3426146494494458E-2</v>
      </c>
      <c r="H490" t="str">
        <f t="shared" ca="1" si="31"/>
        <v>competitive</v>
      </c>
    </row>
    <row r="491" spans="1:8" x14ac:dyDescent="0.3">
      <c r="A491" t="s">
        <v>712</v>
      </c>
      <c r="B491" t="s">
        <v>254</v>
      </c>
      <c r="C491">
        <v>29.99</v>
      </c>
      <c r="D491">
        <v>16.79</v>
      </c>
      <c r="E491">
        <f t="shared" ca="1" si="28"/>
        <v>31.332335015632474</v>
      </c>
      <c r="F491">
        <f t="shared" ca="1" si="29"/>
        <v>-1.3423350156324751</v>
      </c>
      <c r="G491">
        <f t="shared" ca="1" si="30"/>
        <v>-4.2841844215017848E-2</v>
      </c>
      <c r="H491" t="str">
        <f t="shared" ca="1" si="31"/>
        <v>competitive</v>
      </c>
    </row>
    <row r="492" spans="1:8" x14ac:dyDescent="0.3">
      <c r="A492" t="s">
        <v>713</v>
      </c>
      <c r="B492" t="s">
        <v>714</v>
      </c>
      <c r="C492">
        <v>189.99</v>
      </c>
      <c r="D492">
        <v>27.41</v>
      </c>
      <c r="E492">
        <f t="shared" ca="1" si="28"/>
        <v>185.0959931058278</v>
      </c>
      <c r="F492">
        <f t="shared" ca="1" si="29"/>
        <v>4.8940068941722075</v>
      </c>
      <c r="G492">
        <f t="shared" ca="1" si="30"/>
        <v>2.6440371895971194E-2</v>
      </c>
      <c r="H492" t="str">
        <f t="shared" ca="1" si="31"/>
        <v>competitive</v>
      </c>
    </row>
    <row r="493" spans="1:8" x14ac:dyDescent="0.3">
      <c r="A493" t="s">
        <v>715</v>
      </c>
      <c r="B493" t="s">
        <v>49</v>
      </c>
      <c r="C493">
        <v>55</v>
      </c>
      <c r="D493">
        <v>15.83</v>
      </c>
      <c r="E493">
        <f t="shared" ca="1" si="28"/>
        <v>54.986981004487902</v>
      </c>
      <c r="F493">
        <f t="shared" ca="1" si="29"/>
        <v>1.3018995512098286E-2</v>
      </c>
      <c r="G493">
        <f t="shared" ca="1" si="30"/>
        <v>2.3676505373218632E-4</v>
      </c>
      <c r="H493" t="str">
        <f t="shared" ca="1" si="31"/>
        <v>competitive</v>
      </c>
    </row>
    <row r="494" spans="1:8" x14ac:dyDescent="0.3">
      <c r="A494" t="s">
        <v>716</v>
      </c>
      <c r="B494" t="s">
        <v>563</v>
      </c>
      <c r="C494">
        <v>58.99</v>
      </c>
      <c r="D494">
        <v>15.29</v>
      </c>
      <c r="E494">
        <f t="shared" ca="1" si="28"/>
        <v>60.218918235062752</v>
      </c>
      <c r="F494">
        <f t="shared" ca="1" si="29"/>
        <v>-1.2289182350627499</v>
      </c>
      <c r="G494">
        <f t="shared" ca="1" si="30"/>
        <v>-2.0407510979617804E-2</v>
      </c>
      <c r="H494" t="str">
        <f t="shared" ca="1" si="31"/>
        <v>competitive</v>
      </c>
    </row>
    <row r="495" spans="1:8" x14ac:dyDescent="0.3">
      <c r="A495" t="s">
        <v>717</v>
      </c>
      <c r="B495" t="s">
        <v>718</v>
      </c>
      <c r="C495">
        <v>99.9</v>
      </c>
      <c r="D495">
        <v>17.18</v>
      </c>
      <c r="E495">
        <f t="shared" ca="1" si="28"/>
        <v>96.268903556272249</v>
      </c>
      <c r="F495">
        <f t="shared" ca="1" si="29"/>
        <v>3.6310964437277562</v>
      </c>
      <c r="G495">
        <f t="shared" ca="1" si="30"/>
        <v>3.7718269447259929E-2</v>
      </c>
      <c r="H495" t="str">
        <f t="shared" ca="1" si="31"/>
        <v>competitive</v>
      </c>
    </row>
    <row r="496" spans="1:8" x14ac:dyDescent="0.3">
      <c r="A496" t="s">
        <v>719</v>
      </c>
      <c r="B496" t="s">
        <v>149</v>
      </c>
      <c r="C496">
        <v>25.99</v>
      </c>
      <c r="D496">
        <v>5.31</v>
      </c>
      <c r="E496">
        <f t="shared" ca="1" si="28"/>
        <v>26.928254145254247</v>
      </c>
      <c r="F496">
        <f t="shared" ca="1" si="29"/>
        <v>-0.93825414525424833</v>
      </c>
      <c r="G496">
        <f t="shared" ca="1" si="30"/>
        <v>-3.4842739532729913E-2</v>
      </c>
      <c r="H496" t="str">
        <f t="shared" ca="1" si="31"/>
        <v>competitive</v>
      </c>
    </row>
    <row r="497" spans="1:8" x14ac:dyDescent="0.3">
      <c r="A497" t="s">
        <v>720</v>
      </c>
      <c r="B497" t="s">
        <v>149</v>
      </c>
      <c r="C497">
        <v>25.99</v>
      </c>
      <c r="D497">
        <v>9.57</v>
      </c>
      <c r="E497">
        <f t="shared" ca="1" si="28"/>
        <v>26.986728595382296</v>
      </c>
      <c r="F497">
        <f t="shared" ca="1" si="29"/>
        <v>-0.9967285953822973</v>
      </c>
      <c r="G497">
        <f t="shared" ca="1" si="30"/>
        <v>-3.6934028215366857E-2</v>
      </c>
      <c r="H497" t="str">
        <f t="shared" ca="1" si="31"/>
        <v>competitive</v>
      </c>
    </row>
    <row r="498" spans="1:8" x14ac:dyDescent="0.3">
      <c r="A498" t="s">
        <v>721</v>
      </c>
      <c r="B498" t="s">
        <v>376</v>
      </c>
      <c r="C498">
        <v>107.9</v>
      </c>
      <c r="D498">
        <v>18.559999999999999</v>
      </c>
      <c r="E498">
        <f t="shared" ca="1" si="28"/>
        <v>107.8224148287471</v>
      </c>
      <c r="F498">
        <f t="shared" ca="1" si="29"/>
        <v>7.7585171252906093E-2</v>
      </c>
      <c r="G498">
        <f t="shared" ca="1" si="30"/>
        <v>7.1956440018648802E-4</v>
      </c>
      <c r="H498" t="str">
        <f t="shared" ca="1" si="31"/>
        <v>competitive</v>
      </c>
    </row>
    <row r="499" spans="1:8" x14ac:dyDescent="0.3">
      <c r="A499" t="s">
        <v>722</v>
      </c>
      <c r="B499" t="s">
        <v>31</v>
      </c>
      <c r="C499">
        <v>53.9</v>
      </c>
      <c r="D499">
        <v>33.93</v>
      </c>
      <c r="E499">
        <f t="shared" ca="1" si="28"/>
        <v>55.030472272978955</v>
      </c>
      <c r="F499">
        <f t="shared" ca="1" si="29"/>
        <v>-1.130472272978956</v>
      </c>
      <c r="G499">
        <f t="shared" ca="1" si="30"/>
        <v>-2.0542659844372081E-2</v>
      </c>
      <c r="H499" t="str">
        <f t="shared" ca="1" si="31"/>
        <v>competitive</v>
      </c>
    </row>
    <row r="500" spans="1:8" x14ac:dyDescent="0.3">
      <c r="A500" t="s">
        <v>722</v>
      </c>
      <c r="B500" t="s">
        <v>31</v>
      </c>
      <c r="C500">
        <v>53.9</v>
      </c>
      <c r="D500">
        <v>33.93</v>
      </c>
      <c r="E500">
        <f t="shared" ca="1" si="28"/>
        <v>51.29261220290006</v>
      </c>
      <c r="F500">
        <f t="shared" ca="1" si="29"/>
        <v>2.6073877970999391</v>
      </c>
      <c r="G500">
        <f t="shared" ca="1" si="30"/>
        <v>5.0833593477083987E-2</v>
      </c>
      <c r="H500" t="str">
        <f t="shared" ca="1" si="31"/>
        <v>overpriced</v>
      </c>
    </row>
    <row r="501" spans="1:8" x14ac:dyDescent="0.3">
      <c r="A501" t="s">
        <v>723</v>
      </c>
      <c r="B501" t="s">
        <v>31</v>
      </c>
      <c r="C501">
        <v>49.9</v>
      </c>
      <c r="D501">
        <v>12.48</v>
      </c>
      <c r="E501">
        <f t="shared" ca="1" si="28"/>
        <v>48.975000655587884</v>
      </c>
      <c r="F501">
        <f t="shared" ca="1" si="29"/>
        <v>0.92499934441211451</v>
      </c>
      <c r="G501">
        <f t="shared" ca="1" si="30"/>
        <v>1.8887173701478556E-2</v>
      </c>
      <c r="H501" t="str">
        <f t="shared" ca="1" si="31"/>
        <v>competitive</v>
      </c>
    </row>
    <row r="502" spans="1:8" x14ac:dyDescent="0.3">
      <c r="A502" t="s">
        <v>724</v>
      </c>
      <c r="B502" t="s">
        <v>725</v>
      </c>
      <c r="C502">
        <v>185.81</v>
      </c>
      <c r="D502">
        <v>17.059999999999999</v>
      </c>
      <c r="E502">
        <f t="shared" ca="1" si="28"/>
        <v>191.12300245847143</v>
      </c>
      <c r="F502">
        <f t="shared" ca="1" si="29"/>
        <v>-5.3130024584714306</v>
      </c>
      <c r="G502">
        <f t="shared" ca="1" si="30"/>
        <v>-2.7798864553866966E-2</v>
      </c>
      <c r="H502" t="str">
        <f t="shared" ca="1" si="31"/>
        <v>competitive</v>
      </c>
    </row>
    <row r="503" spans="1:8" x14ac:dyDescent="0.3">
      <c r="A503" t="s">
        <v>726</v>
      </c>
      <c r="B503" t="s">
        <v>443</v>
      </c>
      <c r="C503">
        <v>501.9</v>
      </c>
      <c r="D503">
        <v>17.260000000000002</v>
      </c>
      <c r="E503">
        <f t="shared" ca="1" si="28"/>
        <v>507.35061124812904</v>
      </c>
      <c r="F503">
        <f t="shared" ca="1" si="29"/>
        <v>-5.4506112481290643</v>
      </c>
      <c r="G503">
        <f t="shared" ca="1" si="30"/>
        <v>-1.0743283101049312E-2</v>
      </c>
      <c r="H503" t="str">
        <f t="shared" ca="1" si="31"/>
        <v>competitive</v>
      </c>
    </row>
    <row r="504" spans="1:8" x14ac:dyDescent="0.3">
      <c r="A504" t="s">
        <v>727</v>
      </c>
      <c r="B504" t="s">
        <v>265</v>
      </c>
      <c r="C504">
        <v>97.9</v>
      </c>
      <c r="D504">
        <v>16.940000000000001</v>
      </c>
      <c r="E504">
        <f t="shared" ca="1" si="28"/>
        <v>98.52946524109457</v>
      </c>
      <c r="F504">
        <f t="shared" ca="1" si="29"/>
        <v>-0.62946524109456448</v>
      </c>
      <c r="G504">
        <f t="shared" ca="1" si="30"/>
        <v>-6.3885989795469606E-3</v>
      </c>
      <c r="H504" t="str">
        <f t="shared" ca="1" si="31"/>
        <v>competitive</v>
      </c>
    </row>
    <row r="505" spans="1:8" x14ac:dyDescent="0.3">
      <c r="A505" t="s">
        <v>728</v>
      </c>
      <c r="B505" t="s">
        <v>39</v>
      </c>
      <c r="C505">
        <v>76</v>
      </c>
      <c r="D505">
        <v>18.829999999999998</v>
      </c>
      <c r="E505">
        <f t="shared" ca="1" si="28"/>
        <v>75.888464889406521</v>
      </c>
      <c r="F505">
        <f t="shared" ca="1" si="29"/>
        <v>0.1115351105934792</v>
      </c>
      <c r="G505">
        <f t="shared" ca="1" si="30"/>
        <v>1.4697241636923491E-3</v>
      </c>
      <c r="H505" t="str">
        <f t="shared" ca="1" si="31"/>
        <v>competitive</v>
      </c>
    </row>
    <row r="506" spans="1:8" x14ac:dyDescent="0.3">
      <c r="A506" t="s">
        <v>729</v>
      </c>
      <c r="B506" t="s">
        <v>730</v>
      </c>
      <c r="C506">
        <v>15.32</v>
      </c>
      <c r="D506">
        <v>18</v>
      </c>
      <c r="E506">
        <f t="shared" ca="1" si="28"/>
        <v>16.649330621637596</v>
      </c>
      <c r="F506">
        <f t="shared" ca="1" si="29"/>
        <v>-1.3293306216375953</v>
      </c>
      <c r="G506">
        <f t="shared" ca="1" si="30"/>
        <v>-7.9842886891199533E-2</v>
      </c>
      <c r="H506" t="str">
        <f t="shared" ca="1" si="31"/>
        <v>underprived</v>
      </c>
    </row>
    <row r="507" spans="1:8" x14ac:dyDescent="0.3">
      <c r="A507" t="s">
        <v>731</v>
      </c>
      <c r="B507" t="s">
        <v>313</v>
      </c>
      <c r="C507">
        <v>45.9</v>
      </c>
      <c r="D507">
        <v>12.65</v>
      </c>
      <c r="E507">
        <f t="shared" ca="1" si="28"/>
        <v>46.635779242532337</v>
      </c>
      <c r="F507">
        <f t="shared" ca="1" si="29"/>
        <v>-0.73577924253233817</v>
      </c>
      <c r="G507">
        <f t="shared" ca="1" si="30"/>
        <v>-1.5777140523499596E-2</v>
      </c>
      <c r="H507" t="str">
        <f t="shared" ca="1" si="31"/>
        <v>competitive</v>
      </c>
    </row>
    <row r="508" spans="1:8" x14ac:dyDescent="0.3">
      <c r="A508" t="s">
        <v>732</v>
      </c>
      <c r="B508" t="s">
        <v>313</v>
      </c>
      <c r="C508">
        <v>45.9</v>
      </c>
      <c r="D508">
        <v>12.71</v>
      </c>
      <c r="E508">
        <f t="shared" ca="1" si="28"/>
        <v>45.65109429803158</v>
      </c>
      <c r="F508">
        <f t="shared" ca="1" si="29"/>
        <v>0.24890570196841821</v>
      </c>
      <c r="G508">
        <f t="shared" ca="1" si="30"/>
        <v>5.4523490793768493E-3</v>
      </c>
      <c r="H508" t="str">
        <f t="shared" ca="1" si="31"/>
        <v>competitive</v>
      </c>
    </row>
    <row r="509" spans="1:8" x14ac:dyDescent="0.3">
      <c r="A509" t="s">
        <v>733</v>
      </c>
      <c r="B509" t="s">
        <v>313</v>
      </c>
      <c r="C509">
        <v>45.9</v>
      </c>
      <c r="D509">
        <v>12.71</v>
      </c>
      <c r="E509">
        <f t="shared" ca="1" si="28"/>
        <v>45.652381562539112</v>
      </c>
      <c r="F509">
        <f t="shared" ca="1" si="29"/>
        <v>0.2476184374608863</v>
      </c>
      <c r="G509">
        <f t="shared" ca="1" si="30"/>
        <v>5.4239982446846564E-3</v>
      </c>
      <c r="H509" t="str">
        <f t="shared" ca="1" si="31"/>
        <v>competitive</v>
      </c>
    </row>
    <row r="510" spans="1:8" x14ac:dyDescent="0.3">
      <c r="A510" t="s">
        <v>734</v>
      </c>
      <c r="B510" t="s">
        <v>31</v>
      </c>
      <c r="C510">
        <v>53.9</v>
      </c>
      <c r="D510">
        <v>0</v>
      </c>
      <c r="E510">
        <f t="shared" ca="1" si="28"/>
        <v>52.956840298992645</v>
      </c>
      <c r="F510">
        <f t="shared" ca="1" si="29"/>
        <v>0.94315970100735314</v>
      </c>
      <c r="G510">
        <f t="shared" ca="1" si="30"/>
        <v>1.780996931996515E-2</v>
      </c>
      <c r="H510" t="str">
        <f t="shared" ca="1" si="31"/>
        <v>competitive</v>
      </c>
    </row>
    <row r="511" spans="1:8" x14ac:dyDescent="0.3">
      <c r="A511" t="s">
        <v>734</v>
      </c>
      <c r="B511" t="s">
        <v>31</v>
      </c>
      <c r="C511">
        <v>53.9</v>
      </c>
      <c r="D511">
        <v>0</v>
      </c>
      <c r="E511">
        <f t="shared" ca="1" si="28"/>
        <v>55.777072427273971</v>
      </c>
      <c r="F511">
        <f t="shared" ca="1" si="29"/>
        <v>-1.8770724272739727</v>
      </c>
      <c r="G511">
        <f t="shared" ca="1" si="30"/>
        <v>-3.3653118487375441E-2</v>
      </c>
      <c r="H511" t="str">
        <f t="shared" ca="1" si="31"/>
        <v>competitive</v>
      </c>
    </row>
    <row r="512" spans="1:8" x14ac:dyDescent="0.3">
      <c r="A512" t="s">
        <v>735</v>
      </c>
      <c r="B512" t="s">
        <v>736</v>
      </c>
      <c r="C512">
        <v>21.99</v>
      </c>
      <c r="D512">
        <v>15.1</v>
      </c>
      <c r="E512">
        <f t="shared" ca="1" si="28"/>
        <v>20.679839227834556</v>
      </c>
      <c r="F512">
        <f t="shared" ca="1" si="29"/>
        <v>1.3101607721654425</v>
      </c>
      <c r="G512">
        <f t="shared" ca="1" si="30"/>
        <v>6.3354495058259366E-2</v>
      </c>
      <c r="H512" t="str">
        <f t="shared" ca="1" si="31"/>
        <v>overpriced</v>
      </c>
    </row>
    <row r="513" spans="1:8" x14ac:dyDescent="0.3">
      <c r="A513" t="s">
        <v>737</v>
      </c>
      <c r="B513" t="s">
        <v>157</v>
      </c>
      <c r="C513">
        <v>83.9</v>
      </c>
      <c r="D513">
        <v>28.99</v>
      </c>
      <c r="E513">
        <f t="shared" ca="1" si="28"/>
        <v>84.407334005207531</v>
      </c>
      <c r="F513">
        <f t="shared" ca="1" si="29"/>
        <v>-0.50733400520752525</v>
      </c>
      <c r="G513">
        <f t="shared" ca="1" si="30"/>
        <v>-6.0105441213938252E-3</v>
      </c>
      <c r="H513" t="str">
        <f t="shared" ca="1" si="31"/>
        <v>competitive</v>
      </c>
    </row>
    <row r="514" spans="1:8" x14ac:dyDescent="0.3">
      <c r="A514" t="s">
        <v>738</v>
      </c>
      <c r="B514" t="s">
        <v>739</v>
      </c>
      <c r="C514">
        <v>49.99</v>
      </c>
      <c r="D514">
        <v>8.8800000000000008</v>
      </c>
      <c r="E514">
        <f t="shared" ca="1" si="28"/>
        <v>46.571662813751146</v>
      </c>
      <c r="F514">
        <f t="shared" ca="1" si="29"/>
        <v>3.4183371862488556</v>
      </c>
      <c r="G514">
        <f t="shared" ca="1" si="30"/>
        <v>7.3399509051661524E-2</v>
      </c>
      <c r="H514" t="str">
        <f t="shared" ca="1" si="31"/>
        <v>overpriced</v>
      </c>
    </row>
    <row r="515" spans="1:8" x14ac:dyDescent="0.3">
      <c r="A515" t="s">
        <v>740</v>
      </c>
      <c r="B515" t="s">
        <v>741</v>
      </c>
      <c r="C515">
        <v>50</v>
      </c>
      <c r="D515">
        <v>15.1</v>
      </c>
      <c r="E515">
        <f t="shared" ref="E515:E578" ca="1" si="32">C515*(1+RAND()*0.2-0.1)</f>
        <v>51.437455074886039</v>
      </c>
      <c r="F515">
        <f t="shared" ref="F515:F578" ca="1" si="33">C515-E515</f>
        <v>-1.4374550748860386</v>
      </c>
      <c r="G515">
        <f t="shared" ref="G515:G578" ca="1" si="34">(C515-E515)/E515</f>
        <v>-2.7945688074833733E-2</v>
      </c>
      <c r="H515" t="str">
        <f t="shared" ref="H515:H578" ca="1" si="35">IF(E515="","competitive",IF(ABS(C515-E515)/E515&lt;=0.05,"competitive",IF(C515&gt;E515,"overpriced","underprived")))</f>
        <v>competitive</v>
      </c>
    </row>
    <row r="516" spans="1:8" x14ac:dyDescent="0.3">
      <c r="A516" t="s">
        <v>742</v>
      </c>
      <c r="B516" t="s">
        <v>743</v>
      </c>
      <c r="C516">
        <v>61.2</v>
      </c>
      <c r="D516">
        <v>11.15</v>
      </c>
      <c r="E516">
        <f t="shared" ca="1" si="32"/>
        <v>57.625830229448084</v>
      </c>
      <c r="F516">
        <f t="shared" ca="1" si="33"/>
        <v>3.5741697705519186</v>
      </c>
      <c r="G516">
        <f t="shared" ca="1" si="34"/>
        <v>6.202374449653375E-2</v>
      </c>
      <c r="H516" t="str">
        <f t="shared" ca="1" si="35"/>
        <v>overpriced</v>
      </c>
    </row>
    <row r="517" spans="1:8" x14ac:dyDescent="0.3">
      <c r="A517" t="s">
        <v>744</v>
      </c>
      <c r="B517" t="s">
        <v>745</v>
      </c>
      <c r="C517">
        <v>81.900000000000006</v>
      </c>
      <c r="D517">
        <v>15.32</v>
      </c>
      <c r="E517">
        <f t="shared" ca="1" si="32"/>
        <v>86.496406716510819</v>
      </c>
      <c r="F517">
        <f t="shared" ca="1" si="33"/>
        <v>-4.5964067165108133</v>
      </c>
      <c r="G517">
        <f t="shared" ca="1" si="34"/>
        <v>-5.3139857376681414E-2</v>
      </c>
      <c r="H517" t="str">
        <f t="shared" ca="1" si="35"/>
        <v>underprived</v>
      </c>
    </row>
    <row r="518" spans="1:8" x14ac:dyDescent="0.3">
      <c r="A518" t="s">
        <v>746</v>
      </c>
      <c r="B518" t="s">
        <v>747</v>
      </c>
      <c r="C518">
        <v>79.900000000000006</v>
      </c>
      <c r="D518">
        <v>12.9</v>
      </c>
      <c r="E518">
        <f t="shared" ca="1" si="32"/>
        <v>75.18196088128586</v>
      </c>
      <c r="F518">
        <f t="shared" ca="1" si="33"/>
        <v>4.7180391187141453</v>
      </c>
      <c r="G518">
        <f t="shared" ca="1" si="34"/>
        <v>6.2754935670859172E-2</v>
      </c>
      <c r="H518" t="str">
        <f t="shared" ca="1" si="35"/>
        <v>overpriced</v>
      </c>
    </row>
    <row r="519" spans="1:8" x14ac:dyDescent="0.3">
      <c r="A519" t="s">
        <v>748</v>
      </c>
      <c r="B519" t="s">
        <v>749</v>
      </c>
      <c r="C519">
        <v>27.99</v>
      </c>
      <c r="D519">
        <v>14.08</v>
      </c>
      <c r="E519">
        <f t="shared" ca="1" si="32"/>
        <v>29.197511967529106</v>
      </c>
      <c r="F519">
        <f t="shared" ca="1" si="33"/>
        <v>-1.2075119675291077</v>
      </c>
      <c r="G519">
        <f t="shared" ca="1" si="34"/>
        <v>-4.135667343409246E-2</v>
      </c>
      <c r="H519" t="str">
        <f t="shared" ca="1" si="35"/>
        <v>competitive</v>
      </c>
    </row>
    <row r="520" spans="1:8" x14ac:dyDescent="0.3">
      <c r="A520" t="s">
        <v>750</v>
      </c>
      <c r="B520" t="s">
        <v>751</v>
      </c>
      <c r="C520">
        <v>1820</v>
      </c>
      <c r="D520">
        <v>81.62</v>
      </c>
      <c r="E520">
        <f t="shared" ca="1" si="32"/>
        <v>1710.0357750086353</v>
      </c>
      <c r="F520">
        <f t="shared" ca="1" si="33"/>
        <v>109.96422499136474</v>
      </c>
      <c r="G520">
        <f t="shared" ca="1" si="34"/>
        <v>6.4305218989239826E-2</v>
      </c>
      <c r="H520" t="str">
        <f t="shared" ca="1" si="35"/>
        <v>overpriced</v>
      </c>
    </row>
    <row r="521" spans="1:8" x14ac:dyDescent="0.3">
      <c r="A521" t="s">
        <v>752</v>
      </c>
      <c r="B521" t="s">
        <v>143</v>
      </c>
      <c r="C521">
        <v>15.99</v>
      </c>
      <c r="D521">
        <v>14.52</v>
      </c>
      <c r="E521">
        <f t="shared" ca="1" si="32"/>
        <v>16.62185463820957</v>
      </c>
      <c r="F521">
        <f t="shared" ca="1" si="33"/>
        <v>-0.63185463820956933</v>
      </c>
      <c r="G521">
        <f t="shared" ca="1" si="34"/>
        <v>-3.8013485977496785E-2</v>
      </c>
      <c r="H521" t="str">
        <f t="shared" ca="1" si="35"/>
        <v>competitive</v>
      </c>
    </row>
    <row r="522" spans="1:8" x14ac:dyDescent="0.3">
      <c r="A522" t="s">
        <v>753</v>
      </c>
      <c r="B522" t="s">
        <v>39</v>
      </c>
      <c r="C522">
        <v>240</v>
      </c>
      <c r="D522">
        <v>14.7</v>
      </c>
      <c r="E522">
        <f t="shared" ca="1" si="32"/>
        <v>246.99005448879058</v>
      </c>
      <c r="F522">
        <f t="shared" ca="1" si="33"/>
        <v>-6.9900544887905767</v>
      </c>
      <c r="G522">
        <f t="shared" ca="1" si="34"/>
        <v>-2.83009552884965E-2</v>
      </c>
      <c r="H522" t="str">
        <f t="shared" ca="1" si="35"/>
        <v>competitive</v>
      </c>
    </row>
    <row r="523" spans="1:8" x14ac:dyDescent="0.3">
      <c r="A523" t="s">
        <v>754</v>
      </c>
      <c r="B523" t="s">
        <v>239</v>
      </c>
      <c r="C523">
        <v>89.99</v>
      </c>
      <c r="D523">
        <v>38.47</v>
      </c>
      <c r="E523">
        <f t="shared" ca="1" si="32"/>
        <v>88.069332385388847</v>
      </c>
      <c r="F523">
        <f t="shared" ca="1" si="33"/>
        <v>1.9206676146111477</v>
      </c>
      <c r="G523">
        <f t="shared" ca="1" si="34"/>
        <v>2.1808586060427505E-2</v>
      </c>
      <c r="H523" t="str">
        <f t="shared" ca="1" si="35"/>
        <v>competitive</v>
      </c>
    </row>
    <row r="524" spans="1:8" x14ac:dyDescent="0.3">
      <c r="A524" t="s">
        <v>755</v>
      </c>
      <c r="B524" t="s">
        <v>227</v>
      </c>
      <c r="C524">
        <v>399.9</v>
      </c>
      <c r="D524">
        <v>13.41</v>
      </c>
      <c r="E524">
        <f t="shared" ca="1" si="32"/>
        <v>401.24905813627038</v>
      </c>
      <c r="F524">
        <f t="shared" ca="1" si="33"/>
        <v>-1.3490581362704006</v>
      </c>
      <c r="G524">
        <f t="shared" ca="1" si="34"/>
        <v>-3.3621465494187894E-3</v>
      </c>
      <c r="H524" t="str">
        <f t="shared" ca="1" si="35"/>
        <v>competitive</v>
      </c>
    </row>
    <row r="525" spans="1:8" x14ac:dyDescent="0.3">
      <c r="A525" t="s">
        <v>756</v>
      </c>
      <c r="B525" t="s">
        <v>747</v>
      </c>
      <c r="C525">
        <v>89.9</v>
      </c>
      <c r="D525">
        <v>17.88</v>
      </c>
      <c r="E525">
        <f t="shared" ca="1" si="32"/>
        <v>94.479215885025198</v>
      </c>
      <c r="F525">
        <f t="shared" ca="1" si="33"/>
        <v>-4.5792158850251923</v>
      </c>
      <c r="G525">
        <f t="shared" ca="1" si="34"/>
        <v>-4.846797088788065E-2</v>
      </c>
      <c r="H525" t="str">
        <f t="shared" ca="1" si="35"/>
        <v>competitive</v>
      </c>
    </row>
    <row r="526" spans="1:8" x14ac:dyDescent="0.3">
      <c r="A526" t="s">
        <v>757</v>
      </c>
      <c r="B526" t="s">
        <v>747</v>
      </c>
      <c r="C526">
        <v>89.9</v>
      </c>
      <c r="D526">
        <v>17.88</v>
      </c>
      <c r="E526">
        <f t="shared" ca="1" si="32"/>
        <v>94.987231413685677</v>
      </c>
      <c r="F526">
        <f t="shared" ca="1" si="33"/>
        <v>-5.0872314136856716</v>
      </c>
      <c r="G526">
        <f t="shared" ca="1" si="34"/>
        <v>-5.3557002746294463E-2</v>
      </c>
      <c r="H526" t="str">
        <f t="shared" ca="1" si="35"/>
        <v>underprived</v>
      </c>
    </row>
    <row r="527" spans="1:8" x14ac:dyDescent="0.3">
      <c r="A527" t="s">
        <v>758</v>
      </c>
      <c r="B527" t="s">
        <v>438</v>
      </c>
      <c r="C527">
        <v>78</v>
      </c>
      <c r="D527">
        <v>21.35</v>
      </c>
      <c r="E527">
        <f t="shared" ca="1" si="32"/>
        <v>71.423976263725834</v>
      </c>
      <c r="F527">
        <f t="shared" ca="1" si="33"/>
        <v>6.5760237362741663</v>
      </c>
      <c r="G527">
        <f t="shared" ca="1" si="34"/>
        <v>9.2070255399851461E-2</v>
      </c>
      <c r="H527" t="str">
        <f t="shared" ca="1" si="35"/>
        <v>overpriced</v>
      </c>
    </row>
    <row r="528" spans="1:8" x14ac:dyDescent="0.3">
      <c r="A528" t="s">
        <v>759</v>
      </c>
      <c r="B528" t="s">
        <v>760</v>
      </c>
      <c r="C528">
        <v>28.8</v>
      </c>
      <c r="D528">
        <v>8.36</v>
      </c>
      <c r="E528">
        <f t="shared" ca="1" si="32"/>
        <v>26.080546588413231</v>
      </c>
      <c r="F528">
        <f t="shared" ca="1" si="33"/>
        <v>2.7194534115867697</v>
      </c>
      <c r="G528">
        <f t="shared" ca="1" si="34"/>
        <v>0.10427133504920244</v>
      </c>
      <c r="H528" t="str">
        <f t="shared" ca="1" si="35"/>
        <v>overpriced</v>
      </c>
    </row>
    <row r="529" spans="1:8" x14ac:dyDescent="0.3">
      <c r="A529" t="s">
        <v>761</v>
      </c>
      <c r="B529" t="s">
        <v>109</v>
      </c>
      <c r="C529">
        <v>67.989999999999995</v>
      </c>
      <c r="D529">
        <v>8.8800000000000008</v>
      </c>
      <c r="E529">
        <f t="shared" ca="1" si="32"/>
        <v>73.917972576286772</v>
      </c>
      <c r="F529">
        <f t="shared" ca="1" si="33"/>
        <v>-5.927972576286777</v>
      </c>
      <c r="G529">
        <f t="shared" ca="1" si="34"/>
        <v>-8.019663377764906E-2</v>
      </c>
      <c r="H529" t="str">
        <f t="shared" ca="1" si="35"/>
        <v>underprived</v>
      </c>
    </row>
    <row r="530" spans="1:8" x14ac:dyDescent="0.3">
      <c r="A530" t="s">
        <v>762</v>
      </c>
      <c r="B530" t="s">
        <v>763</v>
      </c>
      <c r="C530">
        <v>65</v>
      </c>
      <c r="D530">
        <v>25.73</v>
      </c>
      <c r="E530">
        <f t="shared" ca="1" si="32"/>
        <v>60.142628472163537</v>
      </c>
      <c r="F530">
        <f t="shared" ca="1" si="33"/>
        <v>4.8573715278364631</v>
      </c>
      <c r="G530">
        <f t="shared" ca="1" si="34"/>
        <v>8.0764204213067486E-2</v>
      </c>
      <c r="H530" t="str">
        <f t="shared" ca="1" si="35"/>
        <v>overpriced</v>
      </c>
    </row>
    <row r="531" spans="1:8" x14ac:dyDescent="0.3">
      <c r="A531" t="s">
        <v>764</v>
      </c>
      <c r="B531" t="s">
        <v>79</v>
      </c>
      <c r="C531">
        <v>89.99</v>
      </c>
      <c r="D531">
        <v>18.21</v>
      </c>
      <c r="E531">
        <f t="shared" ca="1" si="32"/>
        <v>95.109055850712394</v>
      </c>
      <c r="F531">
        <f t="shared" ca="1" si="33"/>
        <v>-5.1190558507123995</v>
      </c>
      <c r="G531">
        <f t="shared" ca="1" si="34"/>
        <v>-5.3823011961631792E-2</v>
      </c>
      <c r="H531" t="str">
        <f t="shared" ca="1" si="35"/>
        <v>underprived</v>
      </c>
    </row>
    <row r="532" spans="1:8" x14ac:dyDescent="0.3">
      <c r="A532" t="s">
        <v>765</v>
      </c>
      <c r="B532" t="s">
        <v>766</v>
      </c>
      <c r="C532">
        <v>104.99</v>
      </c>
      <c r="D532">
        <v>17.98</v>
      </c>
      <c r="E532">
        <f t="shared" ca="1" si="32"/>
        <v>101.17218473624941</v>
      </c>
      <c r="F532">
        <f t="shared" ca="1" si="33"/>
        <v>3.8178152637505889</v>
      </c>
      <c r="G532">
        <f t="shared" ca="1" si="34"/>
        <v>3.7735819125616722E-2</v>
      </c>
      <c r="H532" t="str">
        <f t="shared" ca="1" si="35"/>
        <v>competitive</v>
      </c>
    </row>
    <row r="533" spans="1:8" x14ac:dyDescent="0.3">
      <c r="A533" t="s">
        <v>767</v>
      </c>
      <c r="B533" t="s">
        <v>768</v>
      </c>
      <c r="C533">
        <v>13.99</v>
      </c>
      <c r="D533">
        <v>7.78</v>
      </c>
      <c r="E533">
        <f t="shared" ca="1" si="32"/>
        <v>13.581036174661023</v>
      </c>
      <c r="F533">
        <f t="shared" ca="1" si="33"/>
        <v>0.40896382533897757</v>
      </c>
      <c r="G533">
        <f t="shared" ca="1" si="34"/>
        <v>3.0112858848134624E-2</v>
      </c>
      <c r="H533" t="str">
        <f t="shared" ca="1" si="35"/>
        <v>competitive</v>
      </c>
    </row>
    <row r="534" spans="1:8" x14ac:dyDescent="0.3">
      <c r="A534" t="s">
        <v>769</v>
      </c>
      <c r="B534" t="s">
        <v>770</v>
      </c>
      <c r="C534">
        <v>3.49</v>
      </c>
      <c r="D534">
        <v>16.79</v>
      </c>
      <c r="E534">
        <f t="shared" ca="1" si="32"/>
        <v>3.2643293112381424</v>
      </c>
      <c r="F534">
        <f t="shared" ca="1" si="33"/>
        <v>0.22567068876185781</v>
      </c>
      <c r="G534">
        <f t="shared" ca="1" si="34"/>
        <v>6.9132329261309161E-2</v>
      </c>
      <c r="H534" t="str">
        <f t="shared" ca="1" si="35"/>
        <v>overpriced</v>
      </c>
    </row>
    <row r="535" spans="1:8" x14ac:dyDescent="0.3">
      <c r="A535" t="s">
        <v>769</v>
      </c>
      <c r="B535" t="s">
        <v>770</v>
      </c>
      <c r="C535">
        <v>3.49</v>
      </c>
      <c r="D535">
        <v>16.79</v>
      </c>
      <c r="E535">
        <f t="shared" ca="1" si="32"/>
        <v>3.1749845941423627</v>
      </c>
      <c r="F535">
        <f t="shared" ca="1" si="33"/>
        <v>0.31501540585763754</v>
      </c>
      <c r="G535">
        <f t="shared" ca="1" si="34"/>
        <v>9.9217932092905331E-2</v>
      </c>
      <c r="H535" t="str">
        <f t="shared" ca="1" si="35"/>
        <v>overpriced</v>
      </c>
    </row>
    <row r="536" spans="1:8" x14ac:dyDescent="0.3">
      <c r="A536" t="s">
        <v>771</v>
      </c>
      <c r="B536" t="s">
        <v>714</v>
      </c>
      <c r="C536">
        <v>29.99</v>
      </c>
      <c r="D536">
        <v>16.32</v>
      </c>
      <c r="E536">
        <f t="shared" ca="1" si="32"/>
        <v>31.101418635931296</v>
      </c>
      <c r="F536">
        <f t="shared" ca="1" si="33"/>
        <v>-1.1114186359312974</v>
      </c>
      <c r="G536">
        <f t="shared" ca="1" si="34"/>
        <v>-3.5735303554522806E-2</v>
      </c>
      <c r="H536" t="str">
        <f t="shared" ca="1" si="35"/>
        <v>competitive</v>
      </c>
    </row>
    <row r="537" spans="1:8" x14ac:dyDescent="0.3">
      <c r="A537" t="s">
        <v>394</v>
      </c>
      <c r="B537" t="s">
        <v>322</v>
      </c>
      <c r="C537">
        <v>16.899999999999999</v>
      </c>
      <c r="D537">
        <v>10.96</v>
      </c>
      <c r="E537">
        <f t="shared" ca="1" si="32"/>
        <v>16.595877820150779</v>
      </c>
      <c r="F537">
        <f t="shared" ca="1" si="33"/>
        <v>0.30412217984921952</v>
      </c>
      <c r="G537">
        <f t="shared" ca="1" si="34"/>
        <v>1.8325163823510029E-2</v>
      </c>
      <c r="H537" t="str">
        <f t="shared" ca="1" si="35"/>
        <v>competitive</v>
      </c>
    </row>
    <row r="538" spans="1:8" x14ac:dyDescent="0.3">
      <c r="A538" t="s">
        <v>772</v>
      </c>
      <c r="B538" t="s">
        <v>773</v>
      </c>
      <c r="C538">
        <v>63</v>
      </c>
      <c r="D538">
        <v>23.35</v>
      </c>
      <c r="E538">
        <f t="shared" ca="1" si="32"/>
        <v>57.463229469699456</v>
      </c>
      <c r="F538">
        <f t="shared" ca="1" si="33"/>
        <v>5.5367705303005437</v>
      </c>
      <c r="G538">
        <f t="shared" ca="1" si="34"/>
        <v>9.6353278111876745E-2</v>
      </c>
      <c r="H538" t="str">
        <f t="shared" ca="1" si="35"/>
        <v>overpriced</v>
      </c>
    </row>
    <row r="539" spans="1:8" x14ac:dyDescent="0.3">
      <c r="A539" t="s">
        <v>774</v>
      </c>
      <c r="B539" t="s">
        <v>354</v>
      </c>
      <c r="C539">
        <v>89</v>
      </c>
      <c r="D539">
        <v>23.35</v>
      </c>
      <c r="E539">
        <f t="shared" ca="1" si="32"/>
        <v>87.902696946367755</v>
      </c>
      <c r="F539">
        <f t="shared" ca="1" si="33"/>
        <v>1.0973030536322455</v>
      </c>
      <c r="G539">
        <f t="shared" ca="1" si="34"/>
        <v>1.2483155713660812E-2</v>
      </c>
      <c r="H539" t="str">
        <f t="shared" ca="1" si="35"/>
        <v>competitive</v>
      </c>
    </row>
    <row r="540" spans="1:8" x14ac:dyDescent="0.3">
      <c r="A540" t="s">
        <v>775</v>
      </c>
      <c r="B540" t="s">
        <v>776</v>
      </c>
      <c r="C540">
        <v>159</v>
      </c>
      <c r="D540">
        <v>19.21</v>
      </c>
      <c r="E540">
        <f t="shared" ca="1" si="32"/>
        <v>156.27275223346774</v>
      </c>
      <c r="F540">
        <f t="shared" ca="1" si="33"/>
        <v>2.7272477665322583</v>
      </c>
      <c r="G540">
        <f t="shared" ca="1" si="34"/>
        <v>1.74518444677919E-2</v>
      </c>
      <c r="H540" t="str">
        <f t="shared" ca="1" si="35"/>
        <v>competitive</v>
      </c>
    </row>
    <row r="541" spans="1:8" x14ac:dyDescent="0.3">
      <c r="A541" t="s">
        <v>777</v>
      </c>
      <c r="B541" t="s">
        <v>176</v>
      </c>
      <c r="C541">
        <v>99.99</v>
      </c>
      <c r="D541">
        <v>16.95</v>
      </c>
      <c r="E541">
        <f t="shared" ca="1" si="32"/>
        <v>92.984436769499737</v>
      </c>
      <c r="F541">
        <f t="shared" ca="1" si="33"/>
        <v>7.0055632305002575</v>
      </c>
      <c r="G541">
        <f t="shared" ca="1" si="34"/>
        <v>7.5341244985614467E-2</v>
      </c>
      <c r="H541" t="str">
        <f t="shared" ca="1" si="35"/>
        <v>overpriced</v>
      </c>
    </row>
    <row r="542" spans="1:8" x14ac:dyDescent="0.3">
      <c r="A542" t="s">
        <v>778</v>
      </c>
      <c r="B542" t="s">
        <v>88</v>
      </c>
      <c r="C542">
        <v>23.89</v>
      </c>
      <c r="D542">
        <v>8.7200000000000006</v>
      </c>
      <c r="E542">
        <f t="shared" ca="1" si="32"/>
        <v>22.3736834347315</v>
      </c>
      <c r="F542">
        <f t="shared" ca="1" si="33"/>
        <v>1.5163165652685002</v>
      </c>
      <c r="G542">
        <f t="shared" ca="1" si="34"/>
        <v>6.7772325897606372E-2</v>
      </c>
      <c r="H542" t="str">
        <f t="shared" ca="1" si="35"/>
        <v>overpriced</v>
      </c>
    </row>
    <row r="543" spans="1:8" x14ac:dyDescent="0.3">
      <c r="A543" t="s">
        <v>779</v>
      </c>
      <c r="B543" t="s">
        <v>694</v>
      </c>
      <c r="C543">
        <v>21.99</v>
      </c>
      <c r="D543">
        <v>15.1</v>
      </c>
      <c r="E543">
        <f t="shared" ca="1" si="32"/>
        <v>22.085033600603797</v>
      </c>
      <c r="F543">
        <f t="shared" ca="1" si="33"/>
        <v>-9.5033600603798618E-2</v>
      </c>
      <c r="G543">
        <f t="shared" ca="1" si="34"/>
        <v>-4.3030770214087626E-3</v>
      </c>
      <c r="H543" t="str">
        <f t="shared" ca="1" si="35"/>
        <v>competitive</v>
      </c>
    </row>
    <row r="544" spans="1:8" x14ac:dyDescent="0.3">
      <c r="A544" t="s">
        <v>780</v>
      </c>
      <c r="B544" t="s">
        <v>190</v>
      </c>
      <c r="C544">
        <v>188</v>
      </c>
      <c r="D544">
        <v>16.07</v>
      </c>
      <c r="E544">
        <f t="shared" ca="1" si="32"/>
        <v>191.12018747659963</v>
      </c>
      <c r="F544">
        <f t="shared" ca="1" si="33"/>
        <v>-3.1201874765996251</v>
      </c>
      <c r="G544">
        <f t="shared" ca="1" si="34"/>
        <v>-1.6325787023318269E-2</v>
      </c>
      <c r="H544" t="str">
        <f t="shared" ca="1" si="35"/>
        <v>competitive</v>
      </c>
    </row>
    <row r="545" spans="1:8" x14ac:dyDescent="0.3">
      <c r="A545" t="s">
        <v>781</v>
      </c>
      <c r="B545" t="s">
        <v>782</v>
      </c>
      <c r="C545">
        <v>109.9</v>
      </c>
      <c r="D545">
        <v>13.11</v>
      </c>
      <c r="E545">
        <f t="shared" ca="1" si="32"/>
        <v>101.75439150954203</v>
      </c>
      <c r="F545">
        <f t="shared" ca="1" si="33"/>
        <v>8.145608490457974</v>
      </c>
      <c r="G545">
        <f t="shared" ca="1" si="34"/>
        <v>8.0051665285562817E-2</v>
      </c>
      <c r="H545" t="str">
        <f t="shared" ca="1" si="35"/>
        <v>overpriced</v>
      </c>
    </row>
    <row r="546" spans="1:8" x14ac:dyDescent="0.3">
      <c r="A546" t="s">
        <v>783</v>
      </c>
      <c r="B546" t="s">
        <v>784</v>
      </c>
      <c r="C546">
        <v>59.9</v>
      </c>
      <c r="D546">
        <v>14.73</v>
      </c>
      <c r="E546">
        <f t="shared" ca="1" si="32"/>
        <v>56.302201333546854</v>
      </c>
      <c r="F546">
        <f t="shared" ca="1" si="33"/>
        <v>3.5977986664531443</v>
      </c>
      <c r="G546">
        <f t="shared" ca="1" si="34"/>
        <v>6.3901563015964141E-2</v>
      </c>
      <c r="H546" t="str">
        <f t="shared" ca="1" si="35"/>
        <v>overpriced</v>
      </c>
    </row>
    <row r="547" spans="1:8" x14ac:dyDescent="0.3">
      <c r="A547" t="s">
        <v>785</v>
      </c>
      <c r="B547" t="s">
        <v>101</v>
      </c>
      <c r="C547">
        <v>139.9</v>
      </c>
      <c r="D547">
        <v>16.739999999999998</v>
      </c>
      <c r="E547">
        <f t="shared" ca="1" si="32"/>
        <v>147.49226873575387</v>
      </c>
      <c r="F547">
        <f t="shared" ca="1" si="33"/>
        <v>-7.5922687357538621</v>
      </c>
      <c r="G547">
        <f t="shared" ca="1" si="34"/>
        <v>-5.1475706495207003E-2</v>
      </c>
      <c r="H547" t="str">
        <f t="shared" ca="1" si="35"/>
        <v>underprived</v>
      </c>
    </row>
    <row r="548" spans="1:8" x14ac:dyDescent="0.3">
      <c r="A548" t="s">
        <v>680</v>
      </c>
      <c r="B548" t="s">
        <v>59</v>
      </c>
      <c r="C548">
        <v>28.49</v>
      </c>
      <c r="D548">
        <v>18.23</v>
      </c>
      <c r="E548">
        <f t="shared" ca="1" si="32"/>
        <v>25.785891417255481</v>
      </c>
      <c r="F548">
        <f t="shared" ca="1" si="33"/>
        <v>2.7041085827445173</v>
      </c>
      <c r="G548">
        <f t="shared" ca="1" si="34"/>
        <v>0.10486775651800712</v>
      </c>
      <c r="H548" t="str">
        <f t="shared" ca="1" si="35"/>
        <v>overpriced</v>
      </c>
    </row>
    <row r="549" spans="1:8" x14ac:dyDescent="0.3">
      <c r="A549" t="s">
        <v>786</v>
      </c>
      <c r="B549" t="s">
        <v>77</v>
      </c>
      <c r="C549">
        <v>154.91</v>
      </c>
      <c r="D549">
        <v>46.67</v>
      </c>
      <c r="E549">
        <f t="shared" ca="1" si="32"/>
        <v>154.9193894762455</v>
      </c>
      <c r="F549">
        <f t="shared" ca="1" si="33"/>
        <v>-9.3894762455022374E-3</v>
      </c>
      <c r="G549">
        <f t="shared" ca="1" si="34"/>
        <v>-6.0608786784187327E-5</v>
      </c>
      <c r="H549" t="str">
        <f t="shared" ca="1" si="35"/>
        <v>competitive</v>
      </c>
    </row>
    <row r="550" spans="1:8" x14ac:dyDescent="0.3">
      <c r="A550" t="s">
        <v>786</v>
      </c>
      <c r="B550" t="s">
        <v>77</v>
      </c>
      <c r="C550">
        <v>154.91</v>
      </c>
      <c r="D550">
        <v>46.67</v>
      </c>
      <c r="E550">
        <f t="shared" ca="1" si="32"/>
        <v>149.64974882355341</v>
      </c>
      <c r="F550">
        <f t="shared" ca="1" si="33"/>
        <v>5.2602511764465874</v>
      </c>
      <c r="G550">
        <f t="shared" ca="1" si="34"/>
        <v>3.5150417677270937E-2</v>
      </c>
      <c r="H550" t="str">
        <f t="shared" ca="1" si="35"/>
        <v>competitive</v>
      </c>
    </row>
    <row r="551" spans="1:8" x14ac:dyDescent="0.3">
      <c r="A551" t="s">
        <v>787</v>
      </c>
      <c r="B551" t="s">
        <v>79</v>
      </c>
      <c r="C551">
        <v>99.99</v>
      </c>
      <c r="D551">
        <v>11.9</v>
      </c>
      <c r="E551">
        <f t="shared" ca="1" si="32"/>
        <v>96.226676715612356</v>
      </c>
      <c r="F551">
        <f t="shared" ca="1" si="33"/>
        <v>3.7633232843876385</v>
      </c>
      <c r="G551">
        <f t="shared" ca="1" si="34"/>
        <v>3.9108939566828621E-2</v>
      </c>
      <c r="H551" t="str">
        <f t="shared" ca="1" si="35"/>
        <v>competitive</v>
      </c>
    </row>
    <row r="552" spans="1:8" x14ac:dyDescent="0.3">
      <c r="A552" t="s">
        <v>788</v>
      </c>
      <c r="B552" t="s">
        <v>789</v>
      </c>
      <c r="C552">
        <v>27.9</v>
      </c>
      <c r="D552">
        <v>3.81</v>
      </c>
      <c r="E552">
        <f t="shared" ca="1" si="32"/>
        <v>26.660860639727247</v>
      </c>
      <c r="F552">
        <f t="shared" ca="1" si="33"/>
        <v>1.2391393602727518</v>
      </c>
      <c r="G552">
        <f t="shared" ca="1" si="34"/>
        <v>4.6477845446081176E-2</v>
      </c>
      <c r="H552" t="str">
        <f t="shared" ca="1" si="35"/>
        <v>competitive</v>
      </c>
    </row>
    <row r="553" spans="1:8" x14ac:dyDescent="0.3">
      <c r="A553" t="s">
        <v>66</v>
      </c>
      <c r="B553" t="s">
        <v>67</v>
      </c>
      <c r="C553">
        <v>21.33</v>
      </c>
      <c r="D553">
        <v>25.39</v>
      </c>
      <c r="E553">
        <f t="shared" ca="1" si="32"/>
        <v>21.989274337661591</v>
      </c>
      <c r="F553">
        <f t="shared" ca="1" si="33"/>
        <v>-0.65927433766159282</v>
      </c>
      <c r="G553">
        <f t="shared" ca="1" si="34"/>
        <v>-2.9981632296634586E-2</v>
      </c>
      <c r="H553" t="str">
        <f t="shared" ca="1" si="35"/>
        <v>competitive</v>
      </c>
    </row>
    <row r="554" spans="1:8" x14ac:dyDescent="0.3">
      <c r="A554" t="s">
        <v>790</v>
      </c>
      <c r="B554" t="s">
        <v>791</v>
      </c>
      <c r="C554">
        <v>504</v>
      </c>
      <c r="D554">
        <v>19.72</v>
      </c>
      <c r="E554">
        <f t="shared" ca="1" si="32"/>
        <v>525.3971916976227</v>
      </c>
      <c r="F554">
        <f t="shared" ca="1" si="33"/>
        <v>-21.397191697622702</v>
      </c>
      <c r="G554">
        <f t="shared" ca="1" si="34"/>
        <v>-4.072574432399563E-2</v>
      </c>
      <c r="H554" t="str">
        <f t="shared" ca="1" si="35"/>
        <v>competitive</v>
      </c>
    </row>
    <row r="555" spans="1:8" x14ac:dyDescent="0.3">
      <c r="A555" t="s">
        <v>792</v>
      </c>
      <c r="B555" t="s">
        <v>43</v>
      </c>
      <c r="C555">
        <v>25</v>
      </c>
      <c r="D555">
        <v>14.1</v>
      </c>
      <c r="E555">
        <f t="shared" ca="1" si="32"/>
        <v>24.420578137429509</v>
      </c>
      <c r="F555">
        <f t="shared" ca="1" si="33"/>
        <v>0.57942186257049144</v>
      </c>
      <c r="G555">
        <f t="shared" ca="1" si="34"/>
        <v>2.3726787273820084E-2</v>
      </c>
      <c r="H555" t="str">
        <f t="shared" ca="1" si="35"/>
        <v>competitive</v>
      </c>
    </row>
    <row r="556" spans="1:8" x14ac:dyDescent="0.3">
      <c r="A556" t="s">
        <v>793</v>
      </c>
      <c r="B556" t="s">
        <v>794</v>
      </c>
      <c r="C556">
        <v>54.9</v>
      </c>
      <c r="D556">
        <v>23.31</v>
      </c>
      <c r="E556">
        <f t="shared" ca="1" si="32"/>
        <v>58.598262942239842</v>
      </c>
      <c r="F556">
        <f t="shared" ca="1" si="33"/>
        <v>-3.6982629422398432</v>
      </c>
      <c r="G556">
        <f t="shared" ca="1" si="34"/>
        <v>-6.3112159926740685E-2</v>
      </c>
      <c r="H556" t="str">
        <f t="shared" ca="1" si="35"/>
        <v>underprived</v>
      </c>
    </row>
    <row r="557" spans="1:8" x14ac:dyDescent="0.3">
      <c r="A557" t="s">
        <v>793</v>
      </c>
      <c r="B557" t="s">
        <v>794</v>
      </c>
      <c r="C557">
        <v>54.9</v>
      </c>
      <c r="D557">
        <v>23.31</v>
      </c>
      <c r="E557">
        <f t="shared" ca="1" si="32"/>
        <v>57.655990261801684</v>
      </c>
      <c r="F557">
        <f t="shared" ca="1" si="33"/>
        <v>-2.7559902618016849</v>
      </c>
      <c r="G557">
        <f t="shared" ca="1" si="34"/>
        <v>-4.7800588443410834E-2</v>
      </c>
      <c r="H557" t="str">
        <f t="shared" ca="1" si="35"/>
        <v>competitive</v>
      </c>
    </row>
    <row r="558" spans="1:8" x14ac:dyDescent="0.3">
      <c r="A558" t="s">
        <v>793</v>
      </c>
      <c r="B558" t="s">
        <v>794</v>
      </c>
      <c r="C558">
        <v>54.9</v>
      </c>
      <c r="D558">
        <v>23.31</v>
      </c>
      <c r="E558">
        <f t="shared" ca="1" si="32"/>
        <v>59.855847246335927</v>
      </c>
      <c r="F558">
        <f t="shared" ca="1" si="33"/>
        <v>-4.955847246335928</v>
      </c>
      <c r="G558">
        <f t="shared" ca="1" si="34"/>
        <v>-8.2796376199307742E-2</v>
      </c>
      <c r="H558" t="str">
        <f t="shared" ca="1" si="35"/>
        <v>underprived</v>
      </c>
    </row>
    <row r="559" spans="1:8" x14ac:dyDescent="0.3">
      <c r="A559" t="s">
        <v>793</v>
      </c>
      <c r="B559" t="s">
        <v>794</v>
      </c>
      <c r="C559">
        <v>54.9</v>
      </c>
      <c r="D559">
        <v>23.31</v>
      </c>
      <c r="E559">
        <f t="shared" ca="1" si="32"/>
        <v>59.789484683786966</v>
      </c>
      <c r="F559">
        <f t="shared" ca="1" si="33"/>
        <v>-4.8894846837869679</v>
      </c>
      <c r="G559">
        <f t="shared" ca="1" si="34"/>
        <v>-8.177833794096645E-2</v>
      </c>
      <c r="H559" t="str">
        <f t="shared" ca="1" si="35"/>
        <v>underprived</v>
      </c>
    </row>
    <row r="560" spans="1:8" x14ac:dyDescent="0.3">
      <c r="A560" t="s">
        <v>795</v>
      </c>
      <c r="B560" t="s">
        <v>782</v>
      </c>
      <c r="C560">
        <v>5.53</v>
      </c>
      <c r="D560">
        <v>11.85</v>
      </c>
      <c r="E560">
        <f t="shared" ca="1" si="32"/>
        <v>5.3256700278073517</v>
      </c>
      <c r="F560">
        <f t="shared" ca="1" si="33"/>
        <v>0.20432997219264859</v>
      </c>
      <c r="G560">
        <f t="shared" ca="1" si="34"/>
        <v>3.8366998166571339E-2</v>
      </c>
      <c r="H560" t="str">
        <f t="shared" ca="1" si="35"/>
        <v>competitive</v>
      </c>
    </row>
    <row r="561" spans="1:8" x14ac:dyDescent="0.3">
      <c r="A561" t="s">
        <v>795</v>
      </c>
      <c r="B561" t="s">
        <v>782</v>
      </c>
      <c r="C561">
        <v>5.53</v>
      </c>
      <c r="D561">
        <v>11.85</v>
      </c>
      <c r="E561">
        <f t="shared" ca="1" si="32"/>
        <v>5.69267917950331</v>
      </c>
      <c r="F561">
        <f t="shared" ca="1" si="33"/>
        <v>-0.16267917950330979</v>
      </c>
      <c r="G561">
        <f t="shared" ca="1" si="34"/>
        <v>-2.8576909812350195E-2</v>
      </c>
      <c r="H561" t="str">
        <f t="shared" ca="1" si="35"/>
        <v>competitive</v>
      </c>
    </row>
    <row r="562" spans="1:8" x14ac:dyDescent="0.3">
      <c r="A562" t="s">
        <v>795</v>
      </c>
      <c r="B562" t="s">
        <v>782</v>
      </c>
      <c r="C562">
        <v>5.53</v>
      </c>
      <c r="D562">
        <v>11.85</v>
      </c>
      <c r="E562">
        <f t="shared" ca="1" si="32"/>
        <v>5.3812883564394864</v>
      </c>
      <c r="F562">
        <f t="shared" ca="1" si="33"/>
        <v>0.14871164356051381</v>
      </c>
      <c r="G562">
        <f t="shared" ca="1" si="34"/>
        <v>2.7634951652899052E-2</v>
      </c>
      <c r="H562" t="str">
        <f t="shared" ca="1" si="35"/>
        <v>competitive</v>
      </c>
    </row>
    <row r="563" spans="1:8" x14ac:dyDescent="0.3">
      <c r="A563" t="s">
        <v>795</v>
      </c>
      <c r="B563" t="s">
        <v>782</v>
      </c>
      <c r="C563">
        <v>5.53</v>
      </c>
      <c r="D563">
        <v>11.85</v>
      </c>
      <c r="E563">
        <f t="shared" ca="1" si="32"/>
        <v>5.6639531652110318</v>
      </c>
      <c r="F563">
        <f t="shared" ca="1" si="33"/>
        <v>-0.13395316521103151</v>
      </c>
      <c r="G563">
        <f t="shared" ca="1" si="34"/>
        <v>-2.365011879578997E-2</v>
      </c>
      <c r="H563" t="str">
        <f t="shared" ca="1" si="35"/>
        <v>competitive</v>
      </c>
    </row>
    <row r="564" spans="1:8" x14ac:dyDescent="0.3">
      <c r="A564" t="s">
        <v>795</v>
      </c>
      <c r="B564" t="s">
        <v>782</v>
      </c>
      <c r="C564">
        <v>5.53</v>
      </c>
      <c r="D564">
        <v>11.85</v>
      </c>
      <c r="E564">
        <f t="shared" ca="1" si="32"/>
        <v>5.950029808353448</v>
      </c>
      <c r="F564">
        <f t="shared" ca="1" si="33"/>
        <v>-0.42002980835344772</v>
      </c>
      <c r="G564">
        <f t="shared" ca="1" si="34"/>
        <v>-7.0592891444636749E-2</v>
      </c>
      <c r="H564" t="str">
        <f t="shared" ca="1" si="35"/>
        <v>underprived</v>
      </c>
    </row>
    <row r="565" spans="1:8" x14ac:dyDescent="0.3">
      <c r="A565" t="s">
        <v>796</v>
      </c>
      <c r="B565" t="s">
        <v>797</v>
      </c>
      <c r="C565">
        <v>127.45</v>
      </c>
      <c r="D565">
        <v>23.69</v>
      </c>
      <c r="E565">
        <f t="shared" ca="1" si="32"/>
        <v>123.49899635525624</v>
      </c>
      <c r="F565">
        <f t="shared" ca="1" si="33"/>
        <v>3.9510036447437642</v>
      </c>
      <c r="G565">
        <f t="shared" ca="1" si="34"/>
        <v>3.1992192336351775E-2</v>
      </c>
      <c r="H565" t="str">
        <f t="shared" ca="1" si="35"/>
        <v>competitive</v>
      </c>
    </row>
    <row r="566" spans="1:8" x14ac:dyDescent="0.3">
      <c r="A566" t="s">
        <v>798</v>
      </c>
      <c r="B566" t="s">
        <v>799</v>
      </c>
      <c r="C566">
        <v>29</v>
      </c>
      <c r="D566">
        <v>8.8800000000000008</v>
      </c>
      <c r="E566">
        <f t="shared" ca="1" si="32"/>
        <v>31.382298694314162</v>
      </c>
      <c r="F566">
        <f t="shared" ca="1" si="33"/>
        <v>-2.3822986943141622</v>
      </c>
      <c r="G566">
        <f t="shared" ca="1" si="34"/>
        <v>-7.5912179586315215E-2</v>
      </c>
      <c r="H566" t="str">
        <f t="shared" ca="1" si="35"/>
        <v>underprived</v>
      </c>
    </row>
    <row r="567" spans="1:8" x14ac:dyDescent="0.3">
      <c r="A567" t="s">
        <v>800</v>
      </c>
      <c r="B567" t="s">
        <v>801</v>
      </c>
      <c r="C567">
        <v>19.899999999999999</v>
      </c>
      <c r="D567">
        <v>18.239999999999998</v>
      </c>
      <c r="E567">
        <f t="shared" ca="1" si="32"/>
        <v>21.329849979326539</v>
      </c>
      <c r="F567">
        <f t="shared" ca="1" si="33"/>
        <v>-1.4298499793265407</v>
      </c>
      <c r="G567">
        <f t="shared" ca="1" si="34"/>
        <v>-6.7035163431172259E-2</v>
      </c>
      <c r="H567" t="str">
        <f t="shared" ca="1" si="35"/>
        <v>underprived</v>
      </c>
    </row>
    <row r="568" spans="1:8" x14ac:dyDescent="0.3">
      <c r="A568" t="s">
        <v>802</v>
      </c>
      <c r="B568" t="s">
        <v>803</v>
      </c>
      <c r="C568">
        <v>135</v>
      </c>
      <c r="D568">
        <v>23.75</v>
      </c>
      <c r="E568">
        <f t="shared" ca="1" si="32"/>
        <v>127.65634218083363</v>
      </c>
      <c r="F568">
        <f t="shared" ca="1" si="33"/>
        <v>7.3436578191663671</v>
      </c>
      <c r="G568">
        <f t="shared" ca="1" si="34"/>
        <v>5.7526776137480043E-2</v>
      </c>
      <c r="H568" t="str">
        <f t="shared" ca="1" si="35"/>
        <v>overpriced</v>
      </c>
    </row>
    <row r="569" spans="1:8" x14ac:dyDescent="0.3">
      <c r="A569" t="s">
        <v>392</v>
      </c>
      <c r="B569" t="s">
        <v>393</v>
      </c>
      <c r="C569">
        <v>119.9</v>
      </c>
      <c r="D569">
        <v>15.72</v>
      </c>
      <c r="E569">
        <f t="shared" ca="1" si="32"/>
        <v>111.70455997524527</v>
      </c>
      <c r="F569">
        <f t="shared" ca="1" si="33"/>
        <v>8.1954400247547312</v>
      </c>
      <c r="G569">
        <f t="shared" ca="1" si="34"/>
        <v>7.3367103604104561E-2</v>
      </c>
      <c r="H569" t="str">
        <f t="shared" ca="1" si="35"/>
        <v>overpriced</v>
      </c>
    </row>
    <row r="570" spans="1:8" x14ac:dyDescent="0.3">
      <c r="A570" t="s">
        <v>804</v>
      </c>
      <c r="B570" t="s">
        <v>667</v>
      </c>
      <c r="C570">
        <v>30</v>
      </c>
      <c r="D570">
        <v>12.69</v>
      </c>
      <c r="E570">
        <f t="shared" ca="1" si="32"/>
        <v>29.070281265206745</v>
      </c>
      <c r="F570">
        <f t="shared" ca="1" si="33"/>
        <v>0.92971873479325495</v>
      </c>
      <c r="G570">
        <f t="shared" ca="1" si="34"/>
        <v>3.1981759182564379E-2</v>
      </c>
      <c r="H570" t="str">
        <f t="shared" ca="1" si="35"/>
        <v>competitive</v>
      </c>
    </row>
    <row r="571" spans="1:8" x14ac:dyDescent="0.3">
      <c r="A571" t="s">
        <v>804</v>
      </c>
      <c r="B571" t="s">
        <v>667</v>
      </c>
      <c r="C571">
        <v>30</v>
      </c>
      <c r="D571">
        <v>12.69</v>
      </c>
      <c r="E571">
        <f t="shared" ca="1" si="32"/>
        <v>32.724744111301952</v>
      </c>
      <c r="F571">
        <f t="shared" ca="1" si="33"/>
        <v>-2.7247441113019519</v>
      </c>
      <c r="G571">
        <f t="shared" ca="1" si="34"/>
        <v>-8.3262503200473403E-2</v>
      </c>
      <c r="H571" t="str">
        <f t="shared" ca="1" si="35"/>
        <v>underprived</v>
      </c>
    </row>
    <row r="572" spans="1:8" x14ac:dyDescent="0.3">
      <c r="A572" t="s">
        <v>805</v>
      </c>
      <c r="B572" t="s">
        <v>71</v>
      </c>
      <c r="C572">
        <v>14.4</v>
      </c>
      <c r="D572">
        <v>14.1</v>
      </c>
      <c r="E572">
        <f t="shared" ca="1" si="32"/>
        <v>13.211291178823716</v>
      </c>
      <c r="F572">
        <f t="shared" ca="1" si="33"/>
        <v>1.1887088211762844</v>
      </c>
      <c r="G572">
        <f t="shared" ca="1" si="34"/>
        <v>8.9976733166070647E-2</v>
      </c>
      <c r="H572" t="str">
        <f t="shared" ca="1" si="35"/>
        <v>overpriced</v>
      </c>
    </row>
    <row r="573" spans="1:8" x14ac:dyDescent="0.3">
      <c r="A573" t="s">
        <v>806</v>
      </c>
      <c r="B573" t="s">
        <v>807</v>
      </c>
      <c r="C573">
        <v>79.989999999999995</v>
      </c>
      <c r="D573">
        <v>14.31</v>
      </c>
      <c r="E573">
        <f t="shared" ca="1" si="32"/>
        <v>79.463770706817314</v>
      </c>
      <c r="F573">
        <f t="shared" ca="1" si="33"/>
        <v>0.52622929318268064</v>
      </c>
      <c r="G573">
        <f t="shared" ca="1" si="34"/>
        <v>6.6222542487218601E-3</v>
      </c>
      <c r="H573" t="str">
        <f t="shared" ca="1" si="35"/>
        <v>competitive</v>
      </c>
    </row>
    <row r="574" spans="1:8" x14ac:dyDescent="0.3">
      <c r="A574" t="s">
        <v>808</v>
      </c>
      <c r="B574" t="s">
        <v>598</v>
      </c>
      <c r="C574">
        <v>129.9</v>
      </c>
      <c r="D574">
        <v>18.34</v>
      </c>
      <c r="E574">
        <f t="shared" ca="1" si="32"/>
        <v>142.55771608785608</v>
      </c>
      <c r="F574">
        <f t="shared" ca="1" si="33"/>
        <v>-12.657716087856073</v>
      </c>
      <c r="G574">
        <f t="shared" ca="1" si="34"/>
        <v>-8.879011557715559E-2</v>
      </c>
      <c r="H574" t="str">
        <f t="shared" ca="1" si="35"/>
        <v>underprived</v>
      </c>
    </row>
    <row r="575" spans="1:8" x14ac:dyDescent="0.3">
      <c r="A575" t="s">
        <v>809</v>
      </c>
      <c r="B575" t="s">
        <v>45</v>
      </c>
      <c r="C575">
        <v>37.99</v>
      </c>
      <c r="D575">
        <v>7.78</v>
      </c>
      <c r="E575">
        <f t="shared" ca="1" si="32"/>
        <v>40.379607434458585</v>
      </c>
      <c r="F575">
        <f t="shared" ca="1" si="33"/>
        <v>-2.3896074344585827</v>
      </c>
      <c r="G575">
        <f t="shared" ca="1" si="34"/>
        <v>-5.9178570230957045E-2</v>
      </c>
      <c r="H575" t="str">
        <f t="shared" ca="1" si="35"/>
        <v>underprived</v>
      </c>
    </row>
    <row r="576" spans="1:8" x14ac:dyDescent="0.3">
      <c r="A576" t="s">
        <v>810</v>
      </c>
      <c r="B576" t="s">
        <v>558</v>
      </c>
      <c r="C576">
        <v>79</v>
      </c>
      <c r="D576">
        <v>15.3</v>
      </c>
      <c r="E576">
        <f t="shared" ca="1" si="32"/>
        <v>77.757016992752639</v>
      </c>
      <c r="F576">
        <f t="shared" ca="1" si="33"/>
        <v>1.2429830072473607</v>
      </c>
      <c r="G576">
        <f t="shared" ca="1" si="34"/>
        <v>1.59854770067017E-2</v>
      </c>
      <c r="H576" t="str">
        <f t="shared" ca="1" si="35"/>
        <v>competitive</v>
      </c>
    </row>
    <row r="577" spans="1:8" x14ac:dyDescent="0.3">
      <c r="A577" t="s">
        <v>811</v>
      </c>
      <c r="B577" t="s">
        <v>134</v>
      </c>
      <c r="C577">
        <v>219.9</v>
      </c>
      <c r="D577">
        <v>20.51</v>
      </c>
      <c r="E577">
        <f t="shared" ca="1" si="32"/>
        <v>198.19434166861379</v>
      </c>
      <c r="F577">
        <f t="shared" ca="1" si="33"/>
        <v>21.705658331386218</v>
      </c>
      <c r="G577">
        <f t="shared" ca="1" si="34"/>
        <v>0.10951704346675374</v>
      </c>
      <c r="H577" t="str">
        <f t="shared" ca="1" si="35"/>
        <v>overpriced</v>
      </c>
    </row>
    <row r="578" spans="1:8" x14ac:dyDescent="0.3">
      <c r="A578" t="s">
        <v>812</v>
      </c>
      <c r="B578" t="s">
        <v>229</v>
      </c>
      <c r="C578">
        <v>19.899999999999999</v>
      </c>
      <c r="D578">
        <v>12.69</v>
      </c>
      <c r="E578">
        <f t="shared" ca="1" si="32"/>
        <v>20.713033550100775</v>
      </c>
      <c r="F578">
        <f t="shared" ca="1" si="33"/>
        <v>-0.81303355010077638</v>
      </c>
      <c r="G578">
        <f t="shared" ca="1" si="34"/>
        <v>-3.9252268294463356E-2</v>
      </c>
      <c r="H578" t="str">
        <f t="shared" ca="1" si="35"/>
        <v>competitive</v>
      </c>
    </row>
    <row r="579" spans="1:8" x14ac:dyDescent="0.3">
      <c r="A579" t="s">
        <v>813</v>
      </c>
      <c r="B579" t="s">
        <v>364</v>
      </c>
      <c r="C579">
        <v>169</v>
      </c>
      <c r="D579">
        <v>20.09</v>
      </c>
      <c r="E579">
        <f t="shared" ref="E579:E642" ca="1" si="36">C579*(1+RAND()*0.2-0.1)</f>
        <v>172.43049424357213</v>
      </c>
      <c r="F579">
        <f t="shared" ref="F579:F642" ca="1" si="37">C579-E579</f>
        <v>-3.4304942435721273</v>
      </c>
      <c r="G579">
        <f t="shared" ref="G579:G642" ca="1" si="38">(C579-E579)/E579</f>
        <v>-1.9894939457322871E-2</v>
      </c>
      <c r="H579" t="str">
        <f t="shared" ref="H579:H642" ca="1" si="39">IF(E579="","competitive",IF(ABS(C579-E579)/E579&lt;=0.05,"competitive",IF(C579&gt;E579,"overpriced","underprived")))</f>
        <v>competitive</v>
      </c>
    </row>
    <row r="580" spans="1:8" x14ac:dyDescent="0.3">
      <c r="A580" t="s">
        <v>814</v>
      </c>
      <c r="B580" t="s">
        <v>364</v>
      </c>
      <c r="C580">
        <v>147.9</v>
      </c>
      <c r="D580">
        <v>16.71</v>
      </c>
      <c r="E580">
        <f t="shared" ca="1" si="36"/>
        <v>159.01173361438725</v>
      </c>
      <c r="F580">
        <f t="shared" ca="1" si="37"/>
        <v>-11.111733614387248</v>
      </c>
      <c r="G580">
        <f t="shared" ca="1" si="38"/>
        <v>-6.9879960187930856E-2</v>
      </c>
      <c r="H580" t="str">
        <f t="shared" ca="1" si="39"/>
        <v>underprived</v>
      </c>
    </row>
    <row r="581" spans="1:8" x14ac:dyDescent="0.3">
      <c r="A581" t="s">
        <v>815</v>
      </c>
      <c r="B581" t="s">
        <v>378</v>
      </c>
      <c r="C581">
        <v>211.05</v>
      </c>
      <c r="D581">
        <v>14.14</v>
      </c>
      <c r="E581">
        <f t="shared" ca="1" si="36"/>
        <v>198.12591391567594</v>
      </c>
      <c r="F581">
        <f t="shared" ca="1" si="37"/>
        <v>12.924086084324074</v>
      </c>
      <c r="G581">
        <f t="shared" ca="1" si="38"/>
        <v>6.5231679334106063E-2</v>
      </c>
      <c r="H581" t="str">
        <f t="shared" ca="1" si="39"/>
        <v>overpriced</v>
      </c>
    </row>
    <row r="582" spans="1:8" x14ac:dyDescent="0.3">
      <c r="A582" t="s">
        <v>816</v>
      </c>
      <c r="B582" t="s">
        <v>817</v>
      </c>
      <c r="C582">
        <v>610</v>
      </c>
      <c r="D582">
        <v>37.54</v>
      </c>
      <c r="E582">
        <f t="shared" ca="1" si="36"/>
        <v>560.43617094329772</v>
      </c>
      <c r="F582">
        <f t="shared" ca="1" si="37"/>
        <v>49.563829056702275</v>
      </c>
      <c r="G582">
        <f t="shared" ca="1" si="38"/>
        <v>8.8437955339818547E-2</v>
      </c>
      <c r="H582" t="str">
        <f t="shared" ca="1" si="39"/>
        <v>overpriced</v>
      </c>
    </row>
    <row r="583" spans="1:8" x14ac:dyDescent="0.3">
      <c r="A583" t="s">
        <v>818</v>
      </c>
      <c r="B583" t="s">
        <v>229</v>
      </c>
      <c r="C583">
        <v>129</v>
      </c>
      <c r="D583">
        <v>38.450000000000003</v>
      </c>
      <c r="E583">
        <f t="shared" ca="1" si="36"/>
        <v>124.81500553860248</v>
      </c>
      <c r="F583">
        <f t="shared" ca="1" si="37"/>
        <v>4.1849944613975225</v>
      </c>
      <c r="G583">
        <f t="shared" ca="1" si="38"/>
        <v>3.3529577980935935E-2</v>
      </c>
      <c r="H583" t="str">
        <f t="shared" ca="1" si="39"/>
        <v>competitive</v>
      </c>
    </row>
    <row r="584" spans="1:8" x14ac:dyDescent="0.3">
      <c r="A584" t="s">
        <v>819</v>
      </c>
      <c r="B584" t="s">
        <v>350</v>
      </c>
      <c r="C584">
        <v>16</v>
      </c>
      <c r="D584">
        <v>7.78</v>
      </c>
      <c r="E584">
        <f t="shared" ca="1" si="36"/>
        <v>15.679840404756712</v>
      </c>
      <c r="F584">
        <f t="shared" ca="1" si="37"/>
        <v>0.32015959524328785</v>
      </c>
      <c r="G584">
        <f t="shared" ca="1" si="38"/>
        <v>2.041854935884186E-2</v>
      </c>
      <c r="H584" t="str">
        <f t="shared" ca="1" si="39"/>
        <v>competitive</v>
      </c>
    </row>
    <row r="585" spans="1:8" x14ac:dyDescent="0.3">
      <c r="A585" t="s">
        <v>820</v>
      </c>
      <c r="B585" t="s">
        <v>821</v>
      </c>
      <c r="C585">
        <v>189</v>
      </c>
      <c r="D585">
        <v>53.11</v>
      </c>
      <c r="E585">
        <f t="shared" ca="1" si="36"/>
        <v>180.50137261293978</v>
      </c>
      <c r="F585">
        <f t="shared" ca="1" si="37"/>
        <v>8.4986273870602247</v>
      </c>
      <c r="G585">
        <f t="shared" ca="1" si="38"/>
        <v>4.7083450192283889E-2</v>
      </c>
      <c r="H585" t="str">
        <f t="shared" ca="1" si="39"/>
        <v>competitive</v>
      </c>
    </row>
    <row r="586" spans="1:8" x14ac:dyDescent="0.3">
      <c r="A586" t="s">
        <v>822</v>
      </c>
      <c r="B586" t="s">
        <v>823</v>
      </c>
      <c r="C586">
        <v>12.99</v>
      </c>
      <c r="D586">
        <v>18.23</v>
      </c>
      <c r="E586">
        <f t="shared" ca="1" si="36"/>
        <v>12.766075261846664</v>
      </c>
      <c r="F586">
        <f t="shared" ca="1" si="37"/>
        <v>0.22392473815333602</v>
      </c>
      <c r="G586">
        <f t="shared" ca="1" si="38"/>
        <v>1.754060927578649E-2</v>
      </c>
      <c r="H586" t="str">
        <f t="shared" ca="1" si="39"/>
        <v>competitive</v>
      </c>
    </row>
    <row r="587" spans="1:8" x14ac:dyDescent="0.3">
      <c r="A587" t="s">
        <v>824</v>
      </c>
      <c r="B587" t="s">
        <v>825</v>
      </c>
      <c r="C587">
        <v>109.9</v>
      </c>
      <c r="D587">
        <v>11.97</v>
      </c>
      <c r="E587">
        <f t="shared" ca="1" si="36"/>
        <v>107.83904227882263</v>
      </c>
      <c r="F587">
        <f t="shared" ca="1" si="37"/>
        <v>2.060957721177374</v>
      </c>
      <c r="G587">
        <f t="shared" ca="1" si="38"/>
        <v>1.9111424560398788E-2</v>
      </c>
      <c r="H587" t="str">
        <f t="shared" ca="1" si="39"/>
        <v>competitive</v>
      </c>
    </row>
    <row r="588" spans="1:8" x14ac:dyDescent="0.3">
      <c r="A588" t="s">
        <v>826</v>
      </c>
      <c r="B588" t="s">
        <v>49</v>
      </c>
      <c r="C588">
        <v>29</v>
      </c>
      <c r="D588">
        <v>15.3</v>
      </c>
      <c r="E588">
        <f t="shared" ca="1" si="36"/>
        <v>28.158446642891757</v>
      </c>
      <c r="F588">
        <f t="shared" ca="1" si="37"/>
        <v>0.84155335710824275</v>
      </c>
      <c r="G588">
        <f t="shared" ca="1" si="38"/>
        <v>2.9886355869729136E-2</v>
      </c>
      <c r="H588" t="str">
        <f t="shared" ca="1" si="39"/>
        <v>competitive</v>
      </c>
    </row>
    <row r="589" spans="1:8" x14ac:dyDescent="0.3">
      <c r="A589" t="s">
        <v>827</v>
      </c>
      <c r="B589" t="s">
        <v>825</v>
      </c>
      <c r="C589">
        <v>159.9</v>
      </c>
      <c r="D589">
        <v>8.3699999999999992</v>
      </c>
      <c r="E589">
        <f t="shared" ca="1" si="36"/>
        <v>162.82329588605222</v>
      </c>
      <c r="F589">
        <f t="shared" ca="1" si="37"/>
        <v>-2.923295886052216</v>
      </c>
      <c r="G589">
        <f t="shared" ca="1" si="38"/>
        <v>-1.7953793836098311E-2</v>
      </c>
      <c r="H589" t="str">
        <f t="shared" ca="1" si="39"/>
        <v>competitive</v>
      </c>
    </row>
    <row r="590" spans="1:8" x14ac:dyDescent="0.3">
      <c r="A590" t="s">
        <v>828</v>
      </c>
      <c r="B590" t="s">
        <v>747</v>
      </c>
      <c r="C590">
        <v>59.9</v>
      </c>
      <c r="D590">
        <v>9.26</v>
      </c>
      <c r="E590">
        <f t="shared" ca="1" si="36"/>
        <v>64.044119289709798</v>
      </c>
      <c r="F590">
        <f t="shared" ca="1" si="37"/>
        <v>-4.1441192897097991</v>
      </c>
      <c r="G590">
        <f t="shared" ca="1" si="38"/>
        <v>-6.4707257054523196E-2</v>
      </c>
      <c r="H590" t="str">
        <f t="shared" ca="1" si="39"/>
        <v>underprived</v>
      </c>
    </row>
    <row r="591" spans="1:8" x14ac:dyDescent="0.3">
      <c r="A591" t="s">
        <v>829</v>
      </c>
      <c r="B591" t="s">
        <v>227</v>
      </c>
      <c r="C591">
        <v>292.89999999999998</v>
      </c>
      <c r="D591">
        <v>26.54</v>
      </c>
      <c r="E591">
        <f t="shared" ca="1" si="36"/>
        <v>318.51061744641487</v>
      </c>
      <c r="F591">
        <f t="shared" ca="1" si="37"/>
        <v>-25.610617446414892</v>
      </c>
      <c r="G591">
        <f t="shared" ca="1" si="38"/>
        <v>-8.0407421428340717E-2</v>
      </c>
      <c r="H591" t="str">
        <f t="shared" ca="1" si="39"/>
        <v>underprived</v>
      </c>
    </row>
    <row r="592" spans="1:8" x14ac:dyDescent="0.3">
      <c r="A592" t="s">
        <v>830</v>
      </c>
      <c r="B592" t="s">
        <v>831</v>
      </c>
      <c r="C592">
        <v>143</v>
      </c>
      <c r="D592">
        <v>94.98</v>
      </c>
      <c r="E592">
        <f t="shared" ca="1" si="36"/>
        <v>136.96643644889983</v>
      </c>
      <c r="F592">
        <f t="shared" ca="1" si="37"/>
        <v>6.0335635511001726</v>
      </c>
      <c r="G592">
        <f t="shared" ca="1" si="38"/>
        <v>4.4051401989648804E-2</v>
      </c>
      <c r="H592" t="str">
        <f t="shared" ca="1" si="39"/>
        <v>competitive</v>
      </c>
    </row>
    <row r="593" spans="1:8" x14ac:dyDescent="0.3">
      <c r="A593" t="s">
        <v>830</v>
      </c>
      <c r="B593" t="s">
        <v>831</v>
      </c>
      <c r="C593">
        <v>143</v>
      </c>
      <c r="D593">
        <v>94.98</v>
      </c>
      <c r="E593">
        <f t="shared" ca="1" si="36"/>
        <v>146.59917463060026</v>
      </c>
      <c r="F593">
        <f t="shared" ca="1" si="37"/>
        <v>-3.5991746306002597</v>
      </c>
      <c r="G593">
        <f t="shared" ca="1" si="38"/>
        <v>-2.4551124790909901E-2</v>
      </c>
      <c r="H593" t="str">
        <f t="shared" ca="1" si="39"/>
        <v>competitive</v>
      </c>
    </row>
    <row r="594" spans="1:8" x14ac:dyDescent="0.3">
      <c r="A594" t="s">
        <v>399</v>
      </c>
      <c r="B594" t="s">
        <v>322</v>
      </c>
      <c r="C594">
        <v>52.9</v>
      </c>
      <c r="D594">
        <v>9.09</v>
      </c>
      <c r="E594">
        <f t="shared" ca="1" si="36"/>
        <v>57.549217195039567</v>
      </c>
      <c r="F594">
        <f t="shared" ca="1" si="37"/>
        <v>-4.6492171950395687</v>
      </c>
      <c r="G594">
        <f t="shared" ca="1" si="38"/>
        <v>-8.0786801656796581E-2</v>
      </c>
      <c r="H594" t="str">
        <f t="shared" ca="1" si="39"/>
        <v>underprived</v>
      </c>
    </row>
    <row r="595" spans="1:8" x14ac:dyDescent="0.3">
      <c r="A595" t="s">
        <v>832</v>
      </c>
      <c r="B595" t="s">
        <v>575</v>
      </c>
      <c r="C595">
        <v>99.9</v>
      </c>
      <c r="D595">
        <v>25.54</v>
      </c>
      <c r="E595">
        <f t="shared" ca="1" si="36"/>
        <v>93.630824846578079</v>
      </c>
      <c r="F595">
        <f t="shared" ca="1" si="37"/>
        <v>6.2691751534219264</v>
      </c>
      <c r="G595">
        <f t="shared" ca="1" si="38"/>
        <v>6.6956316615756545E-2</v>
      </c>
      <c r="H595" t="str">
        <f t="shared" ca="1" si="39"/>
        <v>overpriced</v>
      </c>
    </row>
    <row r="596" spans="1:8" x14ac:dyDescent="0.3">
      <c r="A596" t="s">
        <v>245</v>
      </c>
      <c r="B596" t="s">
        <v>246</v>
      </c>
      <c r="C596">
        <v>49</v>
      </c>
      <c r="D596">
        <v>34.15</v>
      </c>
      <c r="E596">
        <f t="shared" ca="1" si="36"/>
        <v>47.215627870191128</v>
      </c>
      <c r="F596">
        <f t="shared" ca="1" si="37"/>
        <v>1.7843721298088724</v>
      </c>
      <c r="G596">
        <f t="shared" ca="1" si="38"/>
        <v>3.7791981390454171E-2</v>
      </c>
      <c r="H596" t="str">
        <f t="shared" ca="1" si="39"/>
        <v>competitive</v>
      </c>
    </row>
    <row r="597" spans="1:8" x14ac:dyDescent="0.3">
      <c r="A597" t="s">
        <v>833</v>
      </c>
      <c r="B597" t="s">
        <v>313</v>
      </c>
      <c r="C597">
        <v>99.9</v>
      </c>
      <c r="D597">
        <v>24.9</v>
      </c>
      <c r="E597">
        <f t="shared" ca="1" si="36"/>
        <v>99.389515596597406</v>
      </c>
      <c r="F597">
        <f t="shared" ca="1" si="37"/>
        <v>0.51048440340260015</v>
      </c>
      <c r="G597">
        <f t="shared" ca="1" si="38"/>
        <v>5.1361997323194171E-3</v>
      </c>
      <c r="H597" t="str">
        <f t="shared" ca="1" si="39"/>
        <v>competitive</v>
      </c>
    </row>
    <row r="598" spans="1:8" x14ac:dyDescent="0.3">
      <c r="A598" t="s">
        <v>834</v>
      </c>
      <c r="B598" t="s">
        <v>667</v>
      </c>
      <c r="C598">
        <v>32.5</v>
      </c>
      <c r="D598">
        <v>15.1</v>
      </c>
      <c r="E598">
        <f t="shared" ca="1" si="36"/>
        <v>30.409920114011086</v>
      </c>
      <c r="F598">
        <f t="shared" ca="1" si="37"/>
        <v>2.0900798859889136</v>
      </c>
      <c r="G598">
        <f t="shared" ca="1" si="38"/>
        <v>6.8730199821403964E-2</v>
      </c>
      <c r="H598" t="str">
        <f t="shared" ca="1" si="39"/>
        <v>overpriced</v>
      </c>
    </row>
    <row r="599" spans="1:8" x14ac:dyDescent="0.3">
      <c r="A599" t="s">
        <v>835</v>
      </c>
      <c r="B599" t="s">
        <v>836</v>
      </c>
      <c r="C599">
        <v>15</v>
      </c>
      <c r="D599">
        <v>7.78</v>
      </c>
      <c r="E599">
        <f t="shared" ca="1" si="36"/>
        <v>15.806739215963709</v>
      </c>
      <c r="F599">
        <f t="shared" ca="1" si="37"/>
        <v>-0.80673921596370946</v>
      </c>
      <c r="G599">
        <f t="shared" ca="1" si="38"/>
        <v>-5.1037674813345361E-2</v>
      </c>
      <c r="H599" t="str">
        <f t="shared" ca="1" si="39"/>
        <v>underprived</v>
      </c>
    </row>
    <row r="600" spans="1:8" x14ac:dyDescent="0.3">
      <c r="A600" t="s">
        <v>837</v>
      </c>
      <c r="B600" t="s">
        <v>29</v>
      </c>
      <c r="C600">
        <v>230</v>
      </c>
      <c r="D600">
        <v>16.36</v>
      </c>
      <c r="E600">
        <f t="shared" ca="1" si="36"/>
        <v>237.5255343135556</v>
      </c>
      <c r="F600">
        <f t="shared" ca="1" si="37"/>
        <v>-7.5255343135555961</v>
      </c>
      <c r="G600">
        <f t="shared" ca="1" si="38"/>
        <v>-3.1683053930619508E-2</v>
      </c>
      <c r="H600" t="str">
        <f t="shared" ca="1" si="39"/>
        <v>competitive</v>
      </c>
    </row>
    <row r="601" spans="1:8" x14ac:dyDescent="0.3">
      <c r="A601" t="s">
        <v>838</v>
      </c>
      <c r="B601" t="s">
        <v>839</v>
      </c>
      <c r="C601">
        <v>79.989999999999995</v>
      </c>
      <c r="D601">
        <v>9.76</v>
      </c>
      <c r="E601">
        <f t="shared" ca="1" si="36"/>
        <v>82.684709774746267</v>
      </c>
      <c r="F601">
        <f t="shared" ca="1" si="37"/>
        <v>-2.694709774746272</v>
      </c>
      <c r="G601">
        <f t="shared" ca="1" si="38"/>
        <v>-3.2590182418095588E-2</v>
      </c>
      <c r="H601" t="str">
        <f t="shared" ca="1" si="39"/>
        <v>competitive</v>
      </c>
    </row>
    <row r="602" spans="1:8" x14ac:dyDescent="0.3">
      <c r="A602" t="s">
        <v>840</v>
      </c>
      <c r="B602" t="s">
        <v>841</v>
      </c>
      <c r="C602">
        <v>29.99</v>
      </c>
      <c r="D602">
        <v>7.78</v>
      </c>
      <c r="E602">
        <f t="shared" ca="1" si="36"/>
        <v>30.403369008733023</v>
      </c>
      <c r="F602">
        <f t="shared" ca="1" si="37"/>
        <v>-0.4133690087330244</v>
      </c>
      <c r="G602">
        <f t="shared" ca="1" si="38"/>
        <v>-1.3596157998618141E-2</v>
      </c>
      <c r="H602" t="str">
        <f t="shared" ca="1" si="39"/>
        <v>competitive</v>
      </c>
    </row>
    <row r="603" spans="1:8" x14ac:dyDescent="0.3">
      <c r="A603" t="s">
        <v>842</v>
      </c>
      <c r="B603" t="s">
        <v>622</v>
      </c>
      <c r="C603">
        <v>219.99</v>
      </c>
      <c r="D603">
        <v>15.14</v>
      </c>
      <c r="E603">
        <f t="shared" ca="1" si="36"/>
        <v>206.49052758732213</v>
      </c>
      <c r="F603">
        <f t="shared" ca="1" si="37"/>
        <v>13.499472412677875</v>
      </c>
      <c r="G603">
        <f t="shared" ca="1" si="38"/>
        <v>6.5375746628227899E-2</v>
      </c>
      <c r="H603" t="str">
        <f t="shared" ca="1" si="39"/>
        <v>overpriced</v>
      </c>
    </row>
    <row r="604" spans="1:8" x14ac:dyDescent="0.3">
      <c r="A604" t="s">
        <v>843</v>
      </c>
      <c r="B604" t="s">
        <v>25</v>
      </c>
      <c r="C604">
        <v>59.99</v>
      </c>
      <c r="D604">
        <v>7.78</v>
      </c>
      <c r="E604">
        <f t="shared" ca="1" si="36"/>
        <v>65.891525346249608</v>
      </c>
      <c r="F604">
        <f t="shared" ca="1" si="37"/>
        <v>-5.9015253462496062</v>
      </c>
      <c r="G604">
        <f t="shared" ca="1" si="38"/>
        <v>-8.9564254511305036E-2</v>
      </c>
      <c r="H604" t="str">
        <f t="shared" ca="1" si="39"/>
        <v>underprived</v>
      </c>
    </row>
    <row r="605" spans="1:8" x14ac:dyDescent="0.3">
      <c r="A605" t="s">
        <v>844</v>
      </c>
      <c r="B605" t="s">
        <v>845</v>
      </c>
      <c r="C605">
        <v>120</v>
      </c>
      <c r="D605">
        <v>7.87</v>
      </c>
      <c r="E605">
        <f t="shared" ca="1" si="36"/>
        <v>109.3531521922943</v>
      </c>
      <c r="F605">
        <f t="shared" ca="1" si="37"/>
        <v>10.646847807705697</v>
      </c>
      <c r="G605">
        <f t="shared" ca="1" si="38"/>
        <v>9.7362056733248326E-2</v>
      </c>
      <c r="H605" t="str">
        <f t="shared" ca="1" si="39"/>
        <v>overpriced</v>
      </c>
    </row>
    <row r="606" spans="1:8" x14ac:dyDescent="0.3">
      <c r="A606" t="s">
        <v>846</v>
      </c>
      <c r="B606" t="s">
        <v>73</v>
      </c>
      <c r="C606">
        <v>139</v>
      </c>
      <c r="D606">
        <v>23.55</v>
      </c>
      <c r="E606">
        <f t="shared" ca="1" si="36"/>
        <v>125.28166084991278</v>
      </c>
      <c r="F606">
        <f t="shared" ca="1" si="37"/>
        <v>13.718339150087218</v>
      </c>
      <c r="G606">
        <f t="shared" ca="1" si="38"/>
        <v>0.10949997834496913</v>
      </c>
      <c r="H606" t="str">
        <f t="shared" ca="1" si="39"/>
        <v>overpriced</v>
      </c>
    </row>
    <row r="607" spans="1:8" x14ac:dyDescent="0.3">
      <c r="A607" t="s">
        <v>847</v>
      </c>
      <c r="B607" t="s">
        <v>848</v>
      </c>
      <c r="C607">
        <v>149.9</v>
      </c>
      <c r="D607">
        <v>8.3000000000000007</v>
      </c>
      <c r="E607">
        <f t="shared" ca="1" si="36"/>
        <v>162.07144260397445</v>
      </c>
      <c r="F607">
        <f t="shared" ca="1" si="37"/>
        <v>-12.171442603974441</v>
      </c>
      <c r="G607">
        <f t="shared" ca="1" si="38"/>
        <v>-7.5099242706907099E-2</v>
      </c>
      <c r="H607" t="str">
        <f t="shared" ca="1" si="39"/>
        <v>underprived</v>
      </c>
    </row>
    <row r="608" spans="1:8" x14ac:dyDescent="0.3">
      <c r="A608" t="s">
        <v>849</v>
      </c>
      <c r="B608" t="s">
        <v>850</v>
      </c>
      <c r="C608">
        <v>139</v>
      </c>
      <c r="D608">
        <v>22.68</v>
      </c>
      <c r="E608">
        <f t="shared" ca="1" si="36"/>
        <v>132.33210099915436</v>
      </c>
      <c r="F608">
        <f t="shared" ca="1" si="37"/>
        <v>6.6678990008456367</v>
      </c>
      <c r="G608">
        <f t="shared" ca="1" si="38"/>
        <v>5.0387615329165268E-2</v>
      </c>
      <c r="H608" t="str">
        <f t="shared" ca="1" si="39"/>
        <v>overpriced</v>
      </c>
    </row>
    <row r="609" spans="1:8" x14ac:dyDescent="0.3">
      <c r="A609" t="s">
        <v>78</v>
      </c>
      <c r="B609" t="s">
        <v>79</v>
      </c>
      <c r="C609">
        <v>99.99</v>
      </c>
      <c r="D609">
        <v>12.09</v>
      </c>
      <c r="E609">
        <f t="shared" ca="1" si="36"/>
        <v>95.054811986147925</v>
      </c>
      <c r="F609">
        <f t="shared" ca="1" si="37"/>
        <v>4.9351880138520698</v>
      </c>
      <c r="G609">
        <f t="shared" ca="1" si="38"/>
        <v>5.1919391672367532E-2</v>
      </c>
      <c r="H609" t="str">
        <f t="shared" ca="1" si="39"/>
        <v>overpriced</v>
      </c>
    </row>
    <row r="610" spans="1:8" x14ac:dyDescent="0.3">
      <c r="A610" t="s">
        <v>851</v>
      </c>
      <c r="B610" t="s">
        <v>852</v>
      </c>
      <c r="C610">
        <v>299</v>
      </c>
      <c r="D610">
        <v>22.58</v>
      </c>
      <c r="E610">
        <f t="shared" ca="1" si="36"/>
        <v>281.46839669953414</v>
      </c>
      <c r="F610">
        <f t="shared" ca="1" si="37"/>
        <v>17.531603300465861</v>
      </c>
      <c r="G610">
        <f t="shared" ca="1" si="38"/>
        <v>6.2286222915394457E-2</v>
      </c>
      <c r="H610" t="str">
        <f t="shared" ca="1" si="39"/>
        <v>overpriced</v>
      </c>
    </row>
    <row r="611" spans="1:8" x14ac:dyDescent="0.3">
      <c r="A611" t="s">
        <v>851</v>
      </c>
      <c r="B611" t="s">
        <v>852</v>
      </c>
      <c r="C611">
        <v>299</v>
      </c>
      <c r="D611">
        <v>22.58</v>
      </c>
      <c r="E611">
        <f t="shared" ca="1" si="36"/>
        <v>308.149744984851</v>
      </c>
      <c r="F611">
        <f t="shared" ca="1" si="37"/>
        <v>-9.1497449848509973</v>
      </c>
      <c r="G611">
        <f t="shared" ca="1" si="38"/>
        <v>-2.9692528174251158E-2</v>
      </c>
      <c r="H611" t="str">
        <f t="shared" ca="1" si="39"/>
        <v>competitive</v>
      </c>
    </row>
    <row r="612" spans="1:8" x14ac:dyDescent="0.3">
      <c r="A612" t="s">
        <v>235</v>
      </c>
      <c r="B612" t="s">
        <v>79</v>
      </c>
      <c r="C612">
        <v>129.99</v>
      </c>
      <c r="D612">
        <v>17.649999999999999</v>
      </c>
      <c r="E612">
        <f t="shared" ca="1" si="36"/>
        <v>128.80931591423507</v>
      </c>
      <c r="F612">
        <f t="shared" ca="1" si="37"/>
        <v>1.1806840857649377</v>
      </c>
      <c r="G612">
        <f t="shared" ca="1" si="38"/>
        <v>9.1661389347884661E-3</v>
      </c>
      <c r="H612" t="str">
        <f t="shared" ca="1" si="39"/>
        <v>competitive</v>
      </c>
    </row>
    <row r="613" spans="1:8" x14ac:dyDescent="0.3">
      <c r="A613" t="s">
        <v>664</v>
      </c>
      <c r="B613" t="s">
        <v>665</v>
      </c>
      <c r="C613">
        <v>379</v>
      </c>
      <c r="D613">
        <v>36.96</v>
      </c>
      <c r="E613">
        <f t="shared" ca="1" si="36"/>
        <v>355.07764053417128</v>
      </c>
      <c r="F613">
        <f t="shared" ca="1" si="37"/>
        <v>23.92235946582872</v>
      </c>
      <c r="G613">
        <f t="shared" ca="1" si="38"/>
        <v>6.7372193388016297E-2</v>
      </c>
      <c r="H613" t="str">
        <f t="shared" ca="1" si="39"/>
        <v>overpriced</v>
      </c>
    </row>
    <row r="614" spans="1:8" x14ac:dyDescent="0.3">
      <c r="A614" t="s">
        <v>853</v>
      </c>
      <c r="B614" t="s">
        <v>49</v>
      </c>
      <c r="C614">
        <v>49</v>
      </c>
      <c r="D614">
        <v>11.85</v>
      </c>
      <c r="E614">
        <f t="shared" ca="1" si="36"/>
        <v>52.678393912966108</v>
      </c>
      <c r="F614">
        <f t="shared" ca="1" si="37"/>
        <v>-3.6783939129661078</v>
      </c>
      <c r="G614">
        <f t="shared" ca="1" si="38"/>
        <v>-6.9827373990244579E-2</v>
      </c>
      <c r="H614" t="str">
        <f t="shared" ca="1" si="39"/>
        <v>underprived</v>
      </c>
    </row>
    <row r="615" spans="1:8" x14ac:dyDescent="0.3">
      <c r="A615" t="s">
        <v>854</v>
      </c>
      <c r="B615" t="s">
        <v>304</v>
      </c>
      <c r="C615">
        <v>129.9</v>
      </c>
      <c r="D615">
        <v>16.670000000000002</v>
      </c>
      <c r="E615">
        <f t="shared" ca="1" si="36"/>
        <v>133.50897213759333</v>
      </c>
      <c r="F615">
        <f t="shared" ca="1" si="37"/>
        <v>-3.6089721375933266</v>
      </c>
      <c r="G615">
        <f t="shared" ca="1" si="38"/>
        <v>-2.7031682439094411E-2</v>
      </c>
      <c r="H615" t="str">
        <f t="shared" ca="1" si="39"/>
        <v>competitive</v>
      </c>
    </row>
    <row r="616" spans="1:8" x14ac:dyDescent="0.3">
      <c r="A616" t="s">
        <v>855</v>
      </c>
      <c r="B616" t="s">
        <v>225</v>
      </c>
      <c r="C616">
        <v>36.9</v>
      </c>
      <c r="D616">
        <v>34.15</v>
      </c>
      <c r="E616">
        <f t="shared" ca="1" si="36"/>
        <v>35.501217919656831</v>
      </c>
      <c r="F616">
        <f t="shared" ca="1" si="37"/>
        <v>1.3987820803431674</v>
      </c>
      <c r="G616">
        <f t="shared" ca="1" si="38"/>
        <v>3.9400960370113654E-2</v>
      </c>
      <c r="H616" t="str">
        <f t="shared" ca="1" si="39"/>
        <v>competitive</v>
      </c>
    </row>
    <row r="617" spans="1:8" x14ac:dyDescent="0.3">
      <c r="A617" t="s">
        <v>856</v>
      </c>
      <c r="B617" t="s">
        <v>857</v>
      </c>
      <c r="C617">
        <v>45</v>
      </c>
      <c r="D617">
        <v>17.190000000000001</v>
      </c>
      <c r="E617">
        <f t="shared" ca="1" si="36"/>
        <v>42.847855878899693</v>
      </c>
      <c r="F617">
        <f t="shared" ca="1" si="37"/>
        <v>2.1521441211003065</v>
      </c>
      <c r="G617">
        <f t="shared" ca="1" si="38"/>
        <v>5.0227580282730645E-2</v>
      </c>
      <c r="H617" t="str">
        <f t="shared" ca="1" si="39"/>
        <v>overpriced</v>
      </c>
    </row>
    <row r="618" spans="1:8" x14ac:dyDescent="0.3">
      <c r="A618" t="s">
        <v>858</v>
      </c>
      <c r="B618" t="s">
        <v>859</v>
      </c>
      <c r="C618">
        <v>45</v>
      </c>
      <c r="D618">
        <v>7.78</v>
      </c>
      <c r="E618">
        <f t="shared" ca="1" si="36"/>
        <v>43.366609913758758</v>
      </c>
      <c r="F618">
        <f t="shared" ca="1" si="37"/>
        <v>1.633390086241242</v>
      </c>
      <c r="G618">
        <f t="shared" ca="1" si="38"/>
        <v>3.7664693862155513E-2</v>
      </c>
      <c r="H618" t="str">
        <f t="shared" ca="1" si="39"/>
        <v>competitive</v>
      </c>
    </row>
    <row r="619" spans="1:8" x14ac:dyDescent="0.3">
      <c r="A619" t="s">
        <v>860</v>
      </c>
      <c r="B619" t="s">
        <v>109</v>
      </c>
      <c r="C619">
        <v>29.99</v>
      </c>
      <c r="D619">
        <v>7.78</v>
      </c>
      <c r="E619">
        <f t="shared" ca="1" si="36"/>
        <v>32.911910847918648</v>
      </c>
      <c r="F619">
        <f t="shared" ca="1" si="37"/>
        <v>-2.9219108479186495</v>
      </c>
      <c r="G619">
        <f t="shared" ca="1" si="38"/>
        <v>-8.8779738782728004E-2</v>
      </c>
      <c r="H619" t="str">
        <f t="shared" ca="1" si="39"/>
        <v>underprived</v>
      </c>
    </row>
    <row r="620" spans="1:8" x14ac:dyDescent="0.3">
      <c r="A620" t="s">
        <v>861</v>
      </c>
      <c r="B620" t="s">
        <v>538</v>
      </c>
      <c r="C620">
        <v>84.9</v>
      </c>
      <c r="D620">
        <v>18.52</v>
      </c>
      <c r="E620">
        <f t="shared" ca="1" si="36"/>
        <v>91.128035730426078</v>
      </c>
      <c r="F620">
        <f t="shared" ca="1" si="37"/>
        <v>-6.2280357304260718</v>
      </c>
      <c r="G620">
        <f t="shared" ca="1" si="38"/>
        <v>-6.8343794316490888E-2</v>
      </c>
      <c r="H620" t="str">
        <f t="shared" ca="1" si="39"/>
        <v>underprived</v>
      </c>
    </row>
    <row r="621" spans="1:8" x14ac:dyDescent="0.3">
      <c r="A621" t="s">
        <v>417</v>
      </c>
      <c r="B621" t="s">
        <v>111</v>
      </c>
      <c r="C621">
        <v>75</v>
      </c>
      <c r="D621">
        <v>20.02</v>
      </c>
      <c r="E621">
        <f t="shared" ca="1" si="36"/>
        <v>78.603993937469369</v>
      </c>
      <c r="F621">
        <f t="shared" ca="1" si="37"/>
        <v>-3.6039939374693688</v>
      </c>
      <c r="G621">
        <f t="shared" ca="1" si="38"/>
        <v>-4.5850010373981745E-2</v>
      </c>
      <c r="H621" t="str">
        <f t="shared" ca="1" si="39"/>
        <v>competitive</v>
      </c>
    </row>
    <row r="622" spans="1:8" x14ac:dyDescent="0.3">
      <c r="A622" t="s">
        <v>800</v>
      </c>
      <c r="B622" t="s">
        <v>801</v>
      </c>
      <c r="C622">
        <v>19</v>
      </c>
      <c r="D622">
        <v>18.23</v>
      </c>
      <c r="E622">
        <f t="shared" ca="1" si="36"/>
        <v>20.644204141241033</v>
      </c>
      <c r="F622">
        <f t="shared" ca="1" si="37"/>
        <v>-1.6442041412410333</v>
      </c>
      <c r="G622">
        <f t="shared" ca="1" si="38"/>
        <v>-7.9644830577721246E-2</v>
      </c>
      <c r="H622" t="str">
        <f t="shared" ca="1" si="39"/>
        <v>underprived</v>
      </c>
    </row>
    <row r="623" spans="1:8" x14ac:dyDescent="0.3">
      <c r="A623" t="s">
        <v>862</v>
      </c>
      <c r="B623" t="s">
        <v>194</v>
      </c>
      <c r="C623">
        <v>34.99</v>
      </c>
      <c r="D623">
        <v>7.78</v>
      </c>
      <c r="E623">
        <f t="shared" ca="1" si="36"/>
        <v>34.465585824240279</v>
      </c>
      <c r="F623">
        <f t="shared" ca="1" si="37"/>
        <v>0.52441417575972338</v>
      </c>
      <c r="G623">
        <f t="shared" ca="1" si="38"/>
        <v>1.5215588629017101E-2</v>
      </c>
      <c r="H623" t="str">
        <f t="shared" ca="1" si="39"/>
        <v>competitive</v>
      </c>
    </row>
    <row r="624" spans="1:8" x14ac:dyDescent="0.3">
      <c r="A624" t="s">
        <v>863</v>
      </c>
      <c r="B624" t="s">
        <v>864</v>
      </c>
      <c r="C624">
        <v>59.9</v>
      </c>
      <c r="D624">
        <v>21.26</v>
      </c>
      <c r="E624">
        <f t="shared" ca="1" si="36"/>
        <v>54.544635852017336</v>
      </c>
      <c r="F624">
        <f t="shared" ca="1" si="37"/>
        <v>5.3553641479826624</v>
      </c>
      <c r="G624">
        <f t="shared" ca="1" si="38"/>
        <v>9.8183149714521273E-2</v>
      </c>
      <c r="H624" t="str">
        <f t="shared" ca="1" si="39"/>
        <v>overpriced</v>
      </c>
    </row>
    <row r="625" spans="1:8" x14ac:dyDescent="0.3">
      <c r="A625" t="s">
        <v>865</v>
      </c>
      <c r="B625" t="s">
        <v>588</v>
      </c>
      <c r="C625">
        <v>85.9</v>
      </c>
      <c r="D625">
        <v>17.850000000000001</v>
      </c>
      <c r="E625">
        <f t="shared" ca="1" si="36"/>
        <v>84.849379809170841</v>
      </c>
      <c r="F625">
        <f t="shared" ca="1" si="37"/>
        <v>1.0506201908291644</v>
      </c>
      <c r="G625">
        <f t="shared" ca="1" si="38"/>
        <v>1.2382178787777177E-2</v>
      </c>
      <c r="H625" t="str">
        <f t="shared" ca="1" si="39"/>
        <v>competitive</v>
      </c>
    </row>
    <row r="626" spans="1:8" x14ac:dyDescent="0.3">
      <c r="A626" t="s">
        <v>866</v>
      </c>
      <c r="B626" t="s">
        <v>867</v>
      </c>
      <c r="C626">
        <v>64.900000000000006</v>
      </c>
      <c r="D626">
        <v>19.420000000000002</v>
      </c>
      <c r="E626">
        <f t="shared" ca="1" si="36"/>
        <v>63.687731739120281</v>
      </c>
      <c r="F626">
        <f t="shared" ca="1" si="37"/>
        <v>1.2122682608797248</v>
      </c>
      <c r="G626">
        <f t="shared" ca="1" si="38"/>
        <v>1.9034564864791492E-2</v>
      </c>
      <c r="H626" t="str">
        <f t="shared" ca="1" si="39"/>
        <v>competitive</v>
      </c>
    </row>
    <row r="627" spans="1:8" x14ac:dyDescent="0.3">
      <c r="A627" t="s">
        <v>868</v>
      </c>
      <c r="B627" t="s">
        <v>190</v>
      </c>
      <c r="C627">
        <v>219</v>
      </c>
      <c r="D627">
        <v>24.11</v>
      </c>
      <c r="E627">
        <f t="shared" ca="1" si="36"/>
        <v>197.7539713704281</v>
      </c>
      <c r="F627">
        <f t="shared" ca="1" si="37"/>
        <v>21.246028629571896</v>
      </c>
      <c r="G627">
        <f t="shared" ca="1" si="38"/>
        <v>0.10743667235776688</v>
      </c>
      <c r="H627" t="str">
        <f t="shared" ca="1" si="39"/>
        <v>overpriced</v>
      </c>
    </row>
    <row r="628" spans="1:8" x14ac:dyDescent="0.3">
      <c r="A628" t="s">
        <v>869</v>
      </c>
      <c r="B628" t="s">
        <v>638</v>
      </c>
      <c r="C628">
        <v>138</v>
      </c>
      <c r="D628">
        <v>25.81</v>
      </c>
      <c r="E628">
        <f t="shared" ca="1" si="36"/>
        <v>149.34608646569239</v>
      </c>
      <c r="F628">
        <f t="shared" ca="1" si="37"/>
        <v>-11.346086465692395</v>
      </c>
      <c r="G628">
        <f t="shared" ca="1" si="38"/>
        <v>-7.5971769560220809E-2</v>
      </c>
      <c r="H628" t="str">
        <f t="shared" ca="1" si="39"/>
        <v>underprived</v>
      </c>
    </row>
    <row r="629" spans="1:8" x14ac:dyDescent="0.3">
      <c r="A629" t="s">
        <v>870</v>
      </c>
      <c r="B629" t="s">
        <v>322</v>
      </c>
      <c r="C629">
        <v>30.9</v>
      </c>
      <c r="D629">
        <v>15.1</v>
      </c>
      <c r="E629">
        <f t="shared" ca="1" si="36"/>
        <v>33.470495764467941</v>
      </c>
      <c r="F629">
        <f t="shared" ca="1" si="37"/>
        <v>-2.5704957644679425</v>
      </c>
      <c r="G629">
        <f t="shared" ca="1" si="38"/>
        <v>-7.6798855402577096E-2</v>
      </c>
      <c r="H629" t="str">
        <f t="shared" ca="1" si="39"/>
        <v>underprived</v>
      </c>
    </row>
    <row r="630" spans="1:8" x14ac:dyDescent="0.3">
      <c r="A630" t="s">
        <v>871</v>
      </c>
      <c r="B630" t="s">
        <v>339</v>
      </c>
      <c r="C630">
        <v>31.9</v>
      </c>
      <c r="D630">
        <v>16.79</v>
      </c>
      <c r="E630">
        <f t="shared" ca="1" si="36"/>
        <v>31.523489629093817</v>
      </c>
      <c r="F630">
        <f t="shared" ca="1" si="37"/>
        <v>0.37651037090618189</v>
      </c>
      <c r="G630">
        <f t="shared" ca="1" si="38"/>
        <v>1.1943803663116379E-2</v>
      </c>
      <c r="H630" t="str">
        <f t="shared" ca="1" si="39"/>
        <v>competitive</v>
      </c>
    </row>
    <row r="631" spans="1:8" x14ac:dyDescent="0.3">
      <c r="A631" t="s">
        <v>872</v>
      </c>
      <c r="B631" t="s">
        <v>186</v>
      </c>
      <c r="C631">
        <v>71</v>
      </c>
      <c r="D631">
        <v>10.7</v>
      </c>
      <c r="E631">
        <f t="shared" ca="1" si="36"/>
        <v>65.121978529096367</v>
      </c>
      <c r="F631">
        <f t="shared" ca="1" si="37"/>
        <v>5.8780214709036329</v>
      </c>
      <c r="G631">
        <f t="shared" ca="1" si="38"/>
        <v>9.0261715071776341E-2</v>
      </c>
      <c r="H631" t="str">
        <f t="shared" ca="1" si="39"/>
        <v>overpriced</v>
      </c>
    </row>
    <row r="632" spans="1:8" x14ac:dyDescent="0.3">
      <c r="A632" t="s">
        <v>873</v>
      </c>
      <c r="B632" t="s">
        <v>874</v>
      </c>
      <c r="C632">
        <v>101</v>
      </c>
      <c r="D632">
        <v>26.75</v>
      </c>
      <c r="E632">
        <f t="shared" ca="1" si="36"/>
        <v>105.41636672828577</v>
      </c>
      <c r="F632">
        <f t="shared" ca="1" si="37"/>
        <v>-4.4163667282857659</v>
      </c>
      <c r="G632">
        <f t="shared" ca="1" si="38"/>
        <v>-4.1894507137293965E-2</v>
      </c>
      <c r="H632" t="str">
        <f t="shared" ca="1" si="39"/>
        <v>competitive</v>
      </c>
    </row>
    <row r="633" spans="1:8" x14ac:dyDescent="0.3">
      <c r="A633" t="s">
        <v>314</v>
      </c>
      <c r="B633" t="s">
        <v>315</v>
      </c>
      <c r="C633">
        <v>45.9</v>
      </c>
      <c r="D633">
        <v>7.78</v>
      </c>
      <c r="E633">
        <f t="shared" ca="1" si="36"/>
        <v>45.404652619727983</v>
      </c>
      <c r="F633">
        <f t="shared" ca="1" si="37"/>
        <v>0.49534738027201541</v>
      </c>
      <c r="G633">
        <f t="shared" ca="1" si="38"/>
        <v>1.0909617224046125E-2</v>
      </c>
      <c r="H633" t="str">
        <f t="shared" ca="1" si="39"/>
        <v>competitive</v>
      </c>
    </row>
    <row r="634" spans="1:8" x14ac:dyDescent="0.3">
      <c r="A634" t="s">
        <v>875</v>
      </c>
      <c r="B634" t="s">
        <v>876</v>
      </c>
      <c r="C634">
        <v>35</v>
      </c>
      <c r="D634">
        <v>16.11</v>
      </c>
      <c r="E634">
        <f t="shared" ca="1" si="36"/>
        <v>33.611396578548266</v>
      </c>
      <c r="F634">
        <f t="shared" ca="1" si="37"/>
        <v>1.3886034214517338</v>
      </c>
      <c r="G634">
        <f t="shared" ca="1" si="38"/>
        <v>4.1313469918056879E-2</v>
      </c>
      <c r="H634" t="str">
        <f t="shared" ca="1" si="39"/>
        <v>competitive</v>
      </c>
    </row>
    <row r="635" spans="1:8" x14ac:dyDescent="0.3">
      <c r="A635" t="s">
        <v>875</v>
      </c>
      <c r="B635" t="s">
        <v>876</v>
      </c>
      <c r="C635">
        <v>35</v>
      </c>
      <c r="D635">
        <v>16.11</v>
      </c>
      <c r="E635">
        <f t="shared" ca="1" si="36"/>
        <v>33.770146522467677</v>
      </c>
      <c r="F635">
        <f t="shared" ca="1" si="37"/>
        <v>1.2298534775323233</v>
      </c>
      <c r="G635">
        <f t="shared" ca="1" si="38"/>
        <v>3.6418363678525564E-2</v>
      </c>
      <c r="H635" t="str">
        <f t="shared" ca="1" si="39"/>
        <v>competitive</v>
      </c>
    </row>
    <row r="636" spans="1:8" x14ac:dyDescent="0.3">
      <c r="A636" t="s">
        <v>877</v>
      </c>
      <c r="B636" t="s">
        <v>29</v>
      </c>
      <c r="C636">
        <v>59.9</v>
      </c>
      <c r="D636">
        <v>15.17</v>
      </c>
      <c r="E636">
        <f t="shared" ca="1" si="36"/>
        <v>62.761293749311669</v>
      </c>
      <c r="F636">
        <f t="shared" ca="1" si="37"/>
        <v>-2.8612937493116704</v>
      </c>
      <c r="G636">
        <f t="shared" ca="1" si="38"/>
        <v>-4.5590101452346994E-2</v>
      </c>
      <c r="H636" t="str">
        <f t="shared" ca="1" si="39"/>
        <v>competitive</v>
      </c>
    </row>
    <row r="637" spans="1:8" x14ac:dyDescent="0.3">
      <c r="A637" t="s">
        <v>878</v>
      </c>
      <c r="B637" t="s">
        <v>101</v>
      </c>
      <c r="C637">
        <v>59.9</v>
      </c>
      <c r="D637">
        <v>9.34</v>
      </c>
      <c r="E637">
        <f t="shared" ca="1" si="36"/>
        <v>61.216317805395086</v>
      </c>
      <c r="F637">
        <f t="shared" ca="1" si="37"/>
        <v>-1.3163178053950872</v>
      </c>
      <c r="G637">
        <f t="shared" ca="1" si="38"/>
        <v>-2.1502727582858278E-2</v>
      </c>
      <c r="H637" t="str">
        <f t="shared" ca="1" si="39"/>
        <v>competitive</v>
      </c>
    </row>
    <row r="638" spans="1:8" x14ac:dyDescent="0.3">
      <c r="A638" t="s">
        <v>879</v>
      </c>
      <c r="B638" t="s">
        <v>880</v>
      </c>
      <c r="C638">
        <v>49.8</v>
      </c>
      <c r="D638">
        <v>7.39</v>
      </c>
      <c r="E638">
        <f t="shared" ca="1" si="36"/>
        <v>52.622220043349621</v>
      </c>
      <c r="F638">
        <f t="shared" ca="1" si="37"/>
        <v>-2.8222200433496241</v>
      </c>
      <c r="G638">
        <f t="shared" ca="1" si="38"/>
        <v>-5.363171757148804E-2</v>
      </c>
      <c r="H638" t="str">
        <f t="shared" ca="1" si="39"/>
        <v>underprived</v>
      </c>
    </row>
    <row r="639" spans="1:8" x14ac:dyDescent="0.3">
      <c r="A639" t="s">
        <v>879</v>
      </c>
      <c r="B639" t="s">
        <v>880</v>
      </c>
      <c r="C639">
        <v>49.8</v>
      </c>
      <c r="D639">
        <v>7.39</v>
      </c>
      <c r="E639">
        <f t="shared" ca="1" si="36"/>
        <v>46.30691540232371</v>
      </c>
      <c r="F639">
        <f t="shared" ca="1" si="37"/>
        <v>3.4930845976762868</v>
      </c>
      <c r="G639">
        <f t="shared" ca="1" si="38"/>
        <v>7.5433324965130402E-2</v>
      </c>
      <c r="H639" t="str">
        <f t="shared" ca="1" si="39"/>
        <v>overpriced</v>
      </c>
    </row>
    <row r="640" spans="1:8" x14ac:dyDescent="0.3">
      <c r="A640" t="s">
        <v>881</v>
      </c>
      <c r="B640" t="s">
        <v>882</v>
      </c>
      <c r="C640">
        <v>7.5</v>
      </c>
      <c r="D640">
        <v>7.39</v>
      </c>
      <c r="E640">
        <f t="shared" ca="1" si="36"/>
        <v>7.6532309432957373</v>
      </c>
      <c r="F640">
        <f t="shared" ca="1" si="37"/>
        <v>-0.15323094329573728</v>
      </c>
      <c r="G640">
        <f t="shared" ca="1" si="38"/>
        <v>-2.0021732576875683E-2</v>
      </c>
      <c r="H640" t="str">
        <f t="shared" ca="1" si="39"/>
        <v>competitive</v>
      </c>
    </row>
    <row r="641" spans="1:8" x14ac:dyDescent="0.3">
      <c r="A641" t="s">
        <v>881</v>
      </c>
      <c r="B641" t="s">
        <v>882</v>
      </c>
      <c r="C641">
        <v>7.5</v>
      </c>
      <c r="D641">
        <v>7.39</v>
      </c>
      <c r="E641">
        <f t="shared" ca="1" si="36"/>
        <v>7.7672370441153538</v>
      </c>
      <c r="F641">
        <f t="shared" ca="1" si="37"/>
        <v>-0.26723704411535376</v>
      </c>
      <c r="G641">
        <f t="shared" ca="1" si="38"/>
        <v>-3.4405676381129506E-2</v>
      </c>
      <c r="H641" t="str">
        <f t="shared" ca="1" si="39"/>
        <v>competitive</v>
      </c>
    </row>
    <row r="642" spans="1:8" x14ac:dyDescent="0.3">
      <c r="A642" t="s">
        <v>883</v>
      </c>
      <c r="B642" t="s">
        <v>29</v>
      </c>
      <c r="C642">
        <v>89.9</v>
      </c>
      <c r="D642">
        <v>15.33</v>
      </c>
      <c r="E642">
        <f t="shared" ca="1" si="36"/>
        <v>88.624965380422637</v>
      </c>
      <c r="F642">
        <f t="shared" ca="1" si="37"/>
        <v>1.2750346195773687</v>
      </c>
      <c r="G642">
        <f t="shared" ca="1" si="38"/>
        <v>1.4386856052403326E-2</v>
      </c>
      <c r="H642" t="str">
        <f t="shared" ca="1" si="39"/>
        <v>competitive</v>
      </c>
    </row>
    <row r="643" spans="1:8" x14ac:dyDescent="0.3">
      <c r="A643" t="s">
        <v>884</v>
      </c>
      <c r="B643" t="s">
        <v>29</v>
      </c>
      <c r="C643">
        <v>76.900000000000006</v>
      </c>
      <c r="D643">
        <v>15.34</v>
      </c>
      <c r="E643">
        <f t="shared" ref="E643:E706" ca="1" si="40">C643*(1+RAND()*0.2-0.1)</f>
        <v>72.665975455622927</v>
      </c>
      <c r="F643">
        <f t="shared" ref="F643:F706" ca="1" si="41">C643-E643</f>
        <v>4.2340245443770783</v>
      </c>
      <c r="G643">
        <f t="shared" ref="G643:G706" ca="1" si="42">(C643-E643)/E643</f>
        <v>5.826694705230779E-2</v>
      </c>
      <c r="H643" t="str">
        <f t="shared" ref="H643:H706" ca="1" si="43">IF(E643="","competitive",IF(ABS(C643-E643)/E643&lt;=0.05,"competitive",IF(C643&gt;E643,"overpriced","underprived")))</f>
        <v>overpriced</v>
      </c>
    </row>
    <row r="644" spans="1:8" x14ac:dyDescent="0.3">
      <c r="A644" t="s">
        <v>885</v>
      </c>
      <c r="B644" t="s">
        <v>109</v>
      </c>
      <c r="C644">
        <v>24.99</v>
      </c>
      <c r="D644">
        <v>15.28</v>
      </c>
      <c r="E644">
        <f t="shared" ca="1" si="40"/>
        <v>24.799772745662697</v>
      </c>
      <c r="F644">
        <f t="shared" ca="1" si="41"/>
        <v>0.19022725433730159</v>
      </c>
      <c r="G644">
        <f t="shared" ca="1" si="42"/>
        <v>7.6705240926278643E-3</v>
      </c>
      <c r="H644" t="str">
        <f t="shared" ca="1" si="43"/>
        <v>competitive</v>
      </c>
    </row>
    <row r="645" spans="1:8" x14ac:dyDescent="0.3">
      <c r="A645" t="s">
        <v>417</v>
      </c>
      <c r="B645" t="s">
        <v>111</v>
      </c>
      <c r="C645">
        <v>69.900000000000006</v>
      </c>
      <c r="D645">
        <v>17.399999999999999</v>
      </c>
      <c r="E645">
        <f t="shared" ca="1" si="40"/>
        <v>68.91662607942817</v>
      </c>
      <c r="F645">
        <f t="shared" ca="1" si="41"/>
        <v>0.98337392057183592</v>
      </c>
      <c r="G645">
        <f t="shared" ca="1" si="42"/>
        <v>1.4269037480715792E-2</v>
      </c>
      <c r="H645" t="str">
        <f t="shared" ca="1" si="43"/>
        <v>competitive</v>
      </c>
    </row>
    <row r="646" spans="1:8" x14ac:dyDescent="0.3">
      <c r="A646" t="s">
        <v>886</v>
      </c>
      <c r="B646" t="s">
        <v>841</v>
      </c>
      <c r="C646">
        <v>29.99</v>
      </c>
      <c r="D646">
        <v>34.15</v>
      </c>
      <c r="E646">
        <f t="shared" ca="1" si="40"/>
        <v>32.706433357936859</v>
      </c>
      <c r="F646">
        <f t="shared" ca="1" si="41"/>
        <v>-2.7164333579368609</v>
      </c>
      <c r="G646">
        <f t="shared" ca="1" si="42"/>
        <v>-8.3055016369666765E-2</v>
      </c>
      <c r="H646" t="str">
        <f t="shared" ca="1" si="43"/>
        <v>underprived</v>
      </c>
    </row>
    <row r="647" spans="1:8" x14ac:dyDescent="0.3">
      <c r="A647" t="s">
        <v>887</v>
      </c>
      <c r="B647" t="s">
        <v>190</v>
      </c>
      <c r="C647">
        <v>234.9</v>
      </c>
      <c r="D647">
        <v>16.39</v>
      </c>
      <c r="E647">
        <f t="shared" ca="1" si="40"/>
        <v>224.42038018984891</v>
      </c>
      <c r="F647">
        <f t="shared" ca="1" si="41"/>
        <v>10.479619810151092</v>
      </c>
      <c r="G647">
        <f t="shared" ca="1" si="42"/>
        <v>4.66963820366307E-2</v>
      </c>
      <c r="H647" t="str">
        <f t="shared" ca="1" si="43"/>
        <v>competitive</v>
      </c>
    </row>
    <row r="648" spans="1:8" x14ac:dyDescent="0.3">
      <c r="A648" t="s">
        <v>888</v>
      </c>
      <c r="B648" t="s">
        <v>889</v>
      </c>
      <c r="C648">
        <v>159.9</v>
      </c>
      <c r="D648">
        <v>25.96</v>
      </c>
      <c r="E648">
        <f t="shared" ca="1" si="40"/>
        <v>158.14319586874291</v>
      </c>
      <c r="F648">
        <f t="shared" ca="1" si="41"/>
        <v>1.7568041312570983</v>
      </c>
      <c r="G648">
        <f t="shared" ca="1" si="42"/>
        <v>1.1108945418778727E-2</v>
      </c>
      <c r="H648" t="str">
        <f t="shared" ca="1" si="43"/>
        <v>competitive</v>
      </c>
    </row>
    <row r="649" spans="1:8" x14ac:dyDescent="0.3">
      <c r="A649" t="s">
        <v>30</v>
      </c>
      <c r="B649" t="s">
        <v>31</v>
      </c>
      <c r="C649">
        <v>49.9</v>
      </c>
      <c r="D649">
        <v>17.600000000000001</v>
      </c>
      <c r="E649">
        <f t="shared" ca="1" si="40"/>
        <v>48.167127443033891</v>
      </c>
      <c r="F649">
        <f t="shared" ca="1" si="41"/>
        <v>1.7328725569661074</v>
      </c>
      <c r="G649">
        <f t="shared" ca="1" si="42"/>
        <v>3.5976248718911759E-2</v>
      </c>
      <c r="H649" t="str">
        <f t="shared" ca="1" si="43"/>
        <v>competitive</v>
      </c>
    </row>
    <row r="650" spans="1:8" x14ac:dyDescent="0.3">
      <c r="A650" t="s">
        <v>890</v>
      </c>
      <c r="B650" t="s">
        <v>747</v>
      </c>
      <c r="C650">
        <v>24.9</v>
      </c>
      <c r="D650">
        <v>9.09</v>
      </c>
      <c r="E650">
        <f t="shared" ca="1" si="40"/>
        <v>24.374611712032376</v>
      </c>
      <c r="F650">
        <f t="shared" ca="1" si="41"/>
        <v>0.5253882879676226</v>
      </c>
      <c r="G650">
        <f t="shared" ca="1" si="42"/>
        <v>2.1554734663045645E-2</v>
      </c>
      <c r="H650" t="str">
        <f t="shared" ca="1" si="43"/>
        <v>competitive</v>
      </c>
    </row>
    <row r="651" spans="1:8" x14ac:dyDescent="0.3">
      <c r="A651" t="s">
        <v>891</v>
      </c>
      <c r="B651" t="s">
        <v>747</v>
      </c>
      <c r="C651">
        <v>24.9</v>
      </c>
      <c r="D651">
        <v>9.09</v>
      </c>
      <c r="E651">
        <f t="shared" ca="1" si="40"/>
        <v>25.72781217571022</v>
      </c>
      <c r="F651">
        <f t="shared" ca="1" si="41"/>
        <v>-0.82781217571022125</v>
      </c>
      <c r="G651">
        <f t="shared" ca="1" si="42"/>
        <v>-3.2175770331989741E-2</v>
      </c>
      <c r="H651" t="str">
        <f t="shared" ca="1" si="43"/>
        <v>competitive</v>
      </c>
    </row>
    <row r="652" spans="1:8" x14ac:dyDescent="0.3">
      <c r="A652" t="s">
        <v>892</v>
      </c>
      <c r="B652" t="s">
        <v>401</v>
      </c>
      <c r="C652">
        <v>162</v>
      </c>
      <c r="D652">
        <v>11.74</v>
      </c>
      <c r="E652">
        <f t="shared" ca="1" si="40"/>
        <v>166.36053996600731</v>
      </c>
      <c r="F652">
        <f t="shared" ca="1" si="41"/>
        <v>-4.360539966007309</v>
      </c>
      <c r="G652">
        <f t="shared" ca="1" si="42"/>
        <v>-2.6211383822740082E-2</v>
      </c>
      <c r="H652" t="str">
        <f t="shared" ca="1" si="43"/>
        <v>competitive</v>
      </c>
    </row>
    <row r="653" spans="1:8" x14ac:dyDescent="0.3">
      <c r="A653" t="s">
        <v>893</v>
      </c>
      <c r="B653" t="s">
        <v>894</v>
      </c>
      <c r="C653">
        <v>43.9</v>
      </c>
      <c r="D653">
        <v>18.41</v>
      </c>
      <c r="E653">
        <f t="shared" ca="1" si="40"/>
        <v>45.742808094712586</v>
      </c>
      <c r="F653">
        <f t="shared" ca="1" si="41"/>
        <v>-1.8428080947125878</v>
      </c>
      <c r="G653">
        <f t="shared" ca="1" si="42"/>
        <v>-4.028629136403189E-2</v>
      </c>
      <c r="H653" t="str">
        <f t="shared" ca="1" si="43"/>
        <v>competitive</v>
      </c>
    </row>
    <row r="654" spans="1:8" x14ac:dyDescent="0.3">
      <c r="A654" t="s">
        <v>895</v>
      </c>
      <c r="B654" t="s">
        <v>29</v>
      </c>
      <c r="C654">
        <v>189</v>
      </c>
      <c r="D654">
        <v>23.25</v>
      </c>
      <c r="E654">
        <f t="shared" ca="1" si="40"/>
        <v>202.13853124402752</v>
      </c>
      <c r="F654">
        <f t="shared" ca="1" si="41"/>
        <v>-13.138531244027519</v>
      </c>
      <c r="G654">
        <f t="shared" ca="1" si="42"/>
        <v>-6.4997658601596855E-2</v>
      </c>
      <c r="H654" t="str">
        <f t="shared" ca="1" si="43"/>
        <v>underprived</v>
      </c>
    </row>
    <row r="655" spans="1:8" x14ac:dyDescent="0.3">
      <c r="A655" t="s">
        <v>896</v>
      </c>
      <c r="B655" t="s">
        <v>867</v>
      </c>
      <c r="C655">
        <v>14.9</v>
      </c>
      <c r="D655">
        <v>15.1</v>
      </c>
      <c r="E655">
        <f t="shared" ca="1" si="40"/>
        <v>15.487357298829588</v>
      </c>
      <c r="F655">
        <f t="shared" ca="1" si="41"/>
        <v>-0.58735729882958765</v>
      </c>
      <c r="G655">
        <f t="shared" ca="1" si="42"/>
        <v>-3.792495307601481E-2</v>
      </c>
      <c r="H655" t="str">
        <f t="shared" ca="1" si="43"/>
        <v>competitive</v>
      </c>
    </row>
    <row r="656" spans="1:8" x14ac:dyDescent="0.3">
      <c r="A656" t="s">
        <v>897</v>
      </c>
      <c r="B656" t="s">
        <v>25</v>
      </c>
      <c r="C656">
        <v>56.99</v>
      </c>
      <c r="D656">
        <v>15.15</v>
      </c>
      <c r="E656">
        <f t="shared" ca="1" si="40"/>
        <v>52.891022094068646</v>
      </c>
      <c r="F656">
        <f t="shared" ca="1" si="41"/>
        <v>4.0989779059313562</v>
      </c>
      <c r="G656">
        <f t="shared" ca="1" si="42"/>
        <v>7.7498557290898482E-2</v>
      </c>
      <c r="H656" t="str">
        <f t="shared" ca="1" si="43"/>
        <v>overpriced</v>
      </c>
    </row>
    <row r="657" spans="1:8" x14ac:dyDescent="0.3">
      <c r="A657" t="s">
        <v>898</v>
      </c>
      <c r="B657" t="s">
        <v>155</v>
      </c>
      <c r="C657">
        <v>75</v>
      </c>
      <c r="D657">
        <v>16.16</v>
      </c>
      <c r="E657">
        <f t="shared" ca="1" si="40"/>
        <v>72.59436858704467</v>
      </c>
      <c r="F657">
        <f t="shared" ca="1" si="41"/>
        <v>2.40563141295533</v>
      </c>
      <c r="G657">
        <f t="shared" ca="1" si="42"/>
        <v>3.3137989347904372E-2</v>
      </c>
      <c r="H657" t="str">
        <f t="shared" ca="1" si="43"/>
        <v>competitive</v>
      </c>
    </row>
    <row r="658" spans="1:8" x14ac:dyDescent="0.3">
      <c r="A658" t="s">
        <v>899</v>
      </c>
      <c r="B658" t="s">
        <v>401</v>
      </c>
      <c r="C658">
        <v>39.49</v>
      </c>
      <c r="D658">
        <v>8.27</v>
      </c>
      <c r="E658">
        <f t="shared" ca="1" si="40"/>
        <v>40.902630651933933</v>
      </c>
      <c r="F658">
        <f t="shared" ca="1" si="41"/>
        <v>-1.4126306519339309</v>
      </c>
      <c r="G658">
        <f t="shared" ca="1" si="42"/>
        <v>-3.4536425394124125E-2</v>
      </c>
      <c r="H658" t="str">
        <f t="shared" ca="1" si="43"/>
        <v>competitive</v>
      </c>
    </row>
    <row r="659" spans="1:8" x14ac:dyDescent="0.3">
      <c r="A659" t="s">
        <v>899</v>
      </c>
      <c r="B659" t="s">
        <v>401</v>
      </c>
      <c r="C659">
        <v>39.49</v>
      </c>
      <c r="D659">
        <v>8.27</v>
      </c>
      <c r="E659">
        <f t="shared" ca="1" si="40"/>
        <v>37.919359993562686</v>
      </c>
      <c r="F659">
        <f t="shared" ca="1" si="41"/>
        <v>1.5706400064373156</v>
      </c>
      <c r="G659">
        <f t="shared" ca="1" si="42"/>
        <v>4.1420530481103918E-2</v>
      </c>
      <c r="H659" t="str">
        <f t="shared" ca="1" si="43"/>
        <v>competitive</v>
      </c>
    </row>
    <row r="660" spans="1:8" x14ac:dyDescent="0.3">
      <c r="A660" t="s">
        <v>900</v>
      </c>
      <c r="B660" t="s">
        <v>57</v>
      </c>
      <c r="C660">
        <v>44.9</v>
      </c>
      <c r="D660">
        <v>15.11</v>
      </c>
      <c r="E660">
        <f t="shared" ca="1" si="40"/>
        <v>46.067540492206525</v>
      </c>
      <c r="F660">
        <f t="shared" ca="1" si="41"/>
        <v>-1.1675404922065269</v>
      </c>
      <c r="G660">
        <f t="shared" ca="1" si="42"/>
        <v>-2.5344103022040987E-2</v>
      </c>
      <c r="H660" t="str">
        <f t="shared" ca="1" si="43"/>
        <v>competitive</v>
      </c>
    </row>
    <row r="661" spans="1:8" x14ac:dyDescent="0.3">
      <c r="A661" t="s">
        <v>901</v>
      </c>
      <c r="B661" t="s">
        <v>267</v>
      </c>
      <c r="C661">
        <v>29.9</v>
      </c>
      <c r="D661">
        <v>18.309999999999999</v>
      </c>
      <c r="E661">
        <f t="shared" ca="1" si="40"/>
        <v>27.829047402208605</v>
      </c>
      <c r="F661">
        <f t="shared" ca="1" si="41"/>
        <v>2.0709525977913934</v>
      </c>
      <c r="G661">
        <f t="shared" ca="1" si="42"/>
        <v>7.4416941689029417E-2</v>
      </c>
      <c r="H661" t="str">
        <f t="shared" ca="1" si="43"/>
        <v>overpriced</v>
      </c>
    </row>
    <row r="662" spans="1:8" x14ac:dyDescent="0.3">
      <c r="A662" t="s">
        <v>902</v>
      </c>
      <c r="B662" t="s">
        <v>5</v>
      </c>
      <c r="C662">
        <v>55.9</v>
      </c>
      <c r="D662">
        <v>9.94</v>
      </c>
      <c r="E662">
        <f t="shared" ca="1" si="40"/>
        <v>54.23725986183819</v>
      </c>
      <c r="F662">
        <f t="shared" ca="1" si="41"/>
        <v>1.6627401381618085</v>
      </c>
      <c r="G662">
        <f t="shared" ca="1" si="42"/>
        <v>3.0656787278660568E-2</v>
      </c>
      <c r="H662" t="str">
        <f t="shared" ca="1" si="43"/>
        <v>competitive</v>
      </c>
    </row>
    <row r="663" spans="1:8" x14ac:dyDescent="0.3">
      <c r="A663" t="s">
        <v>903</v>
      </c>
      <c r="B663" t="s">
        <v>904</v>
      </c>
      <c r="C663">
        <v>66</v>
      </c>
      <c r="D663">
        <v>43.4</v>
      </c>
      <c r="E663">
        <f t="shared" ca="1" si="40"/>
        <v>68.622550063020384</v>
      </c>
      <c r="F663">
        <f t="shared" ca="1" si="41"/>
        <v>-2.622550063020384</v>
      </c>
      <c r="G663">
        <f t="shared" ca="1" si="42"/>
        <v>-3.8217030125110941E-2</v>
      </c>
      <c r="H663" t="str">
        <f t="shared" ca="1" si="43"/>
        <v>competitive</v>
      </c>
    </row>
    <row r="664" spans="1:8" x14ac:dyDescent="0.3">
      <c r="A664" t="s">
        <v>905</v>
      </c>
      <c r="B664" t="s">
        <v>906</v>
      </c>
      <c r="C664">
        <v>139.9</v>
      </c>
      <c r="D664">
        <v>9.09</v>
      </c>
      <c r="E664">
        <f t="shared" ca="1" si="40"/>
        <v>139.71582455735165</v>
      </c>
      <c r="F664">
        <f t="shared" ca="1" si="41"/>
        <v>0.18417544264835328</v>
      </c>
      <c r="G664">
        <f t="shared" ca="1" si="42"/>
        <v>1.3182146205117339E-3</v>
      </c>
      <c r="H664" t="str">
        <f t="shared" ca="1" si="43"/>
        <v>competitive</v>
      </c>
    </row>
    <row r="665" spans="1:8" x14ac:dyDescent="0.3">
      <c r="A665" t="s">
        <v>907</v>
      </c>
      <c r="B665" t="s">
        <v>906</v>
      </c>
      <c r="C665">
        <v>139.9</v>
      </c>
      <c r="D665">
        <v>29.07</v>
      </c>
      <c r="E665">
        <f t="shared" ca="1" si="40"/>
        <v>145.13965777547568</v>
      </c>
      <c r="F665">
        <f t="shared" ca="1" si="41"/>
        <v>-5.2396577754756777</v>
      </c>
      <c r="G665">
        <f t="shared" ca="1" si="42"/>
        <v>-3.6100800124395947E-2</v>
      </c>
      <c r="H665" t="str">
        <f t="shared" ca="1" si="43"/>
        <v>competitive</v>
      </c>
    </row>
    <row r="666" spans="1:8" x14ac:dyDescent="0.3">
      <c r="A666" t="s">
        <v>908</v>
      </c>
      <c r="B666" t="s">
        <v>909</v>
      </c>
      <c r="C666">
        <v>56.8</v>
      </c>
      <c r="D666">
        <v>18.28</v>
      </c>
      <c r="E666">
        <f t="shared" ca="1" si="40"/>
        <v>51.99637316614924</v>
      </c>
      <c r="F666">
        <f t="shared" ca="1" si="41"/>
        <v>4.8036268338507568</v>
      </c>
      <c r="G666">
        <f t="shared" ca="1" si="42"/>
        <v>9.2383882593142508E-2</v>
      </c>
      <c r="H666" t="str">
        <f t="shared" ca="1" si="43"/>
        <v>overpriced</v>
      </c>
    </row>
    <row r="667" spans="1:8" x14ac:dyDescent="0.3">
      <c r="A667" t="s">
        <v>910</v>
      </c>
      <c r="B667" t="s">
        <v>911</v>
      </c>
      <c r="C667">
        <v>190.9</v>
      </c>
      <c r="D667">
        <v>17.100000000000001</v>
      </c>
      <c r="E667">
        <f t="shared" ca="1" si="40"/>
        <v>172.88086184010089</v>
      </c>
      <c r="F667">
        <f t="shared" ca="1" si="41"/>
        <v>18.019138159899114</v>
      </c>
      <c r="G667">
        <f t="shared" ca="1" si="42"/>
        <v>0.10422864606358327</v>
      </c>
      <c r="H667" t="str">
        <f t="shared" ca="1" si="43"/>
        <v>overpriced</v>
      </c>
    </row>
    <row r="668" spans="1:8" x14ac:dyDescent="0.3">
      <c r="A668" t="s">
        <v>912</v>
      </c>
      <c r="B668" t="s">
        <v>913</v>
      </c>
      <c r="C668">
        <v>89</v>
      </c>
      <c r="D668">
        <v>25.65</v>
      </c>
      <c r="E668">
        <f t="shared" ca="1" si="40"/>
        <v>97.39655196497668</v>
      </c>
      <c r="F668">
        <f t="shared" ca="1" si="41"/>
        <v>-8.3965519649766804</v>
      </c>
      <c r="G668">
        <f t="shared" ca="1" si="42"/>
        <v>-8.6209950923067991E-2</v>
      </c>
      <c r="H668" t="str">
        <f t="shared" ca="1" si="43"/>
        <v>underprived</v>
      </c>
    </row>
    <row r="669" spans="1:8" x14ac:dyDescent="0.3">
      <c r="A669" t="s">
        <v>914</v>
      </c>
      <c r="B669" t="s">
        <v>915</v>
      </c>
      <c r="C669">
        <v>129.9</v>
      </c>
      <c r="D669">
        <v>38.46</v>
      </c>
      <c r="E669">
        <f t="shared" ca="1" si="40"/>
        <v>128.15583985045305</v>
      </c>
      <c r="F669">
        <f t="shared" ca="1" si="41"/>
        <v>1.744160149546957</v>
      </c>
      <c r="G669">
        <f t="shared" ca="1" si="42"/>
        <v>1.3609681397135264E-2</v>
      </c>
      <c r="H669" t="str">
        <f t="shared" ca="1" si="43"/>
        <v>competitive</v>
      </c>
    </row>
    <row r="670" spans="1:8" x14ac:dyDescent="0.3">
      <c r="A670" t="s">
        <v>916</v>
      </c>
      <c r="B670" t="s">
        <v>917</v>
      </c>
      <c r="C670">
        <v>139.9</v>
      </c>
      <c r="D670">
        <v>27.96</v>
      </c>
      <c r="E670">
        <f t="shared" ca="1" si="40"/>
        <v>141.65873019884495</v>
      </c>
      <c r="F670">
        <f t="shared" ca="1" si="41"/>
        <v>-1.758730198844944</v>
      </c>
      <c r="G670">
        <f t="shared" ca="1" si="42"/>
        <v>-1.2415261638843099E-2</v>
      </c>
      <c r="H670" t="str">
        <f t="shared" ca="1" si="43"/>
        <v>competitive</v>
      </c>
    </row>
    <row r="671" spans="1:8" x14ac:dyDescent="0.3">
      <c r="A671" t="s">
        <v>170</v>
      </c>
      <c r="B671" t="s">
        <v>5</v>
      </c>
      <c r="C671">
        <v>132.9</v>
      </c>
      <c r="D671">
        <v>20.170000000000002</v>
      </c>
      <c r="E671">
        <f t="shared" ca="1" si="40"/>
        <v>129.19775774272028</v>
      </c>
      <c r="F671">
        <f t="shared" ca="1" si="41"/>
        <v>3.7022422572797211</v>
      </c>
      <c r="G671">
        <f t="shared" ca="1" si="42"/>
        <v>2.8655623146744014E-2</v>
      </c>
      <c r="H671" t="str">
        <f t="shared" ca="1" si="43"/>
        <v>competitive</v>
      </c>
    </row>
    <row r="672" spans="1:8" x14ac:dyDescent="0.3">
      <c r="A672" t="s">
        <v>918</v>
      </c>
      <c r="B672" t="s">
        <v>919</v>
      </c>
      <c r="C672">
        <v>359.98</v>
      </c>
      <c r="D672">
        <v>85.59</v>
      </c>
      <c r="E672">
        <f t="shared" ca="1" si="40"/>
        <v>334.23335198002047</v>
      </c>
      <c r="F672">
        <f t="shared" ca="1" si="41"/>
        <v>25.746648019979546</v>
      </c>
      <c r="G672">
        <f t="shared" ca="1" si="42"/>
        <v>7.7031953476380199E-2</v>
      </c>
      <c r="H672" t="str">
        <f t="shared" ca="1" si="43"/>
        <v>overpriced</v>
      </c>
    </row>
    <row r="673" spans="1:8" x14ac:dyDescent="0.3">
      <c r="A673" t="s">
        <v>918</v>
      </c>
      <c r="B673" t="s">
        <v>919</v>
      </c>
      <c r="C673">
        <v>359.98</v>
      </c>
      <c r="D673">
        <v>85.59</v>
      </c>
      <c r="E673">
        <f t="shared" ca="1" si="40"/>
        <v>334.7124609788799</v>
      </c>
      <c r="F673">
        <f t="shared" ca="1" si="41"/>
        <v>25.267539021120115</v>
      </c>
      <c r="G673">
        <f t="shared" ca="1" si="42"/>
        <v>7.5490284846952485E-2</v>
      </c>
      <c r="H673" t="str">
        <f t="shared" ca="1" si="43"/>
        <v>overpriced</v>
      </c>
    </row>
    <row r="674" spans="1:8" x14ac:dyDescent="0.3">
      <c r="A674" t="s">
        <v>920</v>
      </c>
      <c r="B674" t="s">
        <v>428</v>
      </c>
      <c r="C674">
        <v>209.99</v>
      </c>
      <c r="D674">
        <v>57.94</v>
      </c>
      <c r="E674">
        <f t="shared" ca="1" si="40"/>
        <v>194.94435392992077</v>
      </c>
      <c r="F674">
        <f t="shared" ca="1" si="41"/>
        <v>15.045646070079243</v>
      </c>
      <c r="G674">
        <f t="shared" ca="1" si="42"/>
        <v>7.7179183529921064E-2</v>
      </c>
      <c r="H674" t="str">
        <f t="shared" ca="1" si="43"/>
        <v>overpriced</v>
      </c>
    </row>
    <row r="675" spans="1:8" x14ac:dyDescent="0.3">
      <c r="A675" t="s">
        <v>921</v>
      </c>
      <c r="B675" t="s">
        <v>922</v>
      </c>
      <c r="C675">
        <v>154.9</v>
      </c>
      <c r="D675">
        <v>15.39</v>
      </c>
      <c r="E675">
        <f t="shared" ca="1" si="40"/>
        <v>152.37861846527451</v>
      </c>
      <c r="F675">
        <f t="shared" ca="1" si="41"/>
        <v>2.5213815347254922</v>
      </c>
      <c r="G675">
        <f t="shared" ca="1" si="42"/>
        <v>1.6546819758049509E-2</v>
      </c>
      <c r="H675" t="str">
        <f t="shared" ca="1" si="43"/>
        <v>competitive</v>
      </c>
    </row>
    <row r="676" spans="1:8" x14ac:dyDescent="0.3">
      <c r="A676" t="s">
        <v>923</v>
      </c>
      <c r="B676" t="s">
        <v>667</v>
      </c>
      <c r="C676">
        <v>44</v>
      </c>
      <c r="D676">
        <v>12.97</v>
      </c>
      <c r="E676">
        <f t="shared" ca="1" si="40"/>
        <v>46.824773130140528</v>
      </c>
      <c r="F676">
        <f t="shared" ca="1" si="41"/>
        <v>-2.8247731301405281</v>
      </c>
      <c r="G676">
        <f t="shared" ca="1" si="42"/>
        <v>-6.0326466981262455E-2</v>
      </c>
      <c r="H676" t="str">
        <f t="shared" ca="1" si="43"/>
        <v>underprived</v>
      </c>
    </row>
    <row r="677" spans="1:8" x14ac:dyDescent="0.3">
      <c r="A677" t="s">
        <v>924</v>
      </c>
      <c r="B677" t="s">
        <v>925</v>
      </c>
      <c r="C677">
        <v>195</v>
      </c>
      <c r="D677">
        <v>14.49</v>
      </c>
      <c r="E677">
        <f t="shared" ca="1" si="40"/>
        <v>203.66385047639491</v>
      </c>
      <c r="F677">
        <f t="shared" ca="1" si="41"/>
        <v>-8.6638504763949129</v>
      </c>
      <c r="G677">
        <f t="shared" ca="1" si="42"/>
        <v>-4.2539952260202761E-2</v>
      </c>
      <c r="H677" t="str">
        <f t="shared" ca="1" si="43"/>
        <v>competitive</v>
      </c>
    </row>
    <row r="678" spans="1:8" x14ac:dyDescent="0.3">
      <c r="A678" t="s">
        <v>727</v>
      </c>
      <c r="B678" t="s">
        <v>265</v>
      </c>
      <c r="C678">
        <v>97.9</v>
      </c>
      <c r="D678">
        <v>16.940000000000001</v>
      </c>
      <c r="E678">
        <f t="shared" ca="1" si="40"/>
        <v>92.538312754002817</v>
      </c>
      <c r="F678">
        <f t="shared" ca="1" si="41"/>
        <v>5.3616872459971887</v>
      </c>
      <c r="G678">
        <f t="shared" ca="1" si="42"/>
        <v>5.7940188084586237E-2</v>
      </c>
      <c r="H678" t="str">
        <f t="shared" ca="1" si="43"/>
        <v>overpriced</v>
      </c>
    </row>
    <row r="679" spans="1:8" x14ac:dyDescent="0.3">
      <c r="A679" t="s">
        <v>926</v>
      </c>
      <c r="B679" t="s">
        <v>927</v>
      </c>
      <c r="C679">
        <v>49.9</v>
      </c>
      <c r="D679">
        <v>35.67</v>
      </c>
      <c r="E679">
        <f t="shared" ca="1" si="40"/>
        <v>47.21261228707467</v>
      </c>
      <c r="F679">
        <f t="shared" ca="1" si="41"/>
        <v>2.6873877129253287</v>
      </c>
      <c r="G679">
        <f t="shared" ca="1" si="42"/>
        <v>5.692097053610929E-2</v>
      </c>
      <c r="H679" t="str">
        <f t="shared" ca="1" si="43"/>
        <v>overpriced</v>
      </c>
    </row>
    <row r="680" spans="1:8" x14ac:dyDescent="0.3">
      <c r="A680" t="s">
        <v>928</v>
      </c>
      <c r="B680" t="s">
        <v>929</v>
      </c>
      <c r="C680">
        <v>579.99</v>
      </c>
      <c r="D680">
        <v>16.96</v>
      </c>
      <c r="E680">
        <f t="shared" ca="1" si="40"/>
        <v>544.27070527060221</v>
      </c>
      <c r="F680">
        <f t="shared" ca="1" si="41"/>
        <v>35.719294729397802</v>
      </c>
      <c r="G680">
        <f t="shared" ca="1" si="42"/>
        <v>6.5627810542621012E-2</v>
      </c>
      <c r="H680" t="str">
        <f t="shared" ca="1" si="43"/>
        <v>overpriced</v>
      </c>
    </row>
    <row r="681" spans="1:8" x14ac:dyDescent="0.3">
      <c r="A681" t="s">
        <v>930</v>
      </c>
      <c r="B681" t="s">
        <v>931</v>
      </c>
      <c r="C681">
        <v>59.99</v>
      </c>
      <c r="D681">
        <v>12.76</v>
      </c>
      <c r="E681">
        <f t="shared" ca="1" si="40"/>
        <v>58.66084467017216</v>
      </c>
      <c r="F681">
        <f t="shared" ca="1" si="41"/>
        <v>1.3291553298278416</v>
      </c>
      <c r="G681">
        <f t="shared" ca="1" si="42"/>
        <v>2.2658305336399117E-2</v>
      </c>
      <c r="H681" t="str">
        <f t="shared" ca="1" si="43"/>
        <v>competitive</v>
      </c>
    </row>
    <row r="682" spans="1:8" x14ac:dyDescent="0.3">
      <c r="A682" t="s">
        <v>932</v>
      </c>
      <c r="B682" t="s">
        <v>933</v>
      </c>
      <c r="C682">
        <v>399.9</v>
      </c>
      <c r="D682">
        <v>21.71</v>
      </c>
      <c r="E682">
        <f t="shared" ca="1" si="40"/>
        <v>413.08138145116482</v>
      </c>
      <c r="F682">
        <f t="shared" ca="1" si="41"/>
        <v>-13.181381451164839</v>
      </c>
      <c r="G682">
        <f t="shared" ca="1" si="42"/>
        <v>-3.1909890019391166E-2</v>
      </c>
      <c r="H682" t="str">
        <f t="shared" ca="1" si="43"/>
        <v>competitive</v>
      </c>
    </row>
    <row r="683" spans="1:8" x14ac:dyDescent="0.3">
      <c r="A683" t="s">
        <v>934</v>
      </c>
      <c r="B683" t="s">
        <v>935</v>
      </c>
      <c r="C683">
        <v>42.9</v>
      </c>
      <c r="D683">
        <v>15.1</v>
      </c>
      <c r="E683">
        <f t="shared" ca="1" si="40"/>
        <v>47.178115607707639</v>
      </c>
      <c r="F683">
        <f t="shared" ca="1" si="41"/>
        <v>-4.2781156077076403</v>
      </c>
      <c r="G683">
        <f t="shared" ca="1" si="42"/>
        <v>-9.0680086574053645E-2</v>
      </c>
      <c r="H683" t="str">
        <f t="shared" ca="1" si="43"/>
        <v>underprived</v>
      </c>
    </row>
    <row r="684" spans="1:8" x14ac:dyDescent="0.3">
      <c r="A684" t="s">
        <v>936</v>
      </c>
      <c r="B684" t="s">
        <v>937</v>
      </c>
      <c r="C684">
        <v>320</v>
      </c>
      <c r="D684">
        <v>58.91</v>
      </c>
      <c r="E684">
        <f t="shared" ca="1" si="40"/>
        <v>322.9339880640822</v>
      </c>
      <c r="F684">
        <f t="shared" ca="1" si="41"/>
        <v>-2.9339880640822003</v>
      </c>
      <c r="G684">
        <f t="shared" ca="1" si="42"/>
        <v>-9.0854111754256946E-3</v>
      </c>
      <c r="H684" t="str">
        <f t="shared" ca="1" si="43"/>
        <v>competitive</v>
      </c>
    </row>
    <row r="685" spans="1:8" x14ac:dyDescent="0.3">
      <c r="A685" t="s">
        <v>938</v>
      </c>
      <c r="B685" t="s">
        <v>598</v>
      </c>
      <c r="C685">
        <v>159.9</v>
      </c>
      <c r="D685">
        <v>28.5</v>
      </c>
      <c r="E685">
        <f t="shared" ca="1" si="40"/>
        <v>160.34428321353838</v>
      </c>
      <c r="F685">
        <f t="shared" ca="1" si="41"/>
        <v>-0.44428321353836964</v>
      </c>
      <c r="G685">
        <f t="shared" ca="1" si="42"/>
        <v>-2.7708079429729078E-3</v>
      </c>
      <c r="H685" t="str">
        <f t="shared" ca="1" si="43"/>
        <v>competitive</v>
      </c>
    </row>
    <row r="686" spans="1:8" x14ac:dyDescent="0.3">
      <c r="A686" t="s">
        <v>939</v>
      </c>
      <c r="B686" t="s">
        <v>77</v>
      </c>
      <c r="C686">
        <v>133.9</v>
      </c>
      <c r="D686">
        <v>29.34</v>
      </c>
      <c r="E686">
        <f t="shared" ca="1" si="40"/>
        <v>132.10124952576706</v>
      </c>
      <c r="F686">
        <f t="shared" ca="1" si="41"/>
        <v>1.7987504742329463</v>
      </c>
      <c r="G686">
        <f t="shared" ca="1" si="42"/>
        <v>1.3616453142497266E-2</v>
      </c>
      <c r="H686" t="str">
        <f t="shared" ca="1" si="43"/>
        <v>competitive</v>
      </c>
    </row>
    <row r="687" spans="1:8" x14ac:dyDescent="0.3">
      <c r="A687" t="s">
        <v>940</v>
      </c>
      <c r="B687" t="s">
        <v>39</v>
      </c>
      <c r="C687">
        <v>148</v>
      </c>
      <c r="D687">
        <v>15.13</v>
      </c>
      <c r="E687">
        <f t="shared" ca="1" si="40"/>
        <v>158.39932149077939</v>
      </c>
      <c r="F687">
        <f t="shared" ca="1" si="41"/>
        <v>-10.399321490779386</v>
      </c>
      <c r="G687">
        <f t="shared" ca="1" si="42"/>
        <v>-6.5652563362682978E-2</v>
      </c>
      <c r="H687" t="str">
        <f t="shared" ca="1" si="43"/>
        <v>underprived</v>
      </c>
    </row>
    <row r="688" spans="1:8" x14ac:dyDescent="0.3">
      <c r="A688" t="s">
        <v>941</v>
      </c>
      <c r="B688" t="s">
        <v>25</v>
      </c>
      <c r="C688">
        <v>56.99</v>
      </c>
      <c r="D688">
        <v>8.7200000000000006</v>
      </c>
      <c r="E688">
        <f t="shared" ca="1" si="40"/>
        <v>57.72493451849175</v>
      </c>
      <c r="F688">
        <f t="shared" ca="1" si="41"/>
        <v>-0.73493451849174818</v>
      </c>
      <c r="G688">
        <f t="shared" ca="1" si="42"/>
        <v>-1.2731664827723926E-2</v>
      </c>
      <c r="H688" t="str">
        <f t="shared" ca="1" si="43"/>
        <v>competitive</v>
      </c>
    </row>
    <row r="689" spans="1:8" x14ac:dyDescent="0.3">
      <c r="A689" t="s">
        <v>463</v>
      </c>
      <c r="B689" t="s">
        <v>942</v>
      </c>
      <c r="C689">
        <v>47.65</v>
      </c>
      <c r="D689">
        <v>7.39</v>
      </c>
      <c r="E689">
        <f t="shared" ca="1" si="40"/>
        <v>49.841869031653886</v>
      </c>
      <c r="F689">
        <f t="shared" ca="1" si="41"/>
        <v>-2.1918690316538871</v>
      </c>
      <c r="G689">
        <f t="shared" ca="1" si="42"/>
        <v>-4.3976461441722042E-2</v>
      </c>
      <c r="H689" t="str">
        <f t="shared" ca="1" si="43"/>
        <v>competitive</v>
      </c>
    </row>
    <row r="690" spans="1:8" x14ac:dyDescent="0.3">
      <c r="A690" t="s">
        <v>943</v>
      </c>
      <c r="B690" t="s">
        <v>944</v>
      </c>
      <c r="C690">
        <v>93</v>
      </c>
      <c r="D690">
        <v>8</v>
      </c>
      <c r="E690">
        <f t="shared" ca="1" si="40"/>
        <v>90.151987346648596</v>
      </c>
      <c r="F690">
        <f t="shared" ca="1" si="41"/>
        <v>2.8480126533514039</v>
      </c>
      <c r="G690">
        <f t="shared" ca="1" si="42"/>
        <v>3.1591235392297523E-2</v>
      </c>
      <c r="H690" t="str">
        <f t="shared" ca="1" si="43"/>
        <v>competitive</v>
      </c>
    </row>
    <row r="691" spans="1:8" x14ac:dyDescent="0.3">
      <c r="A691" t="s">
        <v>945</v>
      </c>
      <c r="B691" t="s">
        <v>176</v>
      </c>
      <c r="C691">
        <v>349.99</v>
      </c>
      <c r="D691">
        <v>18.53</v>
      </c>
      <c r="E691">
        <f t="shared" ca="1" si="40"/>
        <v>364.99099385977968</v>
      </c>
      <c r="F691">
        <f t="shared" ca="1" si="41"/>
        <v>-15.000993859779669</v>
      </c>
      <c r="G691">
        <f t="shared" ca="1" si="42"/>
        <v>-4.1099627421334869E-2</v>
      </c>
      <c r="H691" t="str">
        <f t="shared" ca="1" si="43"/>
        <v>competitive</v>
      </c>
    </row>
    <row r="692" spans="1:8" x14ac:dyDescent="0.3">
      <c r="A692" t="s">
        <v>946</v>
      </c>
      <c r="B692" t="s">
        <v>51</v>
      </c>
      <c r="C692">
        <v>75.900000000000006</v>
      </c>
      <c r="D692">
        <v>7.79</v>
      </c>
      <c r="E692">
        <f t="shared" ca="1" si="40"/>
        <v>79.998445629170533</v>
      </c>
      <c r="F692">
        <f t="shared" ca="1" si="41"/>
        <v>-4.0984456291705271</v>
      </c>
      <c r="G692">
        <f t="shared" ca="1" si="42"/>
        <v>-5.1231565775273949E-2</v>
      </c>
      <c r="H692" t="str">
        <f t="shared" ca="1" si="43"/>
        <v>underprived</v>
      </c>
    </row>
    <row r="693" spans="1:8" x14ac:dyDescent="0.3">
      <c r="A693" t="s">
        <v>947</v>
      </c>
      <c r="B693" t="s">
        <v>948</v>
      </c>
      <c r="C693">
        <v>109.9</v>
      </c>
      <c r="D693">
        <v>24.05</v>
      </c>
      <c r="E693">
        <f t="shared" ca="1" si="40"/>
        <v>112.55335102211379</v>
      </c>
      <c r="F693">
        <f t="shared" ca="1" si="41"/>
        <v>-2.6533510221137817</v>
      </c>
      <c r="G693">
        <f t="shared" ca="1" si="42"/>
        <v>-2.3574162812731073E-2</v>
      </c>
      <c r="H693" t="str">
        <f t="shared" ca="1" si="43"/>
        <v>competitive</v>
      </c>
    </row>
    <row r="694" spans="1:8" x14ac:dyDescent="0.3">
      <c r="A694" t="s">
        <v>949</v>
      </c>
      <c r="B694" t="s">
        <v>280</v>
      </c>
      <c r="C694">
        <v>99.99</v>
      </c>
      <c r="D694">
        <v>13.72</v>
      </c>
      <c r="E694">
        <f t="shared" ca="1" si="40"/>
        <v>92.569260963537673</v>
      </c>
      <c r="F694">
        <f t="shared" ca="1" si="41"/>
        <v>7.4207390364623222</v>
      </c>
      <c r="G694">
        <f t="shared" ca="1" si="42"/>
        <v>8.0164181492010558E-2</v>
      </c>
      <c r="H694" t="str">
        <f t="shared" ca="1" si="43"/>
        <v>overpriced</v>
      </c>
    </row>
    <row r="695" spans="1:8" x14ac:dyDescent="0.3">
      <c r="A695" t="s">
        <v>950</v>
      </c>
      <c r="B695" t="s">
        <v>438</v>
      </c>
      <c r="C695">
        <v>35</v>
      </c>
      <c r="D695">
        <v>19.32</v>
      </c>
      <c r="E695">
        <f t="shared" ca="1" si="40"/>
        <v>34.699562422025572</v>
      </c>
      <c r="F695">
        <f t="shared" ca="1" si="41"/>
        <v>0.30043757797442794</v>
      </c>
      <c r="G695">
        <f t="shared" ca="1" si="42"/>
        <v>8.65825264078042E-3</v>
      </c>
      <c r="H695" t="str">
        <f t="shared" ca="1" si="43"/>
        <v>competitive</v>
      </c>
    </row>
    <row r="696" spans="1:8" x14ac:dyDescent="0.3">
      <c r="A696" t="s">
        <v>950</v>
      </c>
      <c r="B696" t="s">
        <v>438</v>
      </c>
      <c r="C696">
        <v>35</v>
      </c>
      <c r="D696">
        <v>19.32</v>
      </c>
      <c r="E696">
        <f t="shared" ca="1" si="40"/>
        <v>31.686692972080802</v>
      </c>
      <c r="F696">
        <f t="shared" ca="1" si="41"/>
        <v>3.3133070279191976</v>
      </c>
      <c r="G696">
        <f t="shared" ca="1" si="42"/>
        <v>0.10456462057553806</v>
      </c>
      <c r="H696" t="str">
        <f t="shared" ca="1" si="43"/>
        <v>overpriced</v>
      </c>
    </row>
    <row r="697" spans="1:8" x14ac:dyDescent="0.3">
      <c r="A697" t="s">
        <v>951</v>
      </c>
      <c r="B697" t="s">
        <v>198</v>
      </c>
      <c r="C697">
        <v>249.99</v>
      </c>
      <c r="D697">
        <v>18</v>
      </c>
      <c r="E697">
        <f t="shared" ca="1" si="40"/>
        <v>246.07497805624044</v>
      </c>
      <c r="F697">
        <f t="shared" ca="1" si="41"/>
        <v>3.9150219437595695</v>
      </c>
      <c r="G697">
        <f t="shared" ca="1" si="42"/>
        <v>1.5909874196411759E-2</v>
      </c>
      <c r="H697" t="str">
        <f t="shared" ca="1" si="43"/>
        <v>competitive</v>
      </c>
    </row>
    <row r="698" spans="1:8" x14ac:dyDescent="0.3">
      <c r="A698" t="s">
        <v>952</v>
      </c>
      <c r="B698" t="s">
        <v>953</v>
      </c>
      <c r="C698">
        <v>152</v>
      </c>
      <c r="D698">
        <v>15.81</v>
      </c>
      <c r="E698">
        <f t="shared" ca="1" si="40"/>
        <v>159.44683477937033</v>
      </c>
      <c r="F698">
        <f t="shared" ca="1" si="41"/>
        <v>-7.4468347793703344</v>
      </c>
      <c r="G698">
        <f t="shared" ca="1" si="42"/>
        <v>-4.6704186945289092E-2</v>
      </c>
      <c r="H698" t="str">
        <f t="shared" ca="1" si="43"/>
        <v>competitive</v>
      </c>
    </row>
    <row r="699" spans="1:8" x14ac:dyDescent="0.3">
      <c r="A699" t="s">
        <v>954</v>
      </c>
      <c r="B699" t="s">
        <v>29</v>
      </c>
      <c r="C699">
        <v>79.900000000000006</v>
      </c>
      <c r="D699">
        <v>27.51</v>
      </c>
      <c r="E699">
        <f t="shared" ca="1" si="40"/>
        <v>77.429456997728693</v>
      </c>
      <c r="F699">
        <f t="shared" ca="1" si="41"/>
        <v>2.4705430022713131</v>
      </c>
      <c r="G699">
        <f t="shared" ca="1" si="42"/>
        <v>3.190701701994092E-2</v>
      </c>
      <c r="H699" t="str">
        <f t="shared" ca="1" si="43"/>
        <v>competitive</v>
      </c>
    </row>
    <row r="700" spans="1:8" x14ac:dyDescent="0.3">
      <c r="A700" t="s">
        <v>955</v>
      </c>
      <c r="B700" t="s">
        <v>153</v>
      </c>
      <c r="C700">
        <v>138</v>
      </c>
      <c r="D700">
        <v>29.23</v>
      </c>
      <c r="E700">
        <f t="shared" ca="1" si="40"/>
        <v>149.13035411809531</v>
      </c>
      <c r="F700">
        <f t="shared" ca="1" si="41"/>
        <v>-11.130354118095312</v>
      </c>
      <c r="G700">
        <f t="shared" ca="1" si="42"/>
        <v>-7.4635067984089004E-2</v>
      </c>
      <c r="H700" t="str">
        <f t="shared" ca="1" si="43"/>
        <v>underprived</v>
      </c>
    </row>
    <row r="701" spans="1:8" x14ac:dyDescent="0.3">
      <c r="A701" t="s">
        <v>956</v>
      </c>
      <c r="B701" t="s">
        <v>957</v>
      </c>
      <c r="C701">
        <v>51</v>
      </c>
      <c r="D701">
        <v>15.11</v>
      </c>
      <c r="E701">
        <f t="shared" ca="1" si="40"/>
        <v>54.28298846641114</v>
      </c>
      <c r="F701">
        <f t="shared" ca="1" si="41"/>
        <v>-3.2829884664111404</v>
      </c>
      <c r="G701">
        <f t="shared" ca="1" si="42"/>
        <v>-6.047914013508239E-2</v>
      </c>
      <c r="H701" t="str">
        <f t="shared" ca="1" si="43"/>
        <v>underprived</v>
      </c>
    </row>
    <row r="702" spans="1:8" x14ac:dyDescent="0.3">
      <c r="A702" t="s">
        <v>958</v>
      </c>
      <c r="B702" t="s">
        <v>959</v>
      </c>
      <c r="C702">
        <v>738.9</v>
      </c>
      <c r="D702">
        <v>25.62</v>
      </c>
      <c r="E702">
        <f t="shared" ca="1" si="40"/>
        <v>686.71250229461361</v>
      </c>
      <c r="F702">
        <f t="shared" ca="1" si="41"/>
        <v>52.187497705386363</v>
      </c>
      <c r="G702">
        <f t="shared" ca="1" si="42"/>
        <v>7.599613743889122E-2</v>
      </c>
      <c r="H702" t="str">
        <f t="shared" ca="1" si="43"/>
        <v>overpriced</v>
      </c>
    </row>
    <row r="703" spans="1:8" x14ac:dyDescent="0.3">
      <c r="A703" t="s">
        <v>960</v>
      </c>
      <c r="B703" t="s">
        <v>961</v>
      </c>
      <c r="C703">
        <v>69.900000000000006</v>
      </c>
      <c r="D703">
        <v>8.8800000000000008</v>
      </c>
      <c r="E703">
        <f t="shared" ca="1" si="40"/>
        <v>67.511871826098627</v>
      </c>
      <c r="F703">
        <f t="shared" ca="1" si="41"/>
        <v>2.3881281739013787</v>
      </c>
      <c r="G703">
        <f t="shared" ca="1" si="42"/>
        <v>3.5373455205817299E-2</v>
      </c>
      <c r="H703" t="str">
        <f t="shared" ca="1" si="43"/>
        <v>competitive</v>
      </c>
    </row>
    <row r="704" spans="1:8" x14ac:dyDescent="0.3">
      <c r="A704" t="s">
        <v>962</v>
      </c>
      <c r="B704" t="s">
        <v>963</v>
      </c>
      <c r="C704">
        <v>579</v>
      </c>
      <c r="D704">
        <v>24.5</v>
      </c>
      <c r="E704">
        <f t="shared" ca="1" si="40"/>
        <v>606.81217025157912</v>
      </c>
      <c r="F704">
        <f t="shared" ca="1" si="41"/>
        <v>-27.812170251579118</v>
      </c>
      <c r="G704">
        <f t="shared" ca="1" si="42"/>
        <v>-4.5833243983963656E-2</v>
      </c>
      <c r="H704" t="str">
        <f t="shared" ca="1" si="43"/>
        <v>competitive</v>
      </c>
    </row>
    <row r="705" spans="1:8" x14ac:dyDescent="0.3">
      <c r="A705" t="s">
        <v>962</v>
      </c>
      <c r="B705" t="s">
        <v>963</v>
      </c>
      <c r="C705">
        <v>579</v>
      </c>
      <c r="D705">
        <v>24.5</v>
      </c>
      <c r="E705">
        <f t="shared" ca="1" si="40"/>
        <v>629.80154388611845</v>
      </c>
      <c r="F705">
        <f t="shared" ca="1" si="41"/>
        <v>-50.801543886118452</v>
      </c>
      <c r="G705">
        <f t="shared" ca="1" si="42"/>
        <v>-8.0662780806559045E-2</v>
      </c>
      <c r="H705" t="str">
        <f t="shared" ca="1" si="43"/>
        <v>underprived</v>
      </c>
    </row>
    <row r="706" spans="1:8" x14ac:dyDescent="0.3">
      <c r="A706" t="s">
        <v>962</v>
      </c>
      <c r="B706" t="s">
        <v>963</v>
      </c>
      <c r="C706">
        <v>579</v>
      </c>
      <c r="D706">
        <v>24.5</v>
      </c>
      <c r="E706">
        <f t="shared" ca="1" si="40"/>
        <v>569.60423877245353</v>
      </c>
      <c r="F706">
        <f t="shared" ca="1" si="41"/>
        <v>9.3957612275464726</v>
      </c>
      <c r="G706">
        <f t="shared" ca="1" si="42"/>
        <v>1.6495244571555774E-2</v>
      </c>
      <c r="H706" t="str">
        <f t="shared" ca="1" si="43"/>
        <v>competitive</v>
      </c>
    </row>
    <row r="707" spans="1:8" x14ac:dyDescent="0.3">
      <c r="A707" t="s">
        <v>964</v>
      </c>
      <c r="B707" t="s">
        <v>965</v>
      </c>
      <c r="C707">
        <v>79.900000000000006</v>
      </c>
      <c r="D707">
        <v>38.83</v>
      </c>
      <c r="E707">
        <f t="shared" ref="E707:E770" ca="1" si="44">C707*(1+RAND()*0.2-0.1)</f>
        <v>77.002125239979534</v>
      </c>
      <c r="F707">
        <f t="shared" ref="F707:F770" ca="1" si="45">C707-E707</f>
        <v>2.8978747600204713</v>
      </c>
      <c r="G707">
        <f t="shared" ref="G707:G770" ca="1" si="46">(C707-E707)/E707</f>
        <v>3.7633698433506266E-2</v>
      </c>
      <c r="H707" t="str">
        <f t="shared" ref="H707:H770" ca="1" si="47">IF(E707="","competitive",IF(ABS(C707-E707)/E707&lt;=0.05,"competitive",IF(C707&gt;E707,"overpriced","underprived")))</f>
        <v>competitive</v>
      </c>
    </row>
    <row r="708" spans="1:8" x14ac:dyDescent="0.3">
      <c r="A708" t="s">
        <v>966</v>
      </c>
      <c r="B708" t="s">
        <v>967</v>
      </c>
      <c r="C708">
        <v>139.99</v>
      </c>
      <c r="D708">
        <v>58.11</v>
      </c>
      <c r="E708">
        <f t="shared" ca="1" si="44"/>
        <v>143.72594631438511</v>
      </c>
      <c r="F708">
        <f t="shared" ca="1" si="45"/>
        <v>-3.7359463143851031</v>
      </c>
      <c r="G708">
        <f t="shared" ca="1" si="46"/>
        <v>-2.5993541251160879E-2</v>
      </c>
      <c r="H708" t="str">
        <f t="shared" ca="1" si="47"/>
        <v>competitive</v>
      </c>
    </row>
    <row r="709" spans="1:8" x14ac:dyDescent="0.3">
      <c r="A709" t="s">
        <v>968</v>
      </c>
      <c r="B709" t="s">
        <v>47</v>
      </c>
      <c r="C709">
        <v>149.94</v>
      </c>
      <c r="D709">
        <v>57.31</v>
      </c>
      <c r="E709">
        <f t="shared" ca="1" si="44"/>
        <v>137.0615542747986</v>
      </c>
      <c r="F709">
        <f t="shared" ca="1" si="45"/>
        <v>12.878445725201402</v>
      </c>
      <c r="G709">
        <f t="shared" ca="1" si="46"/>
        <v>9.3961036654969202E-2</v>
      </c>
      <c r="H709" t="str">
        <f t="shared" ca="1" si="47"/>
        <v>overpriced</v>
      </c>
    </row>
    <row r="710" spans="1:8" x14ac:dyDescent="0.3">
      <c r="A710" t="s">
        <v>969</v>
      </c>
      <c r="B710" t="s">
        <v>461</v>
      </c>
      <c r="C710">
        <v>299.99</v>
      </c>
      <c r="D710">
        <v>14.35</v>
      </c>
      <c r="E710">
        <f t="shared" ca="1" si="44"/>
        <v>318.70354113687813</v>
      </c>
      <c r="F710">
        <f t="shared" ca="1" si="45"/>
        <v>-18.713541136878121</v>
      </c>
      <c r="G710">
        <f t="shared" ca="1" si="46"/>
        <v>-5.871770696404327E-2</v>
      </c>
      <c r="H710" t="str">
        <f t="shared" ca="1" si="47"/>
        <v>underprived</v>
      </c>
    </row>
    <row r="711" spans="1:8" x14ac:dyDescent="0.3">
      <c r="A711" t="s">
        <v>970</v>
      </c>
      <c r="B711" t="s">
        <v>644</v>
      </c>
      <c r="C711">
        <v>168.8</v>
      </c>
      <c r="D711">
        <v>8.44</v>
      </c>
      <c r="E711">
        <f t="shared" ca="1" si="44"/>
        <v>152.54333393526525</v>
      </c>
      <c r="F711">
        <f t="shared" ca="1" si="45"/>
        <v>16.256666064734759</v>
      </c>
      <c r="G711">
        <f t="shared" ca="1" si="46"/>
        <v>0.1065708061135834</v>
      </c>
      <c r="H711" t="str">
        <f t="shared" ca="1" si="47"/>
        <v>overpriced</v>
      </c>
    </row>
    <row r="712" spans="1:8" x14ac:dyDescent="0.3">
      <c r="A712" t="s">
        <v>971</v>
      </c>
      <c r="B712" t="s">
        <v>339</v>
      </c>
      <c r="C712">
        <v>12.9</v>
      </c>
      <c r="D712">
        <v>7.71</v>
      </c>
      <c r="E712">
        <f t="shared" ca="1" si="44"/>
        <v>12.682110547485392</v>
      </c>
      <c r="F712">
        <f t="shared" ca="1" si="45"/>
        <v>0.21788945251460845</v>
      </c>
      <c r="G712">
        <f t="shared" ca="1" si="46"/>
        <v>1.718085106566206E-2</v>
      </c>
      <c r="H712" t="str">
        <f t="shared" ca="1" si="47"/>
        <v>competitive</v>
      </c>
    </row>
    <row r="713" spans="1:8" x14ac:dyDescent="0.3">
      <c r="A713" t="s">
        <v>972</v>
      </c>
      <c r="B713" t="s">
        <v>973</v>
      </c>
      <c r="C713">
        <v>199.9</v>
      </c>
      <c r="D713">
        <v>13.69</v>
      </c>
      <c r="E713">
        <f t="shared" ca="1" si="44"/>
        <v>206.97356296764292</v>
      </c>
      <c r="F713">
        <f t="shared" ca="1" si="45"/>
        <v>-7.0735629676429141</v>
      </c>
      <c r="G713">
        <f t="shared" ca="1" si="46"/>
        <v>-3.417616658968544E-2</v>
      </c>
      <c r="H713" t="str">
        <f t="shared" ca="1" si="47"/>
        <v>competitive</v>
      </c>
    </row>
    <row r="714" spans="1:8" x14ac:dyDescent="0.3">
      <c r="A714" t="s">
        <v>974</v>
      </c>
      <c r="B714" t="s">
        <v>975</v>
      </c>
      <c r="C714">
        <v>187.2</v>
      </c>
      <c r="D714">
        <v>20.54</v>
      </c>
      <c r="E714">
        <f t="shared" ca="1" si="44"/>
        <v>202.46218266537682</v>
      </c>
      <c r="F714">
        <f t="shared" ca="1" si="45"/>
        <v>-15.262182665376827</v>
      </c>
      <c r="G714">
        <f t="shared" ca="1" si="46"/>
        <v>-7.5382881209977298E-2</v>
      </c>
      <c r="H714" t="str">
        <f t="shared" ca="1" si="47"/>
        <v>underprived</v>
      </c>
    </row>
    <row r="715" spans="1:8" x14ac:dyDescent="0.3">
      <c r="A715" t="s">
        <v>976</v>
      </c>
      <c r="B715" t="s">
        <v>45</v>
      </c>
      <c r="C715">
        <v>34.99</v>
      </c>
      <c r="D715">
        <v>15.1</v>
      </c>
      <c r="E715">
        <f t="shared" ca="1" si="44"/>
        <v>32.168029173393542</v>
      </c>
      <c r="F715">
        <f t="shared" ca="1" si="45"/>
        <v>2.82197082660646</v>
      </c>
      <c r="G715">
        <f t="shared" ca="1" si="46"/>
        <v>8.7725947132021906E-2</v>
      </c>
      <c r="H715" t="str">
        <f t="shared" ca="1" si="47"/>
        <v>overpriced</v>
      </c>
    </row>
    <row r="716" spans="1:8" x14ac:dyDescent="0.3">
      <c r="A716" t="s">
        <v>977</v>
      </c>
      <c r="B716" t="s">
        <v>782</v>
      </c>
      <c r="C716">
        <v>42.9</v>
      </c>
      <c r="D716">
        <v>15.1</v>
      </c>
      <c r="E716">
        <f t="shared" ca="1" si="44"/>
        <v>42.04453527741876</v>
      </c>
      <c r="F716">
        <f t="shared" ca="1" si="45"/>
        <v>0.85546472258123885</v>
      </c>
      <c r="G716">
        <f t="shared" ca="1" si="46"/>
        <v>2.0346632848637788E-2</v>
      </c>
      <c r="H716" t="str">
        <f t="shared" ca="1" si="47"/>
        <v>competitive</v>
      </c>
    </row>
    <row r="717" spans="1:8" x14ac:dyDescent="0.3">
      <c r="A717" t="s">
        <v>978</v>
      </c>
      <c r="B717" t="s">
        <v>438</v>
      </c>
      <c r="C717">
        <v>69.989999999999995</v>
      </c>
      <c r="D717">
        <v>9.36</v>
      </c>
      <c r="E717">
        <f t="shared" ca="1" si="44"/>
        <v>71.844180582681275</v>
      </c>
      <c r="F717">
        <f t="shared" ca="1" si="45"/>
        <v>-1.8541805826812805</v>
      </c>
      <c r="G717">
        <f t="shared" ca="1" si="46"/>
        <v>-2.580836147956914E-2</v>
      </c>
      <c r="H717" t="str">
        <f t="shared" ca="1" si="47"/>
        <v>competitive</v>
      </c>
    </row>
    <row r="718" spans="1:8" x14ac:dyDescent="0.3">
      <c r="A718" t="s">
        <v>978</v>
      </c>
      <c r="B718" t="s">
        <v>438</v>
      </c>
      <c r="C718">
        <v>69.989999999999995</v>
      </c>
      <c r="D718">
        <v>9.36</v>
      </c>
      <c r="E718">
        <f t="shared" ca="1" si="44"/>
        <v>65.33982152432857</v>
      </c>
      <c r="F718">
        <f t="shared" ca="1" si="45"/>
        <v>4.6501784756714244</v>
      </c>
      <c r="G718">
        <f t="shared" ca="1" si="46"/>
        <v>7.1169133419502553E-2</v>
      </c>
      <c r="H718" t="str">
        <f t="shared" ca="1" si="47"/>
        <v>overpriced</v>
      </c>
    </row>
    <row r="719" spans="1:8" x14ac:dyDescent="0.3">
      <c r="A719" t="s">
        <v>979</v>
      </c>
      <c r="B719" t="s">
        <v>980</v>
      </c>
      <c r="C719">
        <v>39</v>
      </c>
      <c r="D719">
        <v>15.37</v>
      </c>
      <c r="E719">
        <f t="shared" ca="1" si="44"/>
        <v>40.717597368374669</v>
      </c>
      <c r="F719">
        <f t="shared" ca="1" si="45"/>
        <v>-1.717597368374669</v>
      </c>
      <c r="G719">
        <f t="shared" ca="1" si="46"/>
        <v>-4.218317089870155E-2</v>
      </c>
      <c r="H719" t="str">
        <f t="shared" ca="1" si="47"/>
        <v>competitive</v>
      </c>
    </row>
    <row r="720" spans="1:8" x14ac:dyDescent="0.3">
      <c r="A720" t="s">
        <v>981</v>
      </c>
      <c r="B720" t="s">
        <v>271</v>
      </c>
      <c r="C720">
        <v>109.9</v>
      </c>
      <c r="D720">
        <v>12.72</v>
      </c>
      <c r="E720">
        <f t="shared" ca="1" si="44"/>
        <v>110.99949204072152</v>
      </c>
      <c r="F720">
        <f t="shared" ca="1" si="45"/>
        <v>-1.0994920407215147</v>
      </c>
      <c r="G720">
        <f t="shared" ca="1" si="46"/>
        <v>-9.9053790292855815E-3</v>
      </c>
      <c r="H720" t="str">
        <f t="shared" ca="1" si="47"/>
        <v>competitive</v>
      </c>
    </row>
    <row r="721" spans="1:8" x14ac:dyDescent="0.3">
      <c r="A721" t="s">
        <v>982</v>
      </c>
      <c r="B721" t="s">
        <v>983</v>
      </c>
      <c r="C721">
        <v>12.88</v>
      </c>
      <c r="D721">
        <v>8.27</v>
      </c>
      <c r="E721">
        <f t="shared" ca="1" si="44"/>
        <v>13.428770005280803</v>
      </c>
      <c r="F721">
        <f t="shared" ca="1" si="45"/>
        <v>-0.54877000528080266</v>
      </c>
      <c r="G721">
        <f t="shared" ca="1" si="46"/>
        <v>-4.0865247157036821E-2</v>
      </c>
      <c r="H721" t="str">
        <f t="shared" ca="1" si="47"/>
        <v>competitive</v>
      </c>
    </row>
    <row r="722" spans="1:8" x14ac:dyDescent="0.3">
      <c r="A722" t="s">
        <v>984</v>
      </c>
      <c r="B722" t="s">
        <v>985</v>
      </c>
      <c r="C722">
        <v>309.89999999999998</v>
      </c>
      <c r="D722">
        <v>17.38</v>
      </c>
      <c r="E722">
        <f t="shared" ca="1" si="44"/>
        <v>338.40530362015818</v>
      </c>
      <c r="F722">
        <f t="shared" ca="1" si="45"/>
        <v>-28.505303620158202</v>
      </c>
      <c r="G722">
        <f t="shared" ca="1" si="46"/>
        <v>-8.4234210620274072E-2</v>
      </c>
      <c r="H722" t="str">
        <f t="shared" ca="1" si="47"/>
        <v>underprived</v>
      </c>
    </row>
    <row r="723" spans="1:8" x14ac:dyDescent="0.3">
      <c r="A723" t="s">
        <v>986</v>
      </c>
      <c r="B723" t="s">
        <v>987</v>
      </c>
      <c r="C723">
        <v>39</v>
      </c>
      <c r="D723">
        <v>16.600000000000001</v>
      </c>
      <c r="E723">
        <f t="shared" ca="1" si="44"/>
        <v>37.46166882567443</v>
      </c>
      <c r="F723">
        <f t="shared" ca="1" si="45"/>
        <v>1.5383311743255703</v>
      </c>
      <c r="G723">
        <f t="shared" ca="1" si="46"/>
        <v>4.1064138959855202E-2</v>
      </c>
      <c r="H723" t="str">
        <f t="shared" ca="1" si="47"/>
        <v>competitive</v>
      </c>
    </row>
    <row r="724" spans="1:8" x14ac:dyDescent="0.3">
      <c r="A724" t="s">
        <v>988</v>
      </c>
      <c r="B724" t="s">
        <v>909</v>
      </c>
      <c r="C724">
        <v>84.99</v>
      </c>
      <c r="D724">
        <v>18.7</v>
      </c>
      <c r="E724">
        <f t="shared" ca="1" si="44"/>
        <v>82.29546108419872</v>
      </c>
      <c r="F724">
        <f t="shared" ca="1" si="45"/>
        <v>2.6945389158012745</v>
      </c>
      <c r="G724">
        <f t="shared" ca="1" si="46"/>
        <v>3.2742254315148905E-2</v>
      </c>
      <c r="H724" t="str">
        <f t="shared" ca="1" si="47"/>
        <v>competitive</v>
      </c>
    </row>
    <row r="725" spans="1:8" x14ac:dyDescent="0.3">
      <c r="A725" t="s">
        <v>989</v>
      </c>
      <c r="B725" t="s">
        <v>63</v>
      </c>
      <c r="C725">
        <v>465</v>
      </c>
      <c r="D725">
        <v>34.69</v>
      </c>
      <c r="E725">
        <f t="shared" ca="1" si="44"/>
        <v>459.62486067578106</v>
      </c>
      <c r="F725">
        <f t="shared" ca="1" si="45"/>
        <v>5.3751393242189351</v>
      </c>
      <c r="G725">
        <f t="shared" ca="1" si="46"/>
        <v>1.1694622689286064E-2</v>
      </c>
      <c r="H725" t="str">
        <f t="shared" ca="1" si="47"/>
        <v>competitive</v>
      </c>
    </row>
    <row r="726" spans="1:8" x14ac:dyDescent="0.3">
      <c r="A726" t="s">
        <v>564</v>
      </c>
      <c r="B726" t="s">
        <v>233</v>
      </c>
      <c r="C726">
        <v>139.77000000000001</v>
      </c>
      <c r="D726">
        <v>8.74</v>
      </c>
      <c r="E726">
        <f t="shared" ca="1" si="44"/>
        <v>136.80087825692812</v>
      </c>
      <c r="F726">
        <f t="shared" ca="1" si="45"/>
        <v>2.969121743071895</v>
      </c>
      <c r="G726">
        <f t="shared" ca="1" si="46"/>
        <v>2.1703966969389886E-2</v>
      </c>
      <c r="H726" t="str">
        <f t="shared" ca="1" si="47"/>
        <v>competitive</v>
      </c>
    </row>
    <row r="727" spans="1:8" x14ac:dyDescent="0.3">
      <c r="A727" t="s">
        <v>990</v>
      </c>
      <c r="B727" t="s">
        <v>991</v>
      </c>
      <c r="C727">
        <v>84.9</v>
      </c>
      <c r="D727">
        <v>13.03</v>
      </c>
      <c r="E727">
        <f t="shared" ca="1" si="44"/>
        <v>92.424302799459966</v>
      </c>
      <c r="F727">
        <f t="shared" ca="1" si="45"/>
        <v>-7.5243027994599601</v>
      </c>
      <c r="G727">
        <f t="shared" ca="1" si="46"/>
        <v>-8.1410436125074287E-2</v>
      </c>
      <c r="H727" t="str">
        <f t="shared" ca="1" si="47"/>
        <v>underprived</v>
      </c>
    </row>
    <row r="728" spans="1:8" x14ac:dyDescent="0.3">
      <c r="A728" t="s">
        <v>990</v>
      </c>
      <c r="B728" t="s">
        <v>991</v>
      </c>
      <c r="C728">
        <v>84.9</v>
      </c>
      <c r="D728">
        <v>13.03</v>
      </c>
      <c r="E728">
        <f t="shared" ca="1" si="44"/>
        <v>83.271950157313967</v>
      </c>
      <c r="F728">
        <f t="shared" ca="1" si="45"/>
        <v>1.628049842686039</v>
      </c>
      <c r="G728">
        <f t="shared" ca="1" si="46"/>
        <v>1.955099934143963E-2</v>
      </c>
      <c r="H728" t="str">
        <f t="shared" ca="1" si="47"/>
        <v>competitive</v>
      </c>
    </row>
    <row r="729" spans="1:8" x14ac:dyDescent="0.3">
      <c r="A729" t="s">
        <v>992</v>
      </c>
      <c r="B729" t="s">
        <v>993</v>
      </c>
      <c r="C729">
        <v>109.99</v>
      </c>
      <c r="D729">
        <v>19.739999999999998</v>
      </c>
      <c r="E729">
        <f t="shared" ca="1" si="44"/>
        <v>120.9658914344693</v>
      </c>
      <c r="F729">
        <f t="shared" ca="1" si="45"/>
        <v>-10.975891434469304</v>
      </c>
      <c r="G729">
        <f t="shared" ca="1" si="46"/>
        <v>-9.0735423881162902E-2</v>
      </c>
      <c r="H729" t="str">
        <f t="shared" ca="1" si="47"/>
        <v>underprived</v>
      </c>
    </row>
    <row r="730" spans="1:8" x14ac:dyDescent="0.3">
      <c r="A730" t="s">
        <v>499</v>
      </c>
      <c r="B730" t="s">
        <v>111</v>
      </c>
      <c r="C730">
        <v>150</v>
      </c>
      <c r="D730">
        <v>44.97</v>
      </c>
      <c r="E730">
        <f t="shared" ca="1" si="44"/>
        <v>151.49254172919674</v>
      </c>
      <c r="F730">
        <f t="shared" ca="1" si="45"/>
        <v>-1.4925417291967449</v>
      </c>
      <c r="G730">
        <f t="shared" ca="1" si="46"/>
        <v>-9.8522456099836581E-3</v>
      </c>
      <c r="H730" t="str">
        <f t="shared" ca="1" si="47"/>
        <v>competitive</v>
      </c>
    </row>
    <row r="731" spans="1:8" x14ac:dyDescent="0.3">
      <c r="A731" t="s">
        <v>994</v>
      </c>
      <c r="B731" t="s">
        <v>931</v>
      </c>
      <c r="C731">
        <v>49.99</v>
      </c>
      <c r="D731">
        <v>16.170000000000002</v>
      </c>
      <c r="E731">
        <f t="shared" ca="1" si="44"/>
        <v>49.064708045105</v>
      </c>
      <c r="F731">
        <f t="shared" ca="1" si="45"/>
        <v>0.92529195489500182</v>
      </c>
      <c r="G731">
        <f t="shared" ca="1" si="46"/>
        <v>1.8858605131093095E-2</v>
      </c>
      <c r="H731" t="str">
        <f t="shared" ca="1" si="47"/>
        <v>competitive</v>
      </c>
    </row>
    <row r="732" spans="1:8" x14ac:dyDescent="0.3">
      <c r="A732" t="s">
        <v>995</v>
      </c>
      <c r="B732" t="s">
        <v>996</v>
      </c>
      <c r="C732">
        <v>59</v>
      </c>
      <c r="D732">
        <v>10.68</v>
      </c>
      <c r="E732">
        <f t="shared" ca="1" si="44"/>
        <v>55.717410680245706</v>
      </c>
      <c r="F732">
        <f t="shared" ca="1" si="45"/>
        <v>3.2825893197542939</v>
      </c>
      <c r="G732">
        <f t="shared" ca="1" si="46"/>
        <v>5.8914965352439064E-2</v>
      </c>
      <c r="H732" t="str">
        <f t="shared" ca="1" si="47"/>
        <v>overpriced</v>
      </c>
    </row>
    <row r="733" spans="1:8" x14ac:dyDescent="0.3">
      <c r="A733" t="s">
        <v>30</v>
      </c>
      <c r="B733" t="s">
        <v>31</v>
      </c>
      <c r="C733">
        <v>59</v>
      </c>
      <c r="D733">
        <v>17.66</v>
      </c>
      <c r="E733">
        <f t="shared" ca="1" si="44"/>
        <v>60.947252244942064</v>
      </c>
      <c r="F733">
        <f t="shared" ca="1" si="45"/>
        <v>-1.9472522449420637</v>
      </c>
      <c r="G733">
        <f t="shared" ca="1" si="46"/>
        <v>-3.1949795490635327E-2</v>
      </c>
      <c r="H733" t="str">
        <f t="shared" ca="1" si="47"/>
        <v>competitive</v>
      </c>
    </row>
    <row r="734" spans="1:8" x14ac:dyDescent="0.3">
      <c r="A734" t="s">
        <v>997</v>
      </c>
      <c r="B734" t="s">
        <v>998</v>
      </c>
      <c r="C734">
        <v>99.9</v>
      </c>
      <c r="D734">
        <v>21.19</v>
      </c>
      <c r="E734">
        <f t="shared" ca="1" si="44"/>
        <v>99.539512284502038</v>
      </c>
      <c r="F734">
        <f t="shared" ca="1" si="45"/>
        <v>0.36048771549796754</v>
      </c>
      <c r="G734">
        <f t="shared" ca="1" si="46"/>
        <v>3.6215539661037122E-3</v>
      </c>
      <c r="H734" t="str">
        <f t="shared" ca="1" si="47"/>
        <v>competitive</v>
      </c>
    </row>
    <row r="735" spans="1:8" x14ac:dyDescent="0.3">
      <c r="A735" t="s">
        <v>999</v>
      </c>
      <c r="B735" t="s">
        <v>1000</v>
      </c>
      <c r="C735">
        <v>79.900000000000006</v>
      </c>
      <c r="D735">
        <v>15.41</v>
      </c>
      <c r="E735">
        <f t="shared" ca="1" si="44"/>
        <v>84.98211699586372</v>
      </c>
      <c r="F735">
        <f t="shared" ca="1" si="45"/>
        <v>-5.0821169958637142</v>
      </c>
      <c r="G735">
        <f t="shared" ca="1" si="46"/>
        <v>-5.9802193396889289E-2</v>
      </c>
      <c r="H735" t="str">
        <f t="shared" ca="1" si="47"/>
        <v>underprived</v>
      </c>
    </row>
    <row r="736" spans="1:8" x14ac:dyDescent="0.3">
      <c r="A736" t="s">
        <v>1001</v>
      </c>
      <c r="B736" t="s">
        <v>1002</v>
      </c>
      <c r="C736">
        <v>104.9</v>
      </c>
      <c r="D736">
        <v>24.86</v>
      </c>
      <c r="E736">
        <f t="shared" ca="1" si="44"/>
        <v>113.09430507893427</v>
      </c>
      <c r="F736">
        <f t="shared" ca="1" si="45"/>
        <v>-8.1943050789342635</v>
      </c>
      <c r="G736">
        <f t="shared" ca="1" si="46"/>
        <v>-7.2455505811853574E-2</v>
      </c>
      <c r="H736" t="str">
        <f t="shared" ca="1" si="47"/>
        <v>underprived</v>
      </c>
    </row>
    <row r="737" spans="1:8" x14ac:dyDescent="0.3">
      <c r="A737" t="s">
        <v>1003</v>
      </c>
      <c r="B737" t="s">
        <v>1004</v>
      </c>
      <c r="C737">
        <v>68.900000000000006</v>
      </c>
      <c r="D737">
        <v>18.28</v>
      </c>
      <c r="E737">
        <f t="shared" ca="1" si="44"/>
        <v>65.731471405489373</v>
      </c>
      <c r="F737">
        <f t="shared" ca="1" si="45"/>
        <v>3.168528594510633</v>
      </c>
      <c r="G737">
        <f t="shared" ca="1" si="46"/>
        <v>4.820413306990147E-2</v>
      </c>
      <c r="H737" t="str">
        <f t="shared" ca="1" si="47"/>
        <v>competitive</v>
      </c>
    </row>
    <row r="738" spans="1:8" x14ac:dyDescent="0.3">
      <c r="A738" t="s">
        <v>1005</v>
      </c>
      <c r="B738" t="s">
        <v>1006</v>
      </c>
      <c r="C738">
        <v>110</v>
      </c>
      <c r="D738">
        <v>15.52</v>
      </c>
      <c r="E738">
        <f t="shared" ca="1" si="44"/>
        <v>111.60020008782359</v>
      </c>
      <c r="F738">
        <f t="shared" ca="1" si="45"/>
        <v>-1.6002000878235947</v>
      </c>
      <c r="G738">
        <f t="shared" ca="1" si="46"/>
        <v>-1.4338684756517639E-2</v>
      </c>
      <c r="H738" t="str">
        <f t="shared" ca="1" si="47"/>
        <v>competitive</v>
      </c>
    </row>
    <row r="739" spans="1:8" x14ac:dyDescent="0.3">
      <c r="A739" t="s">
        <v>1007</v>
      </c>
      <c r="B739" t="s">
        <v>401</v>
      </c>
      <c r="C739">
        <v>25.89</v>
      </c>
      <c r="D739">
        <v>22.98</v>
      </c>
      <c r="E739">
        <f t="shared" ca="1" si="44"/>
        <v>28.348694445146698</v>
      </c>
      <c r="F739">
        <f t="shared" ca="1" si="45"/>
        <v>-2.4586944451466977</v>
      </c>
      <c r="G739">
        <f t="shared" ca="1" si="46"/>
        <v>-8.6730429505462697E-2</v>
      </c>
      <c r="H739" t="str">
        <f t="shared" ca="1" si="47"/>
        <v>underprived</v>
      </c>
    </row>
    <row r="740" spans="1:8" x14ac:dyDescent="0.3">
      <c r="A740" t="s">
        <v>1008</v>
      </c>
      <c r="B740" t="s">
        <v>322</v>
      </c>
      <c r="C740">
        <v>39.9</v>
      </c>
      <c r="D740">
        <v>15.1</v>
      </c>
      <c r="E740">
        <f t="shared" ca="1" si="44"/>
        <v>42.993997822862141</v>
      </c>
      <c r="F740">
        <f t="shared" ca="1" si="45"/>
        <v>-3.0939978228621428</v>
      </c>
      <c r="G740">
        <f t="shared" ca="1" si="46"/>
        <v>-7.1963482800776052E-2</v>
      </c>
      <c r="H740" t="str">
        <f t="shared" ca="1" si="47"/>
        <v>underprived</v>
      </c>
    </row>
    <row r="741" spans="1:8" x14ac:dyDescent="0.3">
      <c r="A741" t="s">
        <v>399</v>
      </c>
      <c r="B741" t="s">
        <v>322</v>
      </c>
      <c r="C741">
        <v>52.9</v>
      </c>
      <c r="D741">
        <v>11.87</v>
      </c>
      <c r="E741">
        <f t="shared" ca="1" si="44"/>
        <v>50.648983274333432</v>
      </c>
      <c r="F741">
        <f t="shared" ca="1" si="45"/>
        <v>2.2510167256665667</v>
      </c>
      <c r="G741">
        <f t="shared" ca="1" si="46"/>
        <v>4.4443473099434916E-2</v>
      </c>
      <c r="H741" t="str">
        <f t="shared" ca="1" si="47"/>
        <v>competitive</v>
      </c>
    </row>
    <row r="742" spans="1:8" x14ac:dyDescent="0.3">
      <c r="A742" t="s">
        <v>1009</v>
      </c>
      <c r="B742" t="s">
        <v>1010</v>
      </c>
      <c r="C742">
        <v>29.99</v>
      </c>
      <c r="D742">
        <v>12.79</v>
      </c>
      <c r="E742">
        <f t="shared" ca="1" si="44"/>
        <v>27.83488670495349</v>
      </c>
      <c r="F742">
        <f t="shared" ca="1" si="45"/>
        <v>2.1551132950465082</v>
      </c>
      <c r="G742">
        <f t="shared" ca="1" si="46"/>
        <v>7.7424899116366255E-2</v>
      </c>
      <c r="H742" t="str">
        <f t="shared" ca="1" si="47"/>
        <v>overpriced</v>
      </c>
    </row>
    <row r="743" spans="1:8" x14ac:dyDescent="0.3">
      <c r="A743" t="s">
        <v>1011</v>
      </c>
      <c r="B743" t="s">
        <v>667</v>
      </c>
      <c r="C743">
        <v>46.55</v>
      </c>
      <c r="D743">
        <v>12.69</v>
      </c>
      <c r="E743">
        <f t="shared" ca="1" si="44"/>
        <v>46.55771341389061</v>
      </c>
      <c r="F743">
        <f t="shared" ca="1" si="45"/>
        <v>-7.7134138906131966E-3</v>
      </c>
      <c r="G743">
        <f t="shared" ca="1" si="46"/>
        <v>-1.6567424224729816E-4</v>
      </c>
      <c r="H743" t="str">
        <f t="shared" ca="1" si="47"/>
        <v>competitive</v>
      </c>
    </row>
    <row r="744" spans="1:8" x14ac:dyDescent="0.3">
      <c r="A744" t="s">
        <v>1012</v>
      </c>
      <c r="B744" t="s">
        <v>1013</v>
      </c>
      <c r="C744">
        <v>629.9</v>
      </c>
      <c r="D744">
        <v>21.66</v>
      </c>
      <c r="E744">
        <f t="shared" ca="1" si="44"/>
        <v>683.84095290708626</v>
      </c>
      <c r="F744">
        <f t="shared" ca="1" si="45"/>
        <v>-53.940952907086285</v>
      </c>
      <c r="G744">
        <f t="shared" ca="1" si="46"/>
        <v>-7.8879383689697311E-2</v>
      </c>
      <c r="H744" t="str">
        <f t="shared" ca="1" si="47"/>
        <v>underprived</v>
      </c>
    </row>
    <row r="745" spans="1:8" x14ac:dyDescent="0.3">
      <c r="A745" t="s">
        <v>1014</v>
      </c>
      <c r="B745" t="s">
        <v>1015</v>
      </c>
      <c r="C745">
        <v>120.9</v>
      </c>
      <c r="D745">
        <v>41.92</v>
      </c>
      <c r="E745">
        <f t="shared" ca="1" si="44"/>
        <v>130.12429061263151</v>
      </c>
      <c r="F745">
        <f t="shared" ca="1" si="45"/>
        <v>-9.2242906126315063</v>
      </c>
      <c r="G745">
        <f t="shared" ca="1" si="46"/>
        <v>-7.0888306627479747E-2</v>
      </c>
      <c r="H745" t="str">
        <f t="shared" ca="1" si="47"/>
        <v>underprived</v>
      </c>
    </row>
    <row r="746" spans="1:8" x14ac:dyDescent="0.3">
      <c r="A746" t="s">
        <v>1016</v>
      </c>
      <c r="B746" t="s">
        <v>29</v>
      </c>
      <c r="C746">
        <v>109.9</v>
      </c>
      <c r="D746">
        <v>25.61</v>
      </c>
      <c r="E746">
        <f t="shared" ca="1" si="44"/>
        <v>111.45010597417813</v>
      </c>
      <c r="F746">
        <f t="shared" ca="1" si="45"/>
        <v>-1.5501059741781233</v>
      </c>
      <c r="G746">
        <f t="shared" ca="1" si="46"/>
        <v>-1.390851951757917E-2</v>
      </c>
      <c r="H746" t="str">
        <f t="shared" ca="1" si="47"/>
        <v>competitive</v>
      </c>
    </row>
    <row r="747" spans="1:8" x14ac:dyDescent="0.3">
      <c r="A747" t="s">
        <v>1017</v>
      </c>
      <c r="B747" t="s">
        <v>1018</v>
      </c>
      <c r="C747">
        <v>44.6</v>
      </c>
      <c r="D747">
        <v>14.52</v>
      </c>
      <c r="E747">
        <f t="shared" ca="1" si="44"/>
        <v>44.415722482035541</v>
      </c>
      <c r="F747">
        <f t="shared" ca="1" si="45"/>
        <v>0.18427751796446046</v>
      </c>
      <c r="G747">
        <f t="shared" ca="1" si="46"/>
        <v>4.1489253729688549E-3</v>
      </c>
      <c r="H747" t="str">
        <f t="shared" ca="1" si="47"/>
        <v>competitive</v>
      </c>
    </row>
    <row r="748" spans="1:8" x14ac:dyDescent="0.3">
      <c r="A748" t="s">
        <v>1019</v>
      </c>
      <c r="B748" t="s">
        <v>47</v>
      </c>
      <c r="C748">
        <v>192.97</v>
      </c>
      <c r="D748">
        <v>33.590000000000003</v>
      </c>
      <c r="E748">
        <f t="shared" ca="1" si="44"/>
        <v>184.28052145003866</v>
      </c>
      <c r="F748">
        <f t="shared" ca="1" si="45"/>
        <v>8.6894785499613363</v>
      </c>
      <c r="G748">
        <f t="shared" ca="1" si="46"/>
        <v>4.7153537886624602E-2</v>
      </c>
      <c r="H748" t="str">
        <f t="shared" ca="1" si="47"/>
        <v>competitive</v>
      </c>
    </row>
    <row r="749" spans="1:8" x14ac:dyDescent="0.3">
      <c r="A749" t="s">
        <v>1019</v>
      </c>
      <c r="B749" t="s">
        <v>47</v>
      </c>
      <c r="C749">
        <v>192.97</v>
      </c>
      <c r="D749">
        <v>33.590000000000003</v>
      </c>
      <c r="E749">
        <f t="shared" ca="1" si="44"/>
        <v>177.54000626029244</v>
      </c>
      <c r="F749">
        <f t="shared" ca="1" si="45"/>
        <v>15.429993739707555</v>
      </c>
      <c r="G749">
        <f t="shared" ca="1" si="46"/>
        <v>8.6909953788587527E-2</v>
      </c>
      <c r="H749" t="str">
        <f t="shared" ca="1" si="47"/>
        <v>overpriced</v>
      </c>
    </row>
    <row r="750" spans="1:8" x14ac:dyDescent="0.3">
      <c r="A750" t="s">
        <v>1019</v>
      </c>
      <c r="B750" t="s">
        <v>47</v>
      </c>
      <c r="C750">
        <v>192.97</v>
      </c>
      <c r="D750">
        <v>33.590000000000003</v>
      </c>
      <c r="E750">
        <f t="shared" ca="1" si="44"/>
        <v>195.33114549038308</v>
      </c>
      <c r="F750">
        <f t="shared" ca="1" si="45"/>
        <v>-2.3611454903830804</v>
      </c>
      <c r="G750">
        <f t="shared" ca="1" si="46"/>
        <v>-1.2087910939422249E-2</v>
      </c>
      <c r="H750" t="str">
        <f t="shared" ca="1" si="47"/>
        <v>competitive</v>
      </c>
    </row>
    <row r="751" spans="1:8" x14ac:dyDescent="0.3">
      <c r="A751" t="s">
        <v>1020</v>
      </c>
      <c r="B751" t="s">
        <v>1021</v>
      </c>
      <c r="C751">
        <v>59.9</v>
      </c>
      <c r="D751">
        <v>9.41</v>
      </c>
      <c r="E751">
        <f t="shared" ca="1" si="44"/>
        <v>64.312500870563866</v>
      </c>
      <c r="F751">
        <f t="shared" ca="1" si="45"/>
        <v>-4.4125008705638677</v>
      </c>
      <c r="G751">
        <f t="shared" ca="1" si="46"/>
        <v>-6.8610313871085835E-2</v>
      </c>
      <c r="H751" t="str">
        <f t="shared" ca="1" si="47"/>
        <v>underprived</v>
      </c>
    </row>
    <row r="752" spans="1:8" x14ac:dyDescent="0.3">
      <c r="A752" t="s">
        <v>1020</v>
      </c>
      <c r="B752" t="s">
        <v>1021</v>
      </c>
      <c r="C752">
        <v>59.9</v>
      </c>
      <c r="D752">
        <v>9.41</v>
      </c>
      <c r="E752">
        <f t="shared" ca="1" si="44"/>
        <v>62.131076458245609</v>
      </c>
      <c r="F752">
        <f t="shared" ca="1" si="45"/>
        <v>-2.2310764582456102</v>
      </c>
      <c r="G752">
        <f t="shared" ca="1" si="46"/>
        <v>-3.5909187244566355E-2</v>
      </c>
      <c r="H752" t="str">
        <f t="shared" ca="1" si="47"/>
        <v>competitive</v>
      </c>
    </row>
    <row r="753" spans="1:8" x14ac:dyDescent="0.3">
      <c r="A753" t="s">
        <v>1022</v>
      </c>
      <c r="B753" t="s">
        <v>401</v>
      </c>
      <c r="C753">
        <v>57.49</v>
      </c>
      <c r="D753">
        <v>9.94</v>
      </c>
      <c r="E753">
        <f t="shared" ca="1" si="44"/>
        <v>58.776274720549303</v>
      </c>
      <c r="F753">
        <f t="shared" ca="1" si="45"/>
        <v>-1.2862747205493008</v>
      </c>
      <c r="G753">
        <f t="shared" ca="1" si="46"/>
        <v>-2.1884250518850845E-2</v>
      </c>
      <c r="H753" t="str">
        <f t="shared" ca="1" si="47"/>
        <v>competitive</v>
      </c>
    </row>
    <row r="754" spans="1:8" x14ac:dyDescent="0.3">
      <c r="A754" t="s">
        <v>1023</v>
      </c>
      <c r="B754" t="s">
        <v>39</v>
      </c>
      <c r="C754">
        <v>158</v>
      </c>
      <c r="D754">
        <v>18.36</v>
      </c>
      <c r="E754">
        <f t="shared" ca="1" si="44"/>
        <v>144.11025939221375</v>
      </c>
      <c r="F754">
        <f t="shared" ca="1" si="45"/>
        <v>13.889740607786251</v>
      </c>
      <c r="G754">
        <f t="shared" ca="1" si="46"/>
        <v>9.638273268236662E-2</v>
      </c>
      <c r="H754" t="str">
        <f t="shared" ca="1" si="47"/>
        <v>overpriced</v>
      </c>
    </row>
    <row r="755" spans="1:8" x14ac:dyDescent="0.3">
      <c r="A755" t="s">
        <v>1024</v>
      </c>
      <c r="B755" t="s">
        <v>747</v>
      </c>
      <c r="C755">
        <v>39.9</v>
      </c>
      <c r="D755">
        <v>12.69</v>
      </c>
      <c r="E755">
        <f t="shared" ca="1" si="44"/>
        <v>36.419095644382331</v>
      </c>
      <c r="F755">
        <f t="shared" ca="1" si="45"/>
        <v>3.4809043556176675</v>
      </c>
      <c r="G755">
        <f t="shared" ca="1" si="46"/>
        <v>9.5579099206835993E-2</v>
      </c>
      <c r="H755" t="str">
        <f t="shared" ca="1" si="47"/>
        <v>overpriced</v>
      </c>
    </row>
    <row r="756" spans="1:8" x14ac:dyDescent="0.3">
      <c r="A756" t="s">
        <v>1025</v>
      </c>
      <c r="B756" t="s">
        <v>1026</v>
      </c>
      <c r="C756">
        <v>101.99</v>
      </c>
      <c r="D756">
        <v>19.41</v>
      </c>
      <c r="E756">
        <f t="shared" ca="1" si="44"/>
        <v>98.822863842443738</v>
      </c>
      <c r="F756">
        <f t="shared" ca="1" si="45"/>
        <v>3.1671361575562571</v>
      </c>
      <c r="G756">
        <f t="shared" ca="1" si="46"/>
        <v>3.2048617439439091E-2</v>
      </c>
      <c r="H756" t="str">
        <f t="shared" ca="1" si="47"/>
        <v>competitive</v>
      </c>
    </row>
    <row r="757" spans="1:8" x14ac:dyDescent="0.3">
      <c r="A757" t="s">
        <v>1027</v>
      </c>
      <c r="B757" t="s">
        <v>380</v>
      </c>
      <c r="C757">
        <v>25</v>
      </c>
      <c r="D757">
        <v>11.15</v>
      </c>
      <c r="E757">
        <f t="shared" ca="1" si="44"/>
        <v>22.579309400693056</v>
      </c>
      <c r="F757">
        <f t="shared" ca="1" si="45"/>
        <v>2.4206905993069441</v>
      </c>
      <c r="G757">
        <f t="shared" ca="1" si="46"/>
        <v>0.10720835417723815</v>
      </c>
      <c r="H757" t="str">
        <f t="shared" ca="1" si="47"/>
        <v>overpriced</v>
      </c>
    </row>
    <row r="758" spans="1:8" x14ac:dyDescent="0.3">
      <c r="A758" t="s">
        <v>1028</v>
      </c>
      <c r="B758" t="s">
        <v>694</v>
      </c>
      <c r="C758">
        <v>21.99</v>
      </c>
      <c r="D758">
        <v>15.1</v>
      </c>
      <c r="E758">
        <f t="shared" ca="1" si="44"/>
        <v>21.491527207151517</v>
      </c>
      <c r="F758">
        <f t="shared" ca="1" si="45"/>
        <v>0.49847279284848156</v>
      </c>
      <c r="G758">
        <f t="shared" ca="1" si="46"/>
        <v>2.3193921401854115E-2</v>
      </c>
      <c r="H758" t="str">
        <f t="shared" ca="1" si="47"/>
        <v>competitive</v>
      </c>
    </row>
    <row r="759" spans="1:8" x14ac:dyDescent="0.3">
      <c r="A759" t="s">
        <v>1028</v>
      </c>
      <c r="B759" t="s">
        <v>694</v>
      </c>
      <c r="C759">
        <v>21.99</v>
      </c>
      <c r="D759">
        <v>15.1</v>
      </c>
      <c r="E759">
        <f t="shared" ca="1" si="44"/>
        <v>24.185924224724481</v>
      </c>
      <c r="F759">
        <f t="shared" ca="1" si="45"/>
        <v>-2.1959242247244823</v>
      </c>
      <c r="G759">
        <f t="shared" ca="1" si="46"/>
        <v>-9.0793479890243792E-2</v>
      </c>
      <c r="H759" t="str">
        <f t="shared" ca="1" si="47"/>
        <v>underprived</v>
      </c>
    </row>
    <row r="760" spans="1:8" x14ac:dyDescent="0.3">
      <c r="A760" t="s">
        <v>1029</v>
      </c>
      <c r="B760" t="s">
        <v>1030</v>
      </c>
      <c r="C760">
        <v>359</v>
      </c>
      <c r="D760">
        <v>25.66</v>
      </c>
      <c r="E760">
        <f t="shared" ca="1" si="44"/>
        <v>387.89918242143494</v>
      </c>
      <c r="F760">
        <f t="shared" ca="1" si="45"/>
        <v>-28.899182421434944</v>
      </c>
      <c r="G760">
        <f t="shared" ca="1" si="46"/>
        <v>-7.4501787400101521E-2</v>
      </c>
      <c r="H760" t="str">
        <f t="shared" ca="1" si="47"/>
        <v>underprived</v>
      </c>
    </row>
    <row r="761" spans="1:8" x14ac:dyDescent="0.3">
      <c r="A761" t="s">
        <v>1031</v>
      </c>
      <c r="B761" t="s">
        <v>233</v>
      </c>
      <c r="C761">
        <v>157.77000000000001</v>
      </c>
      <c r="D761">
        <v>14.85</v>
      </c>
      <c r="E761">
        <f t="shared" ca="1" si="44"/>
        <v>160.81473751907498</v>
      </c>
      <c r="F761">
        <f t="shared" ca="1" si="45"/>
        <v>-3.044737519074971</v>
      </c>
      <c r="G761">
        <f t="shared" ca="1" si="46"/>
        <v>-1.8933199568937645E-2</v>
      </c>
      <c r="H761" t="str">
        <f t="shared" ca="1" si="47"/>
        <v>competitive</v>
      </c>
    </row>
    <row r="762" spans="1:8" x14ac:dyDescent="0.3">
      <c r="A762" t="s">
        <v>28</v>
      </c>
      <c r="B762" t="s">
        <v>29</v>
      </c>
      <c r="C762">
        <v>89.9</v>
      </c>
      <c r="D762">
        <v>12.13</v>
      </c>
      <c r="E762">
        <f t="shared" ca="1" si="44"/>
        <v>81.464033423304528</v>
      </c>
      <c r="F762">
        <f t="shared" ca="1" si="45"/>
        <v>8.4359665766954777</v>
      </c>
      <c r="G762">
        <f t="shared" ca="1" si="46"/>
        <v>0.1035544917455829</v>
      </c>
      <c r="H762" t="str">
        <f t="shared" ca="1" si="47"/>
        <v>overpriced</v>
      </c>
    </row>
    <row r="763" spans="1:8" x14ac:dyDescent="0.3">
      <c r="A763" t="s">
        <v>28</v>
      </c>
      <c r="B763" t="s">
        <v>29</v>
      </c>
      <c r="C763">
        <v>89.9</v>
      </c>
      <c r="D763">
        <v>12.13</v>
      </c>
      <c r="E763">
        <f t="shared" ca="1" si="44"/>
        <v>91.295111154613821</v>
      </c>
      <c r="F763">
        <f t="shared" ca="1" si="45"/>
        <v>-1.3951111546138151</v>
      </c>
      <c r="G763">
        <f t="shared" ca="1" si="46"/>
        <v>-1.5281334750237716E-2</v>
      </c>
      <c r="H763" t="str">
        <f t="shared" ca="1" si="47"/>
        <v>competitive</v>
      </c>
    </row>
    <row r="764" spans="1:8" x14ac:dyDescent="0.3">
      <c r="A764" t="s">
        <v>221</v>
      </c>
      <c r="B764" t="s">
        <v>31</v>
      </c>
      <c r="C764">
        <v>53.9</v>
      </c>
      <c r="D764">
        <v>56.93</v>
      </c>
      <c r="E764">
        <f t="shared" ca="1" si="44"/>
        <v>55.890188829556386</v>
      </c>
      <c r="F764">
        <f t="shared" ca="1" si="45"/>
        <v>-1.9901888295563879</v>
      </c>
      <c r="G764">
        <f t="shared" ca="1" si="46"/>
        <v>-3.5608912248010105E-2</v>
      </c>
      <c r="H764" t="str">
        <f t="shared" ca="1" si="47"/>
        <v>competitive</v>
      </c>
    </row>
    <row r="765" spans="1:8" x14ac:dyDescent="0.3">
      <c r="A765" t="s">
        <v>1032</v>
      </c>
      <c r="B765" t="s">
        <v>1033</v>
      </c>
      <c r="C765">
        <v>15.9</v>
      </c>
      <c r="D765">
        <v>16.79</v>
      </c>
      <c r="E765">
        <f t="shared" ca="1" si="44"/>
        <v>17.077692505960155</v>
      </c>
      <c r="F765">
        <f t="shared" ca="1" si="45"/>
        <v>-1.1776925059601542</v>
      </c>
      <c r="G765">
        <f t="shared" ca="1" si="46"/>
        <v>-6.8960868428163624E-2</v>
      </c>
      <c r="H765" t="str">
        <f t="shared" ca="1" si="47"/>
        <v>underprived</v>
      </c>
    </row>
    <row r="766" spans="1:8" x14ac:dyDescent="0.3">
      <c r="A766" t="s">
        <v>1034</v>
      </c>
      <c r="B766" t="s">
        <v>1035</v>
      </c>
      <c r="C766">
        <v>339.99</v>
      </c>
      <c r="D766">
        <v>12.99</v>
      </c>
      <c r="E766">
        <f t="shared" ca="1" si="44"/>
        <v>360.64824562784105</v>
      </c>
      <c r="F766">
        <f t="shared" ca="1" si="45"/>
        <v>-20.65824562784104</v>
      </c>
      <c r="G766">
        <f t="shared" ca="1" si="46"/>
        <v>-5.7280870982410463E-2</v>
      </c>
      <c r="H766" t="str">
        <f t="shared" ca="1" si="47"/>
        <v>underprived</v>
      </c>
    </row>
    <row r="767" spans="1:8" x14ac:dyDescent="0.3">
      <c r="A767" t="s">
        <v>1036</v>
      </c>
      <c r="B767" t="s">
        <v>69</v>
      </c>
      <c r="C767">
        <v>13.47</v>
      </c>
      <c r="D767">
        <v>18.23</v>
      </c>
      <c r="E767">
        <f t="shared" ca="1" si="44"/>
        <v>13.82804912710492</v>
      </c>
      <c r="F767">
        <f t="shared" ca="1" si="45"/>
        <v>-0.35804912710491976</v>
      </c>
      <c r="G767">
        <f t="shared" ca="1" si="46"/>
        <v>-2.5892960302194266E-2</v>
      </c>
      <c r="H767" t="str">
        <f t="shared" ca="1" si="47"/>
        <v>competitive</v>
      </c>
    </row>
    <row r="768" spans="1:8" x14ac:dyDescent="0.3">
      <c r="A768" t="s">
        <v>1037</v>
      </c>
      <c r="B768" t="s">
        <v>23</v>
      </c>
      <c r="C768">
        <v>103.99</v>
      </c>
      <c r="D768">
        <v>31.6</v>
      </c>
      <c r="E768">
        <f t="shared" ca="1" si="44"/>
        <v>94.698824379608254</v>
      </c>
      <c r="F768">
        <f t="shared" ca="1" si="45"/>
        <v>9.2911756203917406</v>
      </c>
      <c r="G768">
        <f t="shared" ca="1" si="46"/>
        <v>9.8112892966308402E-2</v>
      </c>
      <c r="H768" t="str">
        <f t="shared" ca="1" si="47"/>
        <v>overpriced</v>
      </c>
    </row>
    <row r="769" spans="1:8" x14ac:dyDescent="0.3">
      <c r="A769" t="s">
        <v>1038</v>
      </c>
      <c r="B769" t="s">
        <v>271</v>
      </c>
      <c r="C769">
        <v>109.9</v>
      </c>
      <c r="D769">
        <v>18.02</v>
      </c>
      <c r="E769">
        <f t="shared" ca="1" si="44"/>
        <v>116.71190290395933</v>
      </c>
      <c r="F769">
        <f t="shared" ca="1" si="45"/>
        <v>-6.8119029039593215</v>
      </c>
      <c r="G769">
        <f t="shared" ca="1" si="46"/>
        <v>-5.8365108737578768E-2</v>
      </c>
      <c r="H769" t="str">
        <f t="shared" ca="1" si="47"/>
        <v>underprived</v>
      </c>
    </row>
    <row r="770" spans="1:8" x14ac:dyDescent="0.3">
      <c r="A770" t="s">
        <v>1039</v>
      </c>
      <c r="B770" t="s">
        <v>1040</v>
      </c>
      <c r="C770">
        <v>59.9</v>
      </c>
      <c r="D770">
        <v>35.74</v>
      </c>
      <c r="E770">
        <f t="shared" ca="1" si="44"/>
        <v>65.070683483468301</v>
      </c>
      <c r="F770">
        <f t="shared" ca="1" si="45"/>
        <v>-5.1706834834683022</v>
      </c>
      <c r="G770">
        <f t="shared" ca="1" si="46"/>
        <v>-7.9462566038390442E-2</v>
      </c>
      <c r="H770" t="str">
        <f t="shared" ca="1" si="47"/>
        <v>underprived</v>
      </c>
    </row>
    <row r="771" spans="1:8" x14ac:dyDescent="0.3">
      <c r="A771" t="s">
        <v>1041</v>
      </c>
      <c r="B771" t="s">
        <v>489</v>
      </c>
      <c r="C771">
        <v>17.899999999999999</v>
      </c>
      <c r="D771">
        <v>15.1</v>
      </c>
      <c r="E771">
        <f t="shared" ref="E771:E834" ca="1" si="48">C771*(1+RAND()*0.2-0.1)</f>
        <v>19.345956190895183</v>
      </c>
      <c r="F771">
        <f t="shared" ref="F771:F834" ca="1" si="49">C771-E771</f>
        <v>-1.4459561908951848</v>
      </c>
      <c r="G771">
        <f t="shared" ref="G771:G834" ca="1" si="50">(C771-E771)/E771</f>
        <v>-7.4742037903285305E-2</v>
      </c>
      <c r="H771" t="str">
        <f t="shared" ref="H771:H834" ca="1" si="51">IF(E771="","competitive",IF(ABS(C771-E771)/E771&lt;=0.05,"competitive",IF(C771&gt;E771,"overpriced","underprived")))</f>
        <v>underprived</v>
      </c>
    </row>
    <row r="772" spans="1:8" x14ac:dyDescent="0.3">
      <c r="A772" t="s">
        <v>1042</v>
      </c>
      <c r="B772" t="s">
        <v>90</v>
      </c>
      <c r="C772">
        <v>59.99</v>
      </c>
      <c r="D772">
        <v>11.81</v>
      </c>
      <c r="E772">
        <f t="shared" ca="1" si="48"/>
        <v>61.808997266047285</v>
      </c>
      <c r="F772">
        <f t="shared" ca="1" si="49"/>
        <v>-1.8189972660472833</v>
      </c>
      <c r="G772">
        <f t="shared" ca="1" si="50"/>
        <v>-2.9429328196632774E-2</v>
      </c>
      <c r="H772" t="str">
        <f t="shared" ca="1" si="51"/>
        <v>competitive</v>
      </c>
    </row>
    <row r="773" spans="1:8" x14ac:dyDescent="0.3">
      <c r="A773" t="s">
        <v>1043</v>
      </c>
      <c r="B773" t="s">
        <v>739</v>
      </c>
      <c r="C773">
        <v>239.99</v>
      </c>
      <c r="D773">
        <v>17.440000000000001</v>
      </c>
      <c r="E773">
        <f t="shared" ca="1" si="48"/>
        <v>218.25306320824899</v>
      </c>
      <c r="F773">
        <f t="shared" ca="1" si="49"/>
        <v>21.73693679175102</v>
      </c>
      <c r="G773">
        <f t="shared" ca="1" si="50"/>
        <v>9.9595105205971105E-2</v>
      </c>
      <c r="H773" t="str">
        <f t="shared" ca="1" si="51"/>
        <v>overpriced</v>
      </c>
    </row>
    <row r="774" spans="1:8" x14ac:dyDescent="0.3">
      <c r="A774" t="s">
        <v>1044</v>
      </c>
      <c r="B774" t="s">
        <v>1045</v>
      </c>
      <c r="C774">
        <v>70.900000000000006</v>
      </c>
      <c r="D774">
        <v>16.940000000000001</v>
      </c>
      <c r="E774">
        <f t="shared" ca="1" si="48"/>
        <v>71.816217385265944</v>
      </c>
      <c r="F774">
        <f t="shared" ca="1" si="49"/>
        <v>-0.91621738526593788</v>
      </c>
      <c r="G774">
        <f t="shared" ca="1" si="50"/>
        <v>-1.2757806225727395E-2</v>
      </c>
      <c r="H774" t="str">
        <f t="shared" ca="1" si="51"/>
        <v>competitive</v>
      </c>
    </row>
    <row r="775" spans="1:8" x14ac:dyDescent="0.3">
      <c r="A775" t="s">
        <v>1046</v>
      </c>
      <c r="B775" t="s">
        <v>1033</v>
      </c>
      <c r="C775">
        <v>78.900000000000006</v>
      </c>
      <c r="D775">
        <v>17.8</v>
      </c>
      <c r="E775">
        <f t="shared" ca="1" si="48"/>
        <v>76.164743593922537</v>
      </c>
      <c r="F775">
        <f t="shared" ca="1" si="49"/>
        <v>2.7352564060774682</v>
      </c>
      <c r="G775">
        <f t="shared" ca="1" si="50"/>
        <v>3.5912369385245647E-2</v>
      </c>
      <c r="H775" t="str">
        <f t="shared" ca="1" si="51"/>
        <v>competitive</v>
      </c>
    </row>
    <row r="776" spans="1:8" x14ac:dyDescent="0.3">
      <c r="A776" t="s">
        <v>1047</v>
      </c>
      <c r="B776" t="s">
        <v>1048</v>
      </c>
      <c r="C776">
        <v>35.89</v>
      </c>
      <c r="D776">
        <v>18.23</v>
      </c>
      <c r="E776">
        <f t="shared" ca="1" si="48"/>
        <v>34.243551812506418</v>
      </c>
      <c r="F776">
        <f t="shared" ca="1" si="49"/>
        <v>1.6464481874935828</v>
      </c>
      <c r="G776">
        <f t="shared" ca="1" si="50"/>
        <v>4.8080531964335184E-2</v>
      </c>
      <c r="H776" t="str">
        <f t="shared" ca="1" si="51"/>
        <v>competitive</v>
      </c>
    </row>
    <row r="777" spans="1:8" x14ac:dyDescent="0.3">
      <c r="A777" t="s">
        <v>734</v>
      </c>
      <c r="B777" t="s">
        <v>31</v>
      </c>
      <c r="C777">
        <v>49</v>
      </c>
      <c r="D777">
        <v>13.41</v>
      </c>
      <c r="E777">
        <f t="shared" ca="1" si="48"/>
        <v>49.640475833102812</v>
      </c>
      <c r="F777">
        <f t="shared" ca="1" si="49"/>
        <v>-0.64047583310281198</v>
      </c>
      <c r="G777">
        <f t="shared" ca="1" si="50"/>
        <v>-1.2902290365953943E-2</v>
      </c>
      <c r="H777" t="str">
        <f t="shared" ca="1" si="51"/>
        <v>competitive</v>
      </c>
    </row>
    <row r="778" spans="1:8" x14ac:dyDescent="0.3">
      <c r="A778" t="s">
        <v>1049</v>
      </c>
      <c r="B778" t="s">
        <v>736</v>
      </c>
      <c r="C778">
        <v>16.899999999999999</v>
      </c>
      <c r="D778">
        <v>7.78</v>
      </c>
      <c r="E778">
        <f t="shared" ca="1" si="48"/>
        <v>18.143975486554311</v>
      </c>
      <c r="F778">
        <f t="shared" ca="1" si="49"/>
        <v>-1.2439754865543122</v>
      </c>
      <c r="G778">
        <f t="shared" ca="1" si="50"/>
        <v>-6.8561351809374241E-2</v>
      </c>
      <c r="H778" t="str">
        <f t="shared" ca="1" si="51"/>
        <v>underprived</v>
      </c>
    </row>
    <row r="779" spans="1:8" x14ac:dyDescent="0.3">
      <c r="A779" t="s">
        <v>1050</v>
      </c>
      <c r="B779" t="s">
        <v>1051</v>
      </c>
      <c r="C779">
        <v>274.95</v>
      </c>
      <c r="D779">
        <v>26.04</v>
      </c>
      <c r="E779">
        <f t="shared" ca="1" si="48"/>
        <v>258.98819683607115</v>
      </c>
      <c r="F779">
        <f t="shared" ca="1" si="49"/>
        <v>15.961803163928835</v>
      </c>
      <c r="G779">
        <f t="shared" ca="1" si="50"/>
        <v>6.1631392314113825E-2</v>
      </c>
      <c r="H779" t="str">
        <f t="shared" ca="1" si="51"/>
        <v>overpriced</v>
      </c>
    </row>
    <row r="780" spans="1:8" x14ac:dyDescent="0.3">
      <c r="A780" t="s">
        <v>1052</v>
      </c>
      <c r="B780" t="s">
        <v>1040</v>
      </c>
      <c r="C780">
        <v>59.9</v>
      </c>
      <c r="D780">
        <v>16.86</v>
      </c>
      <c r="E780">
        <f t="shared" ca="1" si="48"/>
        <v>54.094582427541361</v>
      </c>
      <c r="F780">
        <f t="shared" ca="1" si="49"/>
        <v>5.8054175724586372</v>
      </c>
      <c r="G780">
        <f t="shared" ca="1" si="50"/>
        <v>0.10731975942757079</v>
      </c>
      <c r="H780" t="str">
        <f t="shared" ca="1" si="51"/>
        <v>overpriced</v>
      </c>
    </row>
    <row r="781" spans="1:8" x14ac:dyDescent="0.3">
      <c r="A781" t="s">
        <v>1053</v>
      </c>
      <c r="B781" t="s">
        <v>69</v>
      </c>
      <c r="C781">
        <v>19.989999999999998</v>
      </c>
      <c r="D781">
        <v>7.78</v>
      </c>
      <c r="E781">
        <f t="shared" ca="1" si="48"/>
        <v>20.548630906114319</v>
      </c>
      <c r="F781">
        <f t="shared" ca="1" si="49"/>
        <v>-0.55863090611432042</v>
      </c>
      <c r="G781">
        <f t="shared" ca="1" si="50"/>
        <v>-2.7185796886745276E-2</v>
      </c>
      <c r="H781" t="str">
        <f t="shared" ca="1" si="51"/>
        <v>competitive</v>
      </c>
    </row>
    <row r="782" spans="1:8" x14ac:dyDescent="0.3">
      <c r="A782" t="s">
        <v>1054</v>
      </c>
      <c r="B782" t="s">
        <v>229</v>
      </c>
      <c r="C782">
        <v>89</v>
      </c>
      <c r="D782">
        <v>17.87</v>
      </c>
      <c r="E782">
        <f t="shared" ca="1" si="48"/>
        <v>90.133687557050933</v>
      </c>
      <c r="F782">
        <f t="shared" ca="1" si="49"/>
        <v>-1.1336875570509335</v>
      </c>
      <c r="G782">
        <f t="shared" ca="1" si="50"/>
        <v>-1.2577845063016596E-2</v>
      </c>
      <c r="H782" t="str">
        <f t="shared" ca="1" si="51"/>
        <v>competitive</v>
      </c>
    </row>
    <row r="783" spans="1:8" x14ac:dyDescent="0.3">
      <c r="A783" t="s">
        <v>1055</v>
      </c>
      <c r="B783" t="s">
        <v>1056</v>
      </c>
      <c r="C783">
        <v>398</v>
      </c>
      <c r="D783">
        <v>29.11</v>
      </c>
      <c r="E783">
        <f t="shared" ca="1" si="48"/>
        <v>402.11962609613471</v>
      </c>
      <c r="F783">
        <f t="shared" ca="1" si="49"/>
        <v>-4.1196260961347093</v>
      </c>
      <c r="G783">
        <f t="shared" ca="1" si="50"/>
        <v>-1.0244777496012668E-2</v>
      </c>
      <c r="H783" t="str">
        <f t="shared" ca="1" si="51"/>
        <v>competitive</v>
      </c>
    </row>
    <row r="784" spans="1:8" x14ac:dyDescent="0.3">
      <c r="A784" t="s">
        <v>1055</v>
      </c>
      <c r="B784" t="s">
        <v>1056</v>
      </c>
      <c r="C784">
        <v>398</v>
      </c>
      <c r="D784">
        <v>29.11</v>
      </c>
      <c r="E784">
        <f t="shared" ca="1" si="48"/>
        <v>415.80369685732524</v>
      </c>
      <c r="F784">
        <f t="shared" ca="1" si="49"/>
        <v>-17.803696857325235</v>
      </c>
      <c r="G784">
        <f t="shared" ca="1" si="50"/>
        <v>-4.2817553071045011E-2</v>
      </c>
      <c r="H784" t="str">
        <f t="shared" ca="1" si="51"/>
        <v>competitive</v>
      </c>
    </row>
    <row r="785" spans="1:8" x14ac:dyDescent="0.3">
      <c r="A785" t="s">
        <v>156</v>
      </c>
      <c r="B785" t="s">
        <v>157</v>
      </c>
      <c r="C785">
        <v>106.9</v>
      </c>
      <c r="D785">
        <v>38.299999999999997</v>
      </c>
      <c r="E785">
        <f t="shared" ca="1" si="48"/>
        <v>103.02412220597297</v>
      </c>
      <c r="F785">
        <f t="shared" ca="1" si="49"/>
        <v>3.8758777940270335</v>
      </c>
      <c r="G785">
        <f t="shared" ca="1" si="50"/>
        <v>3.7621070784549952E-2</v>
      </c>
      <c r="H785" t="str">
        <f t="shared" ca="1" si="51"/>
        <v>competitive</v>
      </c>
    </row>
    <row r="786" spans="1:8" x14ac:dyDescent="0.3">
      <c r="A786" t="s">
        <v>1057</v>
      </c>
      <c r="B786" t="s">
        <v>81</v>
      </c>
      <c r="C786">
        <v>24.89</v>
      </c>
      <c r="D786">
        <v>22.06</v>
      </c>
      <c r="E786">
        <f t="shared" ca="1" si="48"/>
        <v>27.060708699606657</v>
      </c>
      <c r="F786">
        <f t="shared" ca="1" si="49"/>
        <v>-2.1707086996066565</v>
      </c>
      <c r="G786">
        <f t="shared" ca="1" si="50"/>
        <v>-8.0216254633353676E-2</v>
      </c>
      <c r="H786" t="str">
        <f t="shared" ca="1" si="51"/>
        <v>underprived</v>
      </c>
    </row>
    <row r="787" spans="1:8" x14ac:dyDescent="0.3">
      <c r="A787" t="s">
        <v>1058</v>
      </c>
      <c r="B787" t="s">
        <v>747</v>
      </c>
      <c r="C787">
        <v>44.9</v>
      </c>
      <c r="D787">
        <v>8.64</v>
      </c>
      <c r="E787">
        <f t="shared" ca="1" si="48"/>
        <v>42.837347921897461</v>
      </c>
      <c r="F787">
        <f t="shared" ca="1" si="49"/>
        <v>2.0626520781025377</v>
      </c>
      <c r="G787">
        <f t="shared" ca="1" si="50"/>
        <v>4.8150788462984137E-2</v>
      </c>
      <c r="H787" t="str">
        <f t="shared" ca="1" si="51"/>
        <v>competitive</v>
      </c>
    </row>
    <row r="788" spans="1:8" x14ac:dyDescent="0.3">
      <c r="A788" t="s">
        <v>245</v>
      </c>
      <c r="B788" t="s">
        <v>246</v>
      </c>
      <c r="C788">
        <v>89</v>
      </c>
      <c r="D788">
        <v>17.059999999999999</v>
      </c>
      <c r="E788">
        <f t="shared" ca="1" si="48"/>
        <v>97.749271002981658</v>
      </c>
      <c r="F788">
        <f t="shared" ca="1" si="49"/>
        <v>-8.7492710029816578</v>
      </c>
      <c r="G788">
        <f t="shared" ca="1" si="50"/>
        <v>-8.9507276250835446E-2</v>
      </c>
      <c r="H788" t="str">
        <f t="shared" ca="1" si="51"/>
        <v>underprived</v>
      </c>
    </row>
    <row r="789" spans="1:8" x14ac:dyDescent="0.3">
      <c r="A789" t="s">
        <v>245</v>
      </c>
      <c r="B789" t="s">
        <v>246</v>
      </c>
      <c r="C789">
        <v>89</v>
      </c>
      <c r="D789">
        <v>17.059999999999999</v>
      </c>
      <c r="E789">
        <f t="shared" ca="1" si="48"/>
        <v>88.619632590957949</v>
      </c>
      <c r="F789">
        <f t="shared" ca="1" si="49"/>
        <v>0.38036740904205146</v>
      </c>
      <c r="G789">
        <f t="shared" ca="1" si="50"/>
        <v>4.2921348003970529E-3</v>
      </c>
      <c r="H789" t="str">
        <f t="shared" ca="1" si="51"/>
        <v>competitive</v>
      </c>
    </row>
    <row r="790" spans="1:8" x14ac:dyDescent="0.3">
      <c r="A790" t="s">
        <v>1059</v>
      </c>
      <c r="B790" t="s">
        <v>1060</v>
      </c>
      <c r="C790">
        <v>60</v>
      </c>
      <c r="D790">
        <v>25.24</v>
      </c>
      <c r="E790">
        <f t="shared" ca="1" si="48"/>
        <v>61.258172636100781</v>
      </c>
      <c r="F790">
        <f t="shared" ca="1" si="49"/>
        <v>-1.258172636100781</v>
      </c>
      <c r="G790">
        <f t="shared" ca="1" si="50"/>
        <v>-2.0538853543262771E-2</v>
      </c>
      <c r="H790" t="str">
        <f t="shared" ca="1" si="51"/>
        <v>competitive</v>
      </c>
    </row>
    <row r="791" spans="1:8" x14ac:dyDescent="0.3">
      <c r="A791" t="s">
        <v>1061</v>
      </c>
      <c r="B791" t="s">
        <v>1062</v>
      </c>
      <c r="C791">
        <v>36.229999999999997</v>
      </c>
      <c r="D791">
        <v>2.27</v>
      </c>
      <c r="E791">
        <f t="shared" ca="1" si="48"/>
        <v>35.130802387423053</v>
      </c>
      <c r="F791">
        <f t="shared" ca="1" si="49"/>
        <v>1.099197612576944</v>
      </c>
      <c r="G791">
        <f t="shared" ca="1" si="50"/>
        <v>3.1288713547017094E-2</v>
      </c>
      <c r="H791" t="str">
        <f t="shared" ca="1" si="51"/>
        <v>competitive</v>
      </c>
    </row>
    <row r="792" spans="1:8" x14ac:dyDescent="0.3">
      <c r="A792" t="s">
        <v>1063</v>
      </c>
      <c r="B792" t="s">
        <v>229</v>
      </c>
      <c r="C792">
        <v>79</v>
      </c>
      <c r="D792">
        <v>59.78</v>
      </c>
      <c r="E792">
        <f t="shared" ca="1" si="48"/>
        <v>80.384587960296813</v>
      </c>
      <c r="F792">
        <f t="shared" ca="1" si="49"/>
        <v>-1.3845879602968125</v>
      </c>
      <c r="G792">
        <f t="shared" ca="1" si="50"/>
        <v>-1.7224545095394179E-2</v>
      </c>
      <c r="H792" t="str">
        <f t="shared" ca="1" si="51"/>
        <v>competitive</v>
      </c>
    </row>
    <row r="793" spans="1:8" x14ac:dyDescent="0.3">
      <c r="A793" t="s">
        <v>1064</v>
      </c>
      <c r="B793" t="s">
        <v>526</v>
      </c>
      <c r="C793">
        <v>73</v>
      </c>
      <c r="D793">
        <v>15.26</v>
      </c>
      <c r="E793">
        <f t="shared" ca="1" si="48"/>
        <v>72.938250825086683</v>
      </c>
      <c r="F793">
        <f t="shared" ca="1" si="49"/>
        <v>6.1749174913316551E-2</v>
      </c>
      <c r="G793">
        <f t="shared" ca="1" si="50"/>
        <v>8.4659522561621788E-4</v>
      </c>
      <c r="H793" t="str">
        <f t="shared" ca="1" si="51"/>
        <v>competitive</v>
      </c>
    </row>
    <row r="794" spans="1:8" x14ac:dyDescent="0.3">
      <c r="A794" t="s">
        <v>1065</v>
      </c>
      <c r="B794" t="s">
        <v>1066</v>
      </c>
      <c r="C794">
        <v>109.9</v>
      </c>
      <c r="D794">
        <v>12.72</v>
      </c>
      <c r="E794">
        <f t="shared" ca="1" si="48"/>
        <v>99.336102293349285</v>
      </c>
      <c r="F794">
        <f t="shared" ca="1" si="49"/>
        <v>10.563897706650721</v>
      </c>
      <c r="G794">
        <f t="shared" ca="1" si="50"/>
        <v>0.10634499907651392</v>
      </c>
      <c r="H794" t="str">
        <f t="shared" ca="1" si="51"/>
        <v>overpriced</v>
      </c>
    </row>
    <row r="795" spans="1:8" x14ac:dyDescent="0.3">
      <c r="A795" t="s">
        <v>1067</v>
      </c>
      <c r="B795" t="s">
        <v>416</v>
      </c>
      <c r="C795">
        <v>18.899999999999999</v>
      </c>
      <c r="D795">
        <v>14.1</v>
      </c>
      <c r="E795">
        <f t="shared" ca="1" si="48"/>
        <v>19.122890686553095</v>
      </c>
      <c r="F795">
        <f t="shared" ca="1" si="49"/>
        <v>-0.22289068655309663</v>
      </c>
      <c r="G795">
        <f t="shared" ca="1" si="50"/>
        <v>-1.1655700500857317E-2</v>
      </c>
      <c r="H795" t="str">
        <f t="shared" ca="1" si="51"/>
        <v>competitive</v>
      </c>
    </row>
    <row r="796" spans="1:8" x14ac:dyDescent="0.3">
      <c r="A796" t="s">
        <v>1068</v>
      </c>
      <c r="B796" t="s">
        <v>61</v>
      </c>
      <c r="C796">
        <v>329.9</v>
      </c>
      <c r="D796">
        <v>46.39</v>
      </c>
      <c r="E796">
        <f t="shared" ca="1" si="48"/>
        <v>345.30597666910171</v>
      </c>
      <c r="F796">
        <f t="shared" ca="1" si="49"/>
        <v>-15.405976669101733</v>
      </c>
      <c r="G796">
        <f t="shared" ca="1" si="50"/>
        <v>-4.461543590328558E-2</v>
      </c>
      <c r="H796" t="str">
        <f t="shared" ca="1" si="51"/>
        <v>competitive</v>
      </c>
    </row>
    <row r="797" spans="1:8" x14ac:dyDescent="0.3">
      <c r="A797" t="s">
        <v>1069</v>
      </c>
      <c r="B797" t="s">
        <v>489</v>
      </c>
      <c r="C797">
        <v>17.899999999999999</v>
      </c>
      <c r="D797">
        <v>16.79</v>
      </c>
      <c r="E797">
        <f t="shared" ca="1" si="48"/>
        <v>17.827336199474303</v>
      </c>
      <c r="F797">
        <f t="shared" ca="1" si="49"/>
        <v>7.2663800525695876E-2</v>
      </c>
      <c r="G797">
        <f t="shared" ca="1" si="50"/>
        <v>4.0759763383964569E-3</v>
      </c>
      <c r="H797" t="str">
        <f t="shared" ca="1" si="51"/>
        <v>competitive</v>
      </c>
    </row>
    <row r="798" spans="1:8" x14ac:dyDescent="0.3">
      <c r="A798" t="s">
        <v>1070</v>
      </c>
      <c r="B798" t="s">
        <v>1071</v>
      </c>
      <c r="C798">
        <v>75</v>
      </c>
      <c r="D798">
        <v>14.62</v>
      </c>
      <c r="E798">
        <f t="shared" ca="1" si="48"/>
        <v>79.70929443160216</v>
      </c>
      <c r="F798">
        <f t="shared" ca="1" si="49"/>
        <v>-4.7092944316021601</v>
      </c>
      <c r="G798">
        <f t="shared" ca="1" si="50"/>
        <v>-5.9080869617321279E-2</v>
      </c>
      <c r="H798" t="str">
        <f t="shared" ca="1" si="51"/>
        <v>underprived</v>
      </c>
    </row>
    <row r="799" spans="1:8" x14ac:dyDescent="0.3">
      <c r="A799" t="s">
        <v>1072</v>
      </c>
      <c r="B799" t="s">
        <v>747</v>
      </c>
      <c r="C799">
        <v>219.9</v>
      </c>
      <c r="D799">
        <v>27.84</v>
      </c>
      <c r="E799">
        <f t="shared" ca="1" si="48"/>
        <v>206.24541126694967</v>
      </c>
      <c r="F799">
        <f t="shared" ca="1" si="49"/>
        <v>13.654588733050332</v>
      </c>
      <c r="G799">
        <f t="shared" ca="1" si="50"/>
        <v>6.6205539551989281E-2</v>
      </c>
      <c r="H799" t="str">
        <f t="shared" ca="1" si="51"/>
        <v>overpriced</v>
      </c>
    </row>
    <row r="800" spans="1:8" x14ac:dyDescent="0.3">
      <c r="A800" t="s">
        <v>1073</v>
      </c>
      <c r="B800" t="s">
        <v>1074</v>
      </c>
      <c r="C800">
        <v>34</v>
      </c>
      <c r="D800">
        <v>13.54</v>
      </c>
      <c r="E800">
        <f t="shared" ca="1" si="48"/>
        <v>30.834496981777765</v>
      </c>
      <c r="F800">
        <f t="shared" ca="1" si="49"/>
        <v>3.1655030182222355</v>
      </c>
      <c r="G800">
        <f t="shared" ca="1" si="50"/>
        <v>0.1026610883288594</v>
      </c>
      <c r="H800" t="str">
        <f t="shared" ca="1" si="51"/>
        <v>overpriced</v>
      </c>
    </row>
    <row r="801" spans="1:8" x14ac:dyDescent="0.3">
      <c r="A801" t="s">
        <v>1075</v>
      </c>
      <c r="B801" t="s">
        <v>47</v>
      </c>
      <c r="C801">
        <v>114.94</v>
      </c>
      <c r="D801">
        <v>34.159999999999997</v>
      </c>
      <c r="E801">
        <f t="shared" ca="1" si="48"/>
        <v>115.34458837310656</v>
      </c>
      <c r="F801">
        <f t="shared" ca="1" si="49"/>
        <v>-0.40458837310656293</v>
      </c>
      <c r="G801">
        <f t="shared" ca="1" si="50"/>
        <v>-3.5076493731793982E-3</v>
      </c>
      <c r="H801" t="str">
        <f t="shared" ca="1" si="51"/>
        <v>competitive</v>
      </c>
    </row>
    <row r="802" spans="1:8" x14ac:dyDescent="0.3">
      <c r="A802" t="s">
        <v>1076</v>
      </c>
      <c r="B802" t="s">
        <v>71</v>
      </c>
      <c r="C802">
        <v>13.65</v>
      </c>
      <c r="D802">
        <v>18.23</v>
      </c>
      <c r="E802">
        <f t="shared" ca="1" si="48"/>
        <v>14.433957840004332</v>
      </c>
      <c r="F802">
        <f t="shared" ca="1" si="49"/>
        <v>-0.78395784000433189</v>
      </c>
      <c r="G802">
        <f t="shared" ca="1" si="50"/>
        <v>-5.431343562827648E-2</v>
      </c>
      <c r="H802" t="str">
        <f t="shared" ca="1" si="51"/>
        <v>underprived</v>
      </c>
    </row>
    <row r="803" spans="1:8" x14ac:dyDescent="0.3">
      <c r="A803" t="s">
        <v>1077</v>
      </c>
      <c r="B803" t="s">
        <v>1078</v>
      </c>
      <c r="C803">
        <v>52</v>
      </c>
      <c r="D803">
        <v>15.21</v>
      </c>
      <c r="E803">
        <f t="shared" ca="1" si="48"/>
        <v>55.89500640452291</v>
      </c>
      <c r="F803">
        <f t="shared" ca="1" si="49"/>
        <v>-3.8950064045229098</v>
      </c>
      <c r="G803">
        <f t="shared" ca="1" si="50"/>
        <v>-6.9684335955416121E-2</v>
      </c>
      <c r="H803" t="str">
        <f t="shared" ca="1" si="51"/>
        <v>underprived</v>
      </c>
    </row>
    <row r="804" spans="1:8" x14ac:dyDescent="0.3">
      <c r="A804" t="s">
        <v>1079</v>
      </c>
      <c r="B804" t="s">
        <v>403</v>
      </c>
      <c r="C804">
        <v>229.9</v>
      </c>
      <c r="D804">
        <v>43.98</v>
      </c>
      <c r="E804">
        <f t="shared" ca="1" si="48"/>
        <v>230.84645432961742</v>
      </c>
      <c r="F804">
        <f t="shared" ca="1" si="49"/>
        <v>-0.94645432961740994</v>
      </c>
      <c r="G804">
        <f t="shared" ca="1" si="50"/>
        <v>-4.0999301131391932E-3</v>
      </c>
      <c r="H804" t="str">
        <f t="shared" ca="1" si="51"/>
        <v>competitive</v>
      </c>
    </row>
    <row r="805" spans="1:8" x14ac:dyDescent="0.3">
      <c r="A805" t="s">
        <v>1080</v>
      </c>
      <c r="B805" t="s">
        <v>233</v>
      </c>
      <c r="C805">
        <v>147.19999999999999</v>
      </c>
      <c r="D805">
        <v>18.91</v>
      </c>
      <c r="E805">
        <f t="shared" ca="1" si="48"/>
        <v>159.11424407245204</v>
      </c>
      <c r="F805">
        <f t="shared" ca="1" si="49"/>
        <v>-11.91424407245205</v>
      </c>
      <c r="G805">
        <f t="shared" ca="1" si="50"/>
        <v>-7.4878551206433455E-2</v>
      </c>
      <c r="H805" t="str">
        <f t="shared" ca="1" si="51"/>
        <v>underprived</v>
      </c>
    </row>
    <row r="806" spans="1:8" x14ac:dyDescent="0.3">
      <c r="A806" t="s">
        <v>1081</v>
      </c>
      <c r="B806" t="s">
        <v>246</v>
      </c>
      <c r="C806">
        <v>75</v>
      </c>
      <c r="D806">
        <v>16.23</v>
      </c>
      <c r="E806">
        <f t="shared" ca="1" si="48"/>
        <v>79.040139368836392</v>
      </c>
      <c r="F806">
        <f t="shared" ca="1" si="49"/>
        <v>-4.0401393688363925</v>
      </c>
      <c r="G806">
        <f t="shared" ca="1" si="50"/>
        <v>-5.1115033463988567E-2</v>
      </c>
      <c r="H806" t="str">
        <f t="shared" ca="1" si="51"/>
        <v>underprived</v>
      </c>
    </row>
    <row r="807" spans="1:8" x14ac:dyDescent="0.3">
      <c r="A807" t="s">
        <v>1082</v>
      </c>
      <c r="B807" t="s">
        <v>1083</v>
      </c>
      <c r="C807">
        <v>48.9</v>
      </c>
      <c r="D807">
        <v>12.69</v>
      </c>
      <c r="E807">
        <f t="shared" ca="1" si="48"/>
        <v>47.241045063633109</v>
      </c>
      <c r="F807">
        <f t="shared" ca="1" si="49"/>
        <v>1.6589549363668894</v>
      </c>
      <c r="G807">
        <f t="shared" ca="1" si="50"/>
        <v>3.5116812808275034E-2</v>
      </c>
      <c r="H807" t="str">
        <f t="shared" ca="1" si="51"/>
        <v>competitive</v>
      </c>
    </row>
    <row r="808" spans="1:8" x14ac:dyDescent="0.3">
      <c r="A808" t="s">
        <v>1084</v>
      </c>
      <c r="B808" t="s">
        <v>691</v>
      </c>
      <c r="C808">
        <v>151.99</v>
      </c>
      <c r="D808">
        <v>17.77</v>
      </c>
      <c r="E808">
        <f t="shared" ca="1" si="48"/>
        <v>142.64674940652199</v>
      </c>
      <c r="F808">
        <f t="shared" ca="1" si="49"/>
        <v>9.3432505934780181</v>
      </c>
      <c r="G808">
        <f t="shared" ca="1" si="50"/>
        <v>6.5499218400351666E-2</v>
      </c>
      <c r="H808" t="str">
        <f t="shared" ca="1" si="51"/>
        <v>overpriced</v>
      </c>
    </row>
    <row r="809" spans="1:8" x14ac:dyDescent="0.3">
      <c r="A809" t="s">
        <v>1085</v>
      </c>
      <c r="B809" t="s">
        <v>1074</v>
      </c>
      <c r="C809">
        <v>69.900000000000006</v>
      </c>
      <c r="D809">
        <v>14.88</v>
      </c>
      <c r="E809">
        <f t="shared" ca="1" si="48"/>
        <v>75.445611105381587</v>
      </c>
      <c r="F809">
        <f t="shared" ca="1" si="49"/>
        <v>-5.5456111053815818</v>
      </c>
      <c r="G809">
        <f t="shared" ca="1" si="50"/>
        <v>-7.3504754274380968E-2</v>
      </c>
      <c r="H809" t="str">
        <f t="shared" ca="1" si="51"/>
        <v>underprived</v>
      </c>
    </row>
    <row r="810" spans="1:8" x14ac:dyDescent="0.3">
      <c r="A810" t="s">
        <v>1086</v>
      </c>
      <c r="B810" t="s">
        <v>1033</v>
      </c>
      <c r="C810">
        <v>28.9</v>
      </c>
      <c r="D810">
        <v>16.11</v>
      </c>
      <c r="E810">
        <f t="shared" ca="1" si="48"/>
        <v>26.075879810926843</v>
      </c>
      <c r="F810">
        <f t="shared" ca="1" si="49"/>
        <v>2.824120189073156</v>
      </c>
      <c r="G810">
        <f t="shared" ca="1" si="50"/>
        <v>0.10830392721359822</v>
      </c>
      <c r="H810" t="str">
        <f t="shared" ca="1" si="51"/>
        <v>overpriced</v>
      </c>
    </row>
    <row r="811" spans="1:8" x14ac:dyDescent="0.3">
      <c r="A811" t="s">
        <v>1087</v>
      </c>
      <c r="B811" t="s">
        <v>33</v>
      </c>
      <c r="C811">
        <v>149.9</v>
      </c>
      <c r="D811">
        <v>23.63</v>
      </c>
      <c r="E811">
        <f t="shared" ca="1" si="48"/>
        <v>145.05633720719001</v>
      </c>
      <c r="F811">
        <f t="shared" ca="1" si="49"/>
        <v>4.8436627928099938</v>
      </c>
      <c r="G811">
        <f t="shared" ca="1" si="50"/>
        <v>3.339159726535483E-2</v>
      </c>
      <c r="H811" t="str">
        <f t="shared" ca="1" si="51"/>
        <v>competitive</v>
      </c>
    </row>
    <row r="812" spans="1:8" x14ac:dyDescent="0.3">
      <c r="A812" t="s">
        <v>1088</v>
      </c>
      <c r="B812" t="s">
        <v>113</v>
      </c>
      <c r="C812">
        <v>79.900000000000006</v>
      </c>
      <c r="D812">
        <v>9.07</v>
      </c>
      <c r="E812">
        <f t="shared" ca="1" si="48"/>
        <v>74.846301779634004</v>
      </c>
      <c r="F812">
        <f t="shared" ca="1" si="49"/>
        <v>5.0536982203660017</v>
      </c>
      <c r="G812">
        <f t="shared" ca="1" si="50"/>
        <v>6.7521014401557708E-2</v>
      </c>
      <c r="H812" t="str">
        <f t="shared" ca="1" si="51"/>
        <v>overpriced</v>
      </c>
    </row>
    <row r="813" spans="1:8" x14ac:dyDescent="0.3">
      <c r="A813" t="s">
        <v>1089</v>
      </c>
      <c r="B813" t="s">
        <v>1090</v>
      </c>
      <c r="C813">
        <v>92.65</v>
      </c>
      <c r="D813">
        <v>12.99</v>
      </c>
      <c r="E813">
        <f t="shared" ca="1" si="48"/>
        <v>101.48881334546402</v>
      </c>
      <c r="F813">
        <f t="shared" ca="1" si="49"/>
        <v>-8.8388133454640183</v>
      </c>
      <c r="G813">
        <f t="shared" ca="1" si="50"/>
        <v>-8.7091503527359587E-2</v>
      </c>
      <c r="H813" t="str">
        <f t="shared" ca="1" si="51"/>
        <v>underprived</v>
      </c>
    </row>
    <row r="814" spans="1:8" x14ac:dyDescent="0.3">
      <c r="A814" t="s">
        <v>1089</v>
      </c>
      <c r="B814" t="s">
        <v>1090</v>
      </c>
      <c r="C814">
        <v>92.65</v>
      </c>
      <c r="D814">
        <v>12.99</v>
      </c>
      <c r="E814">
        <f t="shared" ca="1" si="48"/>
        <v>89.929738476720487</v>
      </c>
      <c r="F814">
        <f t="shared" ca="1" si="49"/>
        <v>2.7202615232795182</v>
      </c>
      <c r="G814">
        <f t="shared" ca="1" si="50"/>
        <v>3.0248742733569655E-2</v>
      </c>
      <c r="H814" t="str">
        <f t="shared" ca="1" si="51"/>
        <v>competitive</v>
      </c>
    </row>
    <row r="815" spans="1:8" x14ac:dyDescent="0.3">
      <c r="A815" t="s">
        <v>1091</v>
      </c>
      <c r="B815" t="s">
        <v>679</v>
      </c>
      <c r="C815">
        <v>150</v>
      </c>
      <c r="D815">
        <v>20.02</v>
      </c>
      <c r="E815">
        <f t="shared" ca="1" si="48"/>
        <v>150.46053777787392</v>
      </c>
      <c r="F815">
        <f t="shared" ca="1" si="49"/>
        <v>-0.46053777787392391</v>
      </c>
      <c r="G815">
        <f t="shared" ca="1" si="50"/>
        <v>-3.060854259033817E-3</v>
      </c>
      <c r="H815" t="str">
        <f t="shared" ca="1" si="51"/>
        <v>competitive</v>
      </c>
    </row>
    <row r="816" spans="1:8" x14ac:dyDescent="0.3">
      <c r="A816" t="s">
        <v>567</v>
      </c>
      <c r="B816" t="s">
        <v>47</v>
      </c>
      <c r="C816">
        <v>119.99</v>
      </c>
      <c r="D816">
        <v>21.29</v>
      </c>
      <c r="E816">
        <f t="shared" ca="1" si="48"/>
        <v>130.39758321293516</v>
      </c>
      <c r="F816">
        <f t="shared" ca="1" si="49"/>
        <v>-10.407583212935165</v>
      </c>
      <c r="G816">
        <f t="shared" ca="1" si="50"/>
        <v>-7.9814233948952165E-2</v>
      </c>
      <c r="H816" t="str">
        <f t="shared" ca="1" si="51"/>
        <v>underprived</v>
      </c>
    </row>
    <row r="817" spans="1:8" x14ac:dyDescent="0.3">
      <c r="A817" t="s">
        <v>1092</v>
      </c>
      <c r="B817" t="s">
        <v>241</v>
      </c>
      <c r="C817">
        <v>33.6</v>
      </c>
      <c r="D817">
        <v>15.1</v>
      </c>
      <c r="E817">
        <f t="shared" ca="1" si="48"/>
        <v>33.658129288454717</v>
      </c>
      <c r="F817">
        <f t="shared" ca="1" si="49"/>
        <v>-5.8129288454715322E-2</v>
      </c>
      <c r="G817">
        <f t="shared" ca="1" si="50"/>
        <v>-1.727050483303438E-3</v>
      </c>
      <c r="H817" t="str">
        <f t="shared" ca="1" si="51"/>
        <v>competitive</v>
      </c>
    </row>
    <row r="818" spans="1:8" x14ac:dyDescent="0.3">
      <c r="A818" t="s">
        <v>1093</v>
      </c>
      <c r="B818" t="s">
        <v>390</v>
      </c>
      <c r="C818">
        <v>39.9</v>
      </c>
      <c r="D818">
        <v>17.600000000000001</v>
      </c>
      <c r="E818">
        <f t="shared" ca="1" si="48"/>
        <v>36.71354103410772</v>
      </c>
      <c r="F818">
        <f t="shared" ca="1" si="49"/>
        <v>3.1864589658922782</v>
      </c>
      <c r="G818">
        <f t="shared" ca="1" si="50"/>
        <v>8.6792471555167741E-2</v>
      </c>
      <c r="H818" t="str">
        <f t="shared" ca="1" si="51"/>
        <v>overpriced</v>
      </c>
    </row>
    <row r="819" spans="1:8" x14ac:dyDescent="0.3">
      <c r="A819" t="s">
        <v>1093</v>
      </c>
      <c r="B819" t="s">
        <v>390</v>
      </c>
      <c r="C819">
        <v>39.9</v>
      </c>
      <c r="D819">
        <v>17.600000000000001</v>
      </c>
      <c r="E819">
        <f t="shared" ca="1" si="48"/>
        <v>39.076435637571933</v>
      </c>
      <c r="F819">
        <f t="shared" ca="1" si="49"/>
        <v>0.82356436242806552</v>
      </c>
      <c r="G819">
        <f t="shared" ca="1" si="50"/>
        <v>2.1075728862952118E-2</v>
      </c>
      <c r="H819" t="str">
        <f t="shared" ca="1" si="51"/>
        <v>competitive</v>
      </c>
    </row>
    <row r="820" spans="1:8" x14ac:dyDescent="0.3">
      <c r="A820" t="s">
        <v>1094</v>
      </c>
      <c r="B820" t="s">
        <v>209</v>
      </c>
      <c r="C820">
        <v>169.99</v>
      </c>
      <c r="D820">
        <v>16.63</v>
      </c>
      <c r="E820">
        <f t="shared" ca="1" si="48"/>
        <v>173.4997437885188</v>
      </c>
      <c r="F820">
        <f t="shared" ca="1" si="49"/>
        <v>-3.5097437885187901</v>
      </c>
      <c r="G820">
        <f t="shared" ca="1" si="50"/>
        <v>-2.0229100699980657E-2</v>
      </c>
      <c r="H820" t="str">
        <f t="shared" ca="1" si="51"/>
        <v>competitive</v>
      </c>
    </row>
    <row r="821" spans="1:8" x14ac:dyDescent="0.3">
      <c r="A821" t="s">
        <v>1095</v>
      </c>
      <c r="B821" t="s">
        <v>1096</v>
      </c>
      <c r="C821">
        <v>16</v>
      </c>
      <c r="D821">
        <v>7.87</v>
      </c>
      <c r="E821">
        <f t="shared" ca="1" si="48"/>
        <v>17.594893870831211</v>
      </c>
      <c r="F821">
        <f t="shared" ca="1" si="49"/>
        <v>-1.5948938708312106</v>
      </c>
      <c r="G821">
        <f t="shared" ca="1" si="50"/>
        <v>-9.0645268027175957E-2</v>
      </c>
      <c r="H821" t="str">
        <f t="shared" ca="1" si="51"/>
        <v>underprived</v>
      </c>
    </row>
    <row r="822" spans="1:8" x14ac:dyDescent="0.3">
      <c r="A822" t="s">
        <v>1097</v>
      </c>
      <c r="B822" t="s">
        <v>493</v>
      </c>
      <c r="C822">
        <v>118.9</v>
      </c>
      <c r="D822">
        <v>12.04</v>
      </c>
      <c r="E822">
        <f t="shared" ca="1" si="48"/>
        <v>116.26917211457186</v>
      </c>
      <c r="F822">
        <f t="shared" ca="1" si="49"/>
        <v>2.6308278854281468</v>
      </c>
      <c r="G822">
        <f t="shared" ca="1" si="50"/>
        <v>2.2627045824629457E-2</v>
      </c>
      <c r="H822" t="str">
        <f t="shared" ca="1" si="51"/>
        <v>competitive</v>
      </c>
    </row>
    <row r="823" spans="1:8" x14ac:dyDescent="0.3">
      <c r="A823" t="s">
        <v>1098</v>
      </c>
      <c r="B823" t="s">
        <v>1099</v>
      </c>
      <c r="C823">
        <v>51.4</v>
      </c>
      <c r="D823">
        <v>14.59</v>
      </c>
      <c r="E823">
        <f t="shared" ca="1" si="48"/>
        <v>51.865102384336147</v>
      </c>
      <c r="F823">
        <f t="shared" ca="1" si="49"/>
        <v>-0.46510238433614859</v>
      </c>
      <c r="G823">
        <f t="shared" ca="1" si="50"/>
        <v>-8.9675400790612311E-3</v>
      </c>
      <c r="H823" t="str">
        <f t="shared" ca="1" si="51"/>
        <v>competitive</v>
      </c>
    </row>
    <row r="824" spans="1:8" x14ac:dyDescent="0.3">
      <c r="A824" t="s">
        <v>1100</v>
      </c>
      <c r="B824" t="s">
        <v>1101</v>
      </c>
      <c r="C824">
        <v>184.99</v>
      </c>
      <c r="D824">
        <v>16.05</v>
      </c>
      <c r="E824">
        <f t="shared" ca="1" si="48"/>
        <v>196.7152846240563</v>
      </c>
      <c r="F824">
        <f t="shared" ca="1" si="49"/>
        <v>-11.725284624056286</v>
      </c>
      <c r="G824">
        <f t="shared" ca="1" si="50"/>
        <v>-5.9605356271448577E-2</v>
      </c>
      <c r="H824" t="str">
        <f t="shared" ca="1" si="51"/>
        <v>underprived</v>
      </c>
    </row>
    <row r="825" spans="1:8" x14ac:dyDescent="0.3">
      <c r="A825" t="s">
        <v>1102</v>
      </c>
      <c r="B825" t="s">
        <v>1103</v>
      </c>
      <c r="C825">
        <v>76.099999999999994</v>
      </c>
      <c r="D825">
        <v>20.02</v>
      </c>
      <c r="E825">
        <f t="shared" ca="1" si="48"/>
        <v>76.416488405234333</v>
      </c>
      <c r="F825">
        <f t="shared" ca="1" si="49"/>
        <v>-0.31648840523433819</v>
      </c>
      <c r="G825">
        <f t="shared" ca="1" si="50"/>
        <v>-4.1416245608671487E-3</v>
      </c>
      <c r="H825" t="str">
        <f t="shared" ca="1" si="51"/>
        <v>competitive</v>
      </c>
    </row>
    <row r="826" spans="1:8" x14ac:dyDescent="0.3">
      <c r="A826" t="s">
        <v>1104</v>
      </c>
      <c r="B826" t="s">
        <v>1105</v>
      </c>
      <c r="C826">
        <v>98</v>
      </c>
      <c r="D826">
        <v>12.69</v>
      </c>
      <c r="E826">
        <f t="shared" ca="1" si="48"/>
        <v>88.62193535490465</v>
      </c>
      <c r="F826">
        <f t="shared" ca="1" si="49"/>
        <v>9.3780646450953498</v>
      </c>
      <c r="G826">
        <f t="shared" ca="1" si="50"/>
        <v>0.10582103186461651</v>
      </c>
      <c r="H826" t="str">
        <f t="shared" ca="1" si="51"/>
        <v>overpriced</v>
      </c>
    </row>
    <row r="827" spans="1:8" x14ac:dyDescent="0.3">
      <c r="A827" t="s">
        <v>1106</v>
      </c>
      <c r="B827" t="s">
        <v>1107</v>
      </c>
      <c r="C827">
        <v>49.9</v>
      </c>
      <c r="D827">
        <v>11.85</v>
      </c>
      <c r="E827">
        <f t="shared" ca="1" si="48"/>
        <v>49.464193096633245</v>
      </c>
      <c r="F827">
        <f t="shared" ca="1" si="49"/>
        <v>0.43580690336675332</v>
      </c>
      <c r="G827">
        <f t="shared" ca="1" si="50"/>
        <v>8.8105531715712213E-3</v>
      </c>
      <c r="H827" t="str">
        <f t="shared" ca="1" si="51"/>
        <v>competitive</v>
      </c>
    </row>
    <row r="828" spans="1:8" x14ac:dyDescent="0.3">
      <c r="A828" t="s">
        <v>1106</v>
      </c>
      <c r="B828" t="s">
        <v>1107</v>
      </c>
      <c r="C828">
        <v>49.9</v>
      </c>
      <c r="D828">
        <v>11.85</v>
      </c>
      <c r="E828">
        <f t="shared" ca="1" si="48"/>
        <v>49.518180168172265</v>
      </c>
      <c r="F828">
        <f t="shared" ca="1" si="49"/>
        <v>0.38181983182773394</v>
      </c>
      <c r="G828">
        <f t="shared" ca="1" si="50"/>
        <v>7.7107000001011353E-3</v>
      </c>
      <c r="H828" t="str">
        <f t="shared" ca="1" si="51"/>
        <v>competitive</v>
      </c>
    </row>
    <row r="829" spans="1:8" x14ac:dyDescent="0.3">
      <c r="A829" t="s">
        <v>715</v>
      </c>
      <c r="B829" t="s">
        <v>49</v>
      </c>
      <c r="C829">
        <v>55</v>
      </c>
      <c r="D829">
        <v>12.83</v>
      </c>
      <c r="E829">
        <f t="shared" ca="1" si="48"/>
        <v>54.789344132134154</v>
      </c>
      <c r="F829">
        <f t="shared" ca="1" si="49"/>
        <v>0.21065586786584589</v>
      </c>
      <c r="G829">
        <f t="shared" ca="1" si="50"/>
        <v>3.8448328083251402E-3</v>
      </c>
      <c r="H829" t="str">
        <f t="shared" ca="1" si="51"/>
        <v>competitive</v>
      </c>
    </row>
    <row r="830" spans="1:8" x14ac:dyDescent="0.3">
      <c r="A830" t="s">
        <v>1108</v>
      </c>
      <c r="B830" t="s">
        <v>1010</v>
      </c>
      <c r="C830">
        <v>19</v>
      </c>
      <c r="D830">
        <v>14.1</v>
      </c>
      <c r="E830">
        <f t="shared" ca="1" si="48"/>
        <v>17.637959584358249</v>
      </c>
      <c r="F830">
        <f t="shared" ca="1" si="49"/>
        <v>1.3620404156417507</v>
      </c>
      <c r="G830">
        <f t="shared" ca="1" si="50"/>
        <v>7.7222107757273672E-2</v>
      </c>
      <c r="H830" t="str">
        <f t="shared" ca="1" si="51"/>
        <v>overpriced</v>
      </c>
    </row>
    <row r="831" spans="1:8" x14ac:dyDescent="0.3">
      <c r="A831" t="s">
        <v>1109</v>
      </c>
      <c r="B831" t="s">
        <v>83</v>
      </c>
      <c r="C831">
        <v>24.98</v>
      </c>
      <c r="D831">
        <v>12.84</v>
      </c>
      <c r="E831">
        <f t="shared" ca="1" si="48"/>
        <v>24.909902447197453</v>
      </c>
      <c r="F831">
        <f t="shared" ca="1" si="49"/>
        <v>7.0097552802547369E-2</v>
      </c>
      <c r="G831">
        <f t="shared" ca="1" si="50"/>
        <v>2.8140436499555165E-3</v>
      </c>
      <c r="H831" t="str">
        <f t="shared" ca="1" si="51"/>
        <v>competitive</v>
      </c>
    </row>
    <row r="832" spans="1:8" x14ac:dyDescent="0.3">
      <c r="A832" t="s">
        <v>1110</v>
      </c>
      <c r="B832" t="s">
        <v>416</v>
      </c>
      <c r="C832">
        <v>48.99</v>
      </c>
      <c r="D832">
        <v>15.1</v>
      </c>
      <c r="E832">
        <f t="shared" ca="1" si="48"/>
        <v>49.960039717198207</v>
      </c>
      <c r="F832">
        <f t="shared" ca="1" si="49"/>
        <v>-0.9700397171982047</v>
      </c>
      <c r="G832">
        <f t="shared" ca="1" si="50"/>
        <v>-1.9416311970310123E-2</v>
      </c>
      <c r="H832" t="str">
        <f t="shared" ca="1" si="51"/>
        <v>competitive</v>
      </c>
    </row>
    <row r="833" spans="1:8" x14ac:dyDescent="0.3">
      <c r="A833" t="s">
        <v>503</v>
      </c>
      <c r="B833" t="s">
        <v>489</v>
      </c>
      <c r="C833">
        <v>19.899999999999999</v>
      </c>
      <c r="D833">
        <v>12.48</v>
      </c>
      <c r="E833">
        <f t="shared" ca="1" si="48"/>
        <v>18.661934444425658</v>
      </c>
      <c r="F833">
        <f t="shared" ca="1" si="49"/>
        <v>1.2380655555743409</v>
      </c>
      <c r="G833">
        <f t="shared" ca="1" si="50"/>
        <v>6.6341758902928344E-2</v>
      </c>
      <c r="H833" t="str">
        <f t="shared" ca="1" si="51"/>
        <v>overpriced</v>
      </c>
    </row>
    <row r="834" spans="1:8" x14ac:dyDescent="0.3">
      <c r="A834" t="s">
        <v>503</v>
      </c>
      <c r="B834" t="s">
        <v>489</v>
      </c>
      <c r="C834">
        <v>19.899999999999999</v>
      </c>
      <c r="D834">
        <v>12.48</v>
      </c>
      <c r="E834">
        <f t="shared" ca="1" si="48"/>
        <v>20.47683620279361</v>
      </c>
      <c r="F834">
        <f t="shared" ca="1" si="49"/>
        <v>-0.57683620279361136</v>
      </c>
      <c r="G834">
        <f t="shared" ca="1" si="50"/>
        <v>-2.8170182008630557E-2</v>
      </c>
      <c r="H834" t="str">
        <f t="shared" ca="1" si="51"/>
        <v>competitive</v>
      </c>
    </row>
    <row r="835" spans="1:8" x14ac:dyDescent="0.3">
      <c r="A835" t="s">
        <v>1111</v>
      </c>
      <c r="B835" t="s">
        <v>1112</v>
      </c>
      <c r="C835">
        <v>138</v>
      </c>
      <c r="D835">
        <v>25.78</v>
      </c>
      <c r="E835">
        <f t="shared" ref="E835:E898" ca="1" si="52">C835*(1+RAND()*0.2-0.1)</f>
        <v>136.76033111215705</v>
      </c>
      <c r="F835">
        <f t="shared" ref="F835:F898" ca="1" si="53">C835-E835</f>
        <v>1.2396688878429529</v>
      </c>
      <c r="G835">
        <f t="shared" ref="G835:G898" ca="1" si="54">(C835-E835)/E835</f>
        <v>9.0645355839794033E-3</v>
      </c>
      <c r="H835" t="str">
        <f t="shared" ref="H835:H898" ca="1" si="55">IF(E835="","competitive",IF(ABS(C835-E835)/E835&lt;=0.05,"competitive",IF(C835&gt;E835,"overpriced","underprived")))</f>
        <v>competitive</v>
      </c>
    </row>
    <row r="836" spans="1:8" x14ac:dyDescent="0.3">
      <c r="A836" t="s">
        <v>1113</v>
      </c>
      <c r="B836" t="s">
        <v>241</v>
      </c>
      <c r="C836">
        <v>27.3</v>
      </c>
      <c r="D836">
        <v>11.85</v>
      </c>
      <c r="E836">
        <f t="shared" ca="1" si="52"/>
        <v>25.175192343846188</v>
      </c>
      <c r="F836">
        <f t="shared" ca="1" si="53"/>
        <v>2.1248076561538127</v>
      </c>
      <c r="G836">
        <f t="shared" ca="1" si="54"/>
        <v>8.4400850930269042E-2</v>
      </c>
      <c r="H836" t="str">
        <f t="shared" ca="1" si="55"/>
        <v>overpriced</v>
      </c>
    </row>
    <row r="837" spans="1:8" x14ac:dyDescent="0.3">
      <c r="A837" t="s">
        <v>424</v>
      </c>
      <c r="B837" t="s">
        <v>315</v>
      </c>
      <c r="C837">
        <v>45.9</v>
      </c>
      <c r="D837">
        <v>15.1</v>
      </c>
      <c r="E837">
        <f t="shared" ca="1" si="52"/>
        <v>45.358191609397075</v>
      </c>
      <c r="F837">
        <f t="shared" ca="1" si="53"/>
        <v>0.54180839060292385</v>
      </c>
      <c r="G837">
        <f t="shared" ca="1" si="54"/>
        <v>1.1945105644173759E-2</v>
      </c>
      <c r="H837" t="str">
        <f t="shared" ca="1" si="55"/>
        <v>competitive</v>
      </c>
    </row>
    <row r="838" spans="1:8" x14ac:dyDescent="0.3">
      <c r="A838" t="s">
        <v>1114</v>
      </c>
      <c r="B838" t="s">
        <v>1115</v>
      </c>
      <c r="C838">
        <v>99.9</v>
      </c>
      <c r="D838">
        <v>16.46</v>
      </c>
      <c r="E838">
        <f t="shared" ca="1" si="52"/>
        <v>90.995112125923882</v>
      </c>
      <c r="F838">
        <f t="shared" ca="1" si="53"/>
        <v>8.9048878740761239</v>
      </c>
      <c r="G838">
        <f t="shared" ca="1" si="54"/>
        <v>9.7861167111405564E-2</v>
      </c>
      <c r="H838" t="str">
        <f t="shared" ca="1" si="55"/>
        <v>overpriced</v>
      </c>
    </row>
    <row r="839" spans="1:8" x14ac:dyDescent="0.3">
      <c r="A839" t="s">
        <v>1116</v>
      </c>
      <c r="B839" t="s">
        <v>558</v>
      </c>
      <c r="C839">
        <v>285.89999999999998</v>
      </c>
      <c r="D839">
        <v>17.21</v>
      </c>
      <c r="E839">
        <f t="shared" ca="1" si="52"/>
        <v>278.78843013865384</v>
      </c>
      <c r="F839">
        <f t="shared" ca="1" si="53"/>
        <v>7.1115698613461404</v>
      </c>
      <c r="G839">
        <f t="shared" ca="1" si="54"/>
        <v>2.5508841445856422E-2</v>
      </c>
      <c r="H839" t="str">
        <f t="shared" ca="1" si="55"/>
        <v>competitive</v>
      </c>
    </row>
    <row r="840" spans="1:8" x14ac:dyDescent="0.3">
      <c r="A840" t="s">
        <v>1117</v>
      </c>
      <c r="B840" t="s">
        <v>1118</v>
      </c>
      <c r="C840">
        <v>46.3</v>
      </c>
      <c r="D840">
        <v>18.63</v>
      </c>
      <c r="E840">
        <f t="shared" ca="1" si="52"/>
        <v>41.713701544958191</v>
      </c>
      <c r="F840">
        <f t="shared" ca="1" si="53"/>
        <v>4.5862984550418062</v>
      </c>
      <c r="G840">
        <f t="shared" ca="1" si="54"/>
        <v>0.10994705061354447</v>
      </c>
      <c r="H840" t="str">
        <f t="shared" ca="1" si="55"/>
        <v>overpriced</v>
      </c>
    </row>
    <row r="841" spans="1:8" x14ac:dyDescent="0.3">
      <c r="A841" t="s">
        <v>1119</v>
      </c>
      <c r="B841" t="s">
        <v>1120</v>
      </c>
      <c r="C841">
        <v>135.9</v>
      </c>
      <c r="D841">
        <v>16.02</v>
      </c>
      <c r="E841">
        <f t="shared" ca="1" si="52"/>
        <v>140.04116989861612</v>
      </c>
      <c r="F841">
        <f t="shared" ca="1" si="53"/>
        <v>-4.1411698986161127</v>
      </c>
      <c r="G841">
        <f t="shared" ca="1" si="54"/>
        <v>-2.9571088999143211E-2</v>
      </c>
      <c r="H841" t="str">
        <f t="shared" ca="1" si="55"/>
        <v>competitive</v>
      </c>
    </row>
    <row r="842" spans="1:8" x14ac:dyDescent="0.3">
      <c r="A842" t="s">
        <v>1121</v>
      </c>
      <c r="B842" t="s">
        <v>149</v>
      </c>
      <c r="C842">
        <v>55</v>
      </c>
      <c r="D842">
        <v>8.64</v>
      </c>
      <c r="E842">
        <f t="shared" ca="1" si="52"/>
        <v>53.652373263119145</v>
      </c>
      <c r="F842">
        <f t="shared" ca="1" si="53"/>
        <v>1.347626736880855</v>
      </c>
      <c r="G842">
        <f t="shared" ca="1" si="54"/>
        <v>2.5117746987107073E-2</v>
      </c>
      <c r="H842" t="str">
        <f t="shared" ca="1" si="55"/>
        <v>competitive</v>
      </c>
    </row>
    <row r="843" spans="1:8" x14ac:dyDescent="0.3">
      <c r="A843" t="s">
        <v>1122</v>
      </c>
      <c r="B843" t="s">
        <v>322</v>
      </c>
      <c r="C843">
        <v>32.9</v>
      </c>
      <c r="D843">
        <v>10.96</v>
      </c>
      <c r="E843">
        <f t="shared" ca="1" si="52"/>
        <v>35.679230588396543</v>
      </c>
      <c r="F843">
        <f t="shared" ca="1" si="53"/>
        <v>-2.779230588396544</v>
      </c>
      <c r="G843">
        <f t="shared" ca="1" si="54"/>
        <v>-7.7894913723290729E-2</v>
      </c>
      <c r="H843" t="str">
        <f t="shared" ca="1" si="55"/>
        <v>underprived</v>
      </c>
    </row>
    <row r="844" spans="1:8" x14ac:dyDescent="0.3">
      <c r="A844" t="s">
        <v>431</v>
      </c>
      <c r="B844" t="s">
        <v>47</v>
      </c>
      <c r="C844">
        <v>114.6</v>
      </c>
      <c r="D844">
        <v>18.52</v>
      </c>
      <c r="E844">
        <f t="shared" ca="1" si="52"/>
        <v>116.87700121510467</v>
      </c>
      <c r="F844">
        <f t="shared" ca="1" si="53"/>
        <v>-2.2770012151046757</v>
      </c>
      <c r="G844">
        <f t="shared" ca="1" si="54"/>
        <v>-1.9482029752919482E-2</v>
      </c>
      <c r="H844" t="str">
        <f t="shared" ca="1" si="55"/>
        <v>competitive</v>
      </c>
    </row>
    <row r="845" spans="1:8" x14ac:dyDescent="0.3">
      <c r="A845" t="s">
        <v>1123</v>
      </c>
      <c r="B845" t="s">
        <v>1124</v>
      </c>
      <c r="C845">
        <v>47.9</v>
      </c>
      <c r="D845">
        <v>19.32</v>
      </c>
      <c r="E845">
        <f t="shared" ca="1" si="52"/>
        <v>43.265543901458067</v>
      </c>
      <c r="F845">
        <f t="shared" ca="1" si="53"/>
        <v>4.6344560985419321</v>
      </c>
      <c r="G845">
        <f t="shared" ca="1" si="54"/>
        <v>0.1071165569788607</v>
      </c>
      <c r="H845" t="str">
        <f t="shared" ca="1" si="55"/>
        <v>overpriced</v>
      </c>
    </row>
    <row r="846" spans="1:8" x14ac:dyDescent="0.3">
      <c r="A846" t="s">
        <v>1125</v>
      </c>
      <c r="B846" t="s">
        <v>49</v>
      </c>
      <c r="C846">
        <v>78</v>
      </c>
      <c r="D846">
        <v>18.649999999999999</v>
      </c>
      <c r="E846">
        <f t="shared" ca="1" si="52"/>
        <v>71.386235132818896</v>
      </c>
      <c r="F846">
        <f t="shared" ca="1" si="53"/>
        <v>6.6137648671811036</v>
      </c>
      <c r="G846">
        <f t="shared" ca="1" si="54"/>
        <v>9.2647621139786251E-2</v>
      </c>
      <c r="H846" t="str">
        <f t="shared" ca="1" si="55"/>
        <v>overpriced</v>
      </c>
    </row>
    <row r="847" spans="1:8" x14ac:dyDescent="0.3">
      <c r="A847" t="s">
        <v>637</v>
      </c>
      <c r="B847" t="s">
        <v>638</v>
      </c>
      <c r="C847">
        <v>165</v>
      </c>
      <c r="D847">
        <v>68.13</v>
      </c>
      <c r="E847">
        <f t="shared" ca="1" si="52"/>
        <v>176.10586973730935</v>
      </c>
      <c r="F847">
        <f t="shared" ca="1" si="53"/>
        <v>-11.105869737309348</v>
      </c>
      <c r="G847">
        <f t="shared" ca="1" si="54"/>
        <v>-6.3063597788509632E-2</v>
      </c>
      <c r="H847" t="str">
        <f t="shared" ca="1" si="55"/>
        <v>underprived</v>
      </c>
    </row>
    <row r="848" spans="1:8" x14ac:dyDescent="0.3">
      <c r="A848" t="s">
        <v>754</v>
      </c>
      <c r="B848" t="s">
        <v>239</v>
      </c>
      <c r="C848">
        <v>120</v>
      </c>
      <c r="D848">
        <v>45.3</v>
      </c>
      <c r="E848">
        <f t="shared" ca="1" si="52"/>
        <v>126.78608348942024</v>
      </c>
      <c r="F848">
        <f t="shared" ca="1" si="53"/>
        <v>-6.7860834894202355</v>
      </c>
      <c r="G848">
        <f t="shared" ca="1" si="54"/>
        <v>-5.3523882926681823E-2</v>
      </c>
      <c r="H848" t="str">
        <f t="shared" ca="1" si="55"/>
        <v>underprived</v>
      </c>
    </row>
    <row r="849" spans="1:8" x14ac:dyDescent="0.3">
      <c r="A849" t="s">
        <v>1126</v>
      </c>
      <c r="B849" t="s">
        <v>227</v>
      </c>
      <c r="C849">
        <v>59.9</v>
      </c>
      <c r="D849">
        <v>14.59</v>
      </c>
      <c r="E849">
        <f t="shared" ca="1" si="52"/>
        <v>56.912828974797385</v>
      </c>
      <c r="F849">
        <f t="shared" ca="1" si="53"/>
        <v>2.9871710252026134</v>
      </c>
      <c r="G849">
        <f t="shared" ca="1" si="54"/>
        <v>5.2486778095768488E-2</v>
      </c>
      <c r="H849" t="str">
        <f t="shared" ca="1" si="55"/>
        <v>overpriced</v>
      </c>
    </row>
    <row r="850" spans="1:8" x14ac:dyDescent="0.3">
      <c r="A850" t="s">
        <v>1127</v>
      </c>
      <c r="B850" t="s">
        <v>49</v>
      </c>
      <c r="C850">
        <v>99</v>
      </c>
      <c r="D850">
        <v>15.79</v>
      </c>
      <c r="E850">
        <f t="shared" ca="1" si="52"/>
        <v>97.486345572173832</v>
      </c>
      <c r="F850">
        <f t="shared" ca="1" si="53"/>
        <v>1.5136544278261681</v>
      </c>
      <c r="G850">
        <f t="shared" ca="1" si="54"/>
        <v>1.5526835260283062E-2</v>
      </c>
      <c r="H850" t="str">
        <f t="shared" ca="1" si="55"/>
        <v>competitive</v>
      </c>
    </row>
    <row r="851" spans="1:8" x14ac:dyDescent="0.3">
      <c r="A851" t="s">
        <v>1128</v>
      </c>
      <c r="B851" t="s">
        <v>1129</v>
      </c>
      <c r="C851">
        <v>59.9</v>
      </c>
      <c r="D851">
        <v>8.2899999999999991</v>
      </c>
      <c r="E851">
        <f t="shared" ca="1" si="52"/>
        <v>55.168927238224946</v>
      </c>
      <c r="F851">
        <f t="shared" ca="1" si="53"/>
        <v>4.731072761775053</v>
      </c>
      <c r="G851">
        <f t="shared" ca="1" si="54"/>
        <v>8.5756113062445599E-2</v>
      </c>
      <c r="H851" t="str">
        <f t="shared" ca="1" si="55"/>
        <v>overpriced</v>
      </c>
    </row>
    <row r="852" spans="1:8" x14ac:dyDescent="0.3">
      <c r="A852" t="s">
        <v>1130</v>
      </c>
      <c r="B852" t="s">
        <v>157</v>
      </c>
      <c r="C852">
        <v>41.95</v>
      </c>
      <c r="D852">
        <v>14.43</v>
      </c>
      <c r="E852">
        <f t="shared" ca="1" si="52"/>
        <v>43.282210963154675</v>
      </c>
      <c r="F852">
        <f t="shared" ca="1" si="53"/>
        <v>-1.3322109631546724</v>
      </c>
      <c r="G852">
        <f t="shared" ca="1" si="54"/>
        <v>-3.0779642109520659E-2</v>
      </c>
      <c r="H852" t="str">
        <f t="shared" ca="1" si="55"/>
        <v>competitive</v>
      </c>
    </row>
    <row r="853" spans="1:8" x14ac:dyDescent="0.3">
      <c r="A853" t="s">
        <v>1131</v>
      </c>
      <c r="B853" t="s">
        <v>227</v>
      </c>
      <c r="C853">
        <v>199.9</v>
      </c>
      <c r="D853">
        <v>20.59</v>
      </c>
      <c r="E853">
        <f t="shared" ca="1" si="52"/>
        <v>195.82759376598653</v>
      </c>
      <c r="F853">
        <f t="shared" ca="1" si="53"/>
        <v>4.0724062340134708</v>
      </c>
      <c r="G853">
        <f t="shared" ca="1" si="54"/>
        <v>2.0795875370250353E-2</v>
      </c>
      <c r="H853" t="str">
        <f t="shared" ca="1" si="55"/>
        <v>competitive</v>
      </c>
    </row>
    <row r="854" spans="1:8" x14ac:dyDescent="0.3">
      <c r="A854" t="s">
        <v>1132</v>
      </c>
      <c r="B854" t="s">
        <v>1133</v>
      </c>
      <c r="C854">
        <v>79.8</v>
      </c>
      <c r="D854">
        <v>7.82</v>
      </c>
      <c r="E854">
        <f t="shared" ca="1" si="52"/>
        <v>75.26755512973449</v>
      </c>
      <c r="F854">
        <f t="shared" ca="1" si="53"/>
        <v>4.5324448702655076</v>
      </c>
      <c r="G854">
        <f t="shared" ca="1" si="54"/>
        <v>6.0217777267418678E-2</v>
      </c>
      <c r="H854" t="str">
        <f t="shared" ca="1" si="55"/>
        <v>overpriced</v>
      </c>
    </row>
    <row r="855" spans="1:8" x14ac:dyDescent="0.3">
      <c r="A855" t="s">
        <v>1134</v>
      </c>
      <c r="B855" t="s">
        <v>1135</v>
      </c>
      <c r="C855">
        <v>330</v>
      </c>
      <c r="D855">
        <v>14.7</v>
      </c>
      <c r="E855">
        <f t="shared" ca="1" si="52"/>
        <v>332.57527965403358</v>
      </c>
      <c r="F855">
        <f t="shared" ca="1" si="53"/>
        <v>-2.5752796540335794</v>
      </c>
      <c r="G855">
        <f t="shared" ca="1" si="54"/>
        <v>-7.7434488116872443E-3</v>
      </c>
      <c r="H855" t="str">
        <f t="shared" ca="1" si="55"/>
        <v>competitive</v>
      </c>
    </row>
    <row r="856" spans="1:8" x14ac:dyDescent="0.3">
      <c r="A856" t="s">
        <v>91</v>
      </c>
      <c r="B856" t="s">
        <v>29</v>
      </c>
      <c r="C856">
        <v>69.900000000000006</v>
      </c>
      <c r="D856">
        <v>17.739999999999998</v>
      </c>
      <c r="E856">
        <f t="shared" ca="1" si="52"/>
        <v>70.4009824241583</v>
      </c>
      <c r="F856">
        <f t="shared" ca="1" si="53"/>
        <v>-0.50098242415829475</v>
      </c>
      <c r="G856">
        <f t="shared" ca="1" si="54"/>
        <v>-7.1161283111069364E-3</v>
      </c>
      <c r="H856" t="str">
        <f t="shared" ca="1" si="55"/>
        <v>competitive</v>
      </c>
    </row>
    <row r="857" spans="1:8" x14ac:dyDescent="0.3">
      <c r="A857" t="s">
        <v>1136</v>
      </c>
      <c r="B857" t="s">
        <v>1137</v>
      </c>
      <c r="C857">
        <v>29.9</v>
      </c>
      <c r="D857">
        <v>15.1</v>
      </c>
      <c r="E857">
        <f t="shared" ca="1" si="52"/>
        <v>27.210853385836355</v>
      </c>
      <c r="F857">
        <f t="shared" ca="1" si="53"/>
        <v>2.6891466141636435</v>
      </c>
      <c r="G857">
        <f t="shared" ca="1" si="54"/>
        <v>9.8826250541755645E-2</v>
      </c>
      <c r="H857" t="str">
        <f t="shared" ca="1" si="55"/>
        <v>overpriced</v>
      </c>
    </row>
    <row r="858" spans="1:8" x14ac:dyDescent="0.3">
      <c r="A858" t="s">
        <v>1138</v>
      </c>
      <c r="B858" t="s">
        <v>1062</v>
      </c>
      <c r="C858">
        <v>48.65</v>
      </c>
      <c r="D858">
        <v>17.600000000000001</v>
      </c>
      <c r="E858">
        <f t="shared" ca="1" si="52"/>
        <v>53.492588321776616</v>
      </c>
      <c r="F858">
        <f t="shared" ca="1" si="53"/>
        <v>-4.842588321776617</v>
      </c>
      <c r="G858">
        <f t="shared" ca="1" si="54"/>
        <v>-9.0528210985917443E-2</v>
      </c>
      <c r="H858" t="str">
        <f t="shared" ca="1" si="55"/>
        <v>underprived</v>
      </c>
    </row>
    <row r="859" spans="1:8" x14ac:dyDescent="0.3">
      <c r="A859" t="s">
        <v>465</v>
      </c>
      <c r="B859" t="s">
        <v>43</v>
      </c>
      <c r="C859">
        <v>39.9</v>
      </c>
      <c r="D859">
        <v>11.73</v>
      </c>
      <c r="E859">
        <f t="shared" ca="1" si="52"/>
        <v>38.760199631759605</v>
      </c>
      <c r="F859">
        <f t="shared" ca="1" si="53"/>
        <v>1.1398003682403939</v>
      </c>
      <c r="G859">
        <f t="shared" ca="1" si="54"/>
        <v>2.940646279093094E-2</v>
      </c>
      <c r="H859" t="str">
        <f t="shared" ca="1" si="55"/>
        <v>competitive</v>
      </c>
    </row>
    <row r="860" spans="1:8" x14ac:dyDescent="0.3">
      <c r="A860" t="s">
        <v>1139</v>
      </c>
      <c r="B860" t="s">
        <v>1140</v>
      </c>
      <c r="C860">
        <v>113.89</v>
      </c>
      <c r="D860">
        <v>23.38</v>
      </c>
      <c r="E860">
        <f t="shared" ca="1" si="52"/>
        <v>106.79493175830618</v>
      </c>
      <c r="F860">
        <f t="shared" ca="1" si="53"/>
        <v>7.0950682416938236</v>
      </c>
      <c r="G860">
        <f t="shared" ca="1" si="54"/>
        <v>6.6436376004725448E-2</v>
      </c>
      <c r="H860" t="str">
        <f t="shared" ca="1" si="55"/>
        <v>overpriced</v>
      </c>
    </row>
    <row r="861" spans="1:8" x14ac:dyDescent="0.3">
      <c r="A861" t="s">
        <v>1141</v>
      </c>
      <c r="B861" t="s">
        <v>1142</v>
      </c>
      <c r="C861">
        <v>195</v>
      </c>
      <c r="D861">
        <v>23.91</v>
      </c>
      <c r="E861">
        <f t="shared" ca="1" si="52"/>
        <v>199.57761018098583</v>
      </c>
      <c r="F861">
        <f t="shared" ca="1" si="53"/>
        <v>-4.5776101809858289</v>
      </c>
      <c r="G861">
        <f t="shared" ca="1" si="54"/>
        <v>-2.2936491607623965E-2</v>
      </c>
      <c r="H861" t="str">
        <f t="shared" ca="1" si="55"/>
        <v>competitive</v>
      </c>
    </row>
    <row r="862" spans="1:8" x14ac:dyDescent="0.3">
      <c r="A862" t="s">
        <v>1143</v>
      </c>
      <c r="B862" t="s">
        <v>390</v>
      </c>
      <c r="C862">
        <v>49.95</v>
      </c>
      <c r="D862">
        <v>16.11</v>
      </c>
      <c r="E862">
        <f t="shared" ca="1" si="52"/>
        <v>54.756281899042747</v>
      </c>
      <c r="F862">
        <f t="shared" ca="1" si="53"/>
        <v>-4.8062818990427445</v>
      </c>
      <c r="G862">
        <f t="shared" ca="1" si="54"/>
        <v>-8.7775899537962748E-2</v>
      </c>
      <c r="H862" t="str">
        <f t="shared" ca="1" si="55"/>
        <v>underprived</v>
      </c>
    </row>
    <row r="863" spans="1:8" x14ac:dyDescent="0.3">
      <c r="A863" t="s">
        <v>1144</v>
      </c>
      <c r="B863" t="s">
        <v>747</v>
      </c>
      <c r="C863">
        <v>29.9</v>
      </c>
      <c r="D863">
        <v>15.1</v>
      </c>
      <c r="E863">
        <f t="shared" ca="1" si="52"/>
        <v>29.533781158765688</v>
      </c>
      <c r="F863">
        <f t="shared" ca="1" si="53"/>
        <v>0.36621884123431059</v>
      </c>
      <c r="G863">
        <f t="shared" ca="1" si="54"/>
        <v>1.2399998471770896E-2</v>
      </c>
      <c r="H863" t="str">
        <f t="shared" ca="1" si="55"/>
        <v>competitive</v>
      </c>
    </row>
    <row r="864" spans="1:8" x14ac:dyDescent="0.3">
      <c r="A864" t="s">
        <v>1145</v>
      </c>
      <c r="B864" t="s">
        <v>313</v>
      </c>
      <c r="C864">
        <v>72.900000000000006</v>
      </c>
      <c r="D864">
        <v>35.83</v>
      </c>
      <c r="E864">
        <f t="shared" ca="1" si="52"/>
        <v>69.932474323515578</v>
      </c>
      <c r="F864">
        <f t="shared" ca="1" si="53"/>
        <v>2.9675256764844278</v>
      </c>
      <c r="G864">
        <f t="shared" ca="1" si="54"/>
        <v>4.2434158167439014E-2</v>
      </c>
      <c r="H864" t="str">
        <f t="shared" ca="1" si="55"/>
        <v>competitive</v>
      </c>
    </row>
    <row r="865" spans="1:8" x14ac:dyDescent="0.3">
      <c r="A865" t="s">
        <v>1146</v>
      </c>
      <c r="B865" t="s">
        <v>61</v>
      </c>
      <c r="C865">
        <v>38.5</v>
      </c>
      <c r="D865">
        <v>19.88</v>
      </c>
      <c r="E865">
        <f t="shared" ca="1" si="52"/>
        <v>36.109152400580875</v>
      </c>
      <c r="F865">
        <f t="shared" ca="1" si="53"/>
        <v>2.3908475994191249</v>
      </c>
      <c r="G865">
        <f t="shared" ca="1" si="54"/>
        <v>6.6211678770412355E-2</v>
      </c>
      <c r="H865" t="str">
        <f t="shared" ca="1" si="55"/>
        <v>overpriced</v>
      </c>
    </row>
    <row r="866" spans="1:8" x14ac:dyDescent="0.3">
      <c r="A866" t="s">
        <v>1147</v>
      </c>
      <c r="B866" t="s">
        <v>39</v>
      </c>
      <c r="C866">
        <v>106</v>
      </c>
      <c r="D866">
        <v>13.18</v>
      </c>
      <c r="E866">
        <f t="shared" ca="1" si="52"/>
        <v>101.36367555698095</v>
      </c>
      <c r="F866">
        <f t="shared" ca="1" si="53"/>
        <v>4.6363244430190491</v>
      </c>
      <c r="G866">
        <f t="shared" ca="1" si="54"/>
        <v>4.5739505967428824E-2</v>
      </c>
      <c r="H866" t="str">
        <f t="shared" ca="1" si="55"/>
        <v>competitive</v>
      </c>
    </row>
    <row r="867" spans="1:8" x14ac:dyDescent="0.3">
      <c r="A867" t="s">
        <v>1148</v>
      </c>
      <c r="B867" t="s">
        <v>1149</v>
      </c>
      <c r="C867">
        <v>1240</v>
      </c>
      <c r="D867">
        <v>102.63</v>
      </c>
      <c r="E867">
        <f t="shared" ca="1" si="52"/>
        <v>1266.7187953198234</v>
      </c>
      <c r="F867">
        <f t="shared" ca="1" si="53"/>
        <v>-26.718795319823357</v>
      </c>
      <c r="G867">
        <f t="shared" ca="1" si="54"/>
        <v>-2.109291771665656E-2</v>
      </c>
      <c r="H867" t="str">
        <f t="shared" ca="1" si="55"/>
        <v>competitive</v>
      </c>
    </row>
    <row r="868" spans="1:8" x14ac:dyDescent="0.3">
      <c r="A868" t="s">
        <v>1150</v>
      </c>
      <c r="B868" t="s">
        <v>1151</v>
      </c>
      <c r="C868">
        <v>105</v>
      </c>
      <c r="D868">
        <v>23.89</v>
      </c>
      <c r="E868">
        <f t="shared" ca="1" si="52"/>
        <v>101.43500998706423</v>
      </c>
      <c r="F868">
        <f t="shared" ca="1" si="53"/>
        <v>3.5649900129357661</v>
      </c>
      <c r="G868">
        <f t="shared" ca="1" si="54"/>
        <v>3.5145557863999824E-2</v>
      </c>
      <c r="H868" t="str">
        <f t="shared" ca="1" si="55"/>
        <v>competitive</v>
      </c>
    </row>
    <row r="869" spans="1:8" x14ac:dyDescent="0.3">
      <c r="A869" t="s">
        <v>1152</v>
      </c>
      <c r="B869" t="s">
        <v>1153</v>
      </c>
      <c r="C869">
        <v>24.99</v>
      </c>
      <c r="D869">
        <v>17.98</v>
      </c>
      <c r="E869">
        <f t="shared" ca="1" si="52"/>
        <v>25.33070578229956</v>
      </c>
      <c r="F869">
        <f t="shared" ca="1" si="53"/>
        <v>-0.34070578229956183</v>
      </c>
      <c r="G869">
        <f t="shared" ca="1" si="54"/>
        <v>-1.3450307513248928E-2</v>
      </c>
      <c r="H869" t="str">
        <f t="shared" ca="1" si="55"/>
        <v>competitive</v>
      </c>
    </row>
    <row r="870" spans="1:8" x14ac:dyDescent="0.3">
      <c r="A870" t="s">
        <v>424</v>
      </c>
      <c r="B870" t="s">
        <v>315</v>
      </c>
      <c r="C870">
        <v>39.9</v>
      </c>
      <c r="D870">
        <v>8.7200000000000006</v>
      </c>
      <c r="E870">
        <f t="shared" ca="1" si="52"/>
        <v>42.704754701222733</v>
      </c>
      <c r="F870">
        <f t="shared" ca="1" si="53"/>
        <v>-2.8047547012227341</v>
      </c>
      <c r="G870">
        <f t="shared" ca="1" si="54"/>
        <v>-6.5677808498041265E-2</v>
      </c>
      <c r="H870" t="str">
        <f t="shared" ca="1" si="55"/>
        <v>underprived</v>
      </c>
    </row>
    <row r="871" spans="1:8" x14ac:dyDescent="0.3">
      <c r="A871" t="s">
        <v>734</v>
      </c>
      <c r="B871" t="s">
        <v>31</v>
      </c>
      <c r="C871">
        <v>49</v>
      </c>
      <c r="D871">
        <v>17.64</v>
      </c>
      <c r="E871">
        <f t="shared" ca="1" si="52"/>
        <v>48.281968367213906</v>
      </c>
      <c r="F871">
        <f t="shared" ca="1" si="53"/>
        <v>0.71803163278609361</v>
      </c>
      <c r="G871">
        <f t="shared" ca="1" si="54"/>
        <v>1.4871631316375169E-2</v>
      </c>
      <c r="H871" t="str">
        <f t="shared" ca="1" si="55"/>
        <v>competitive</v>
      </c>
    </row>
    <row r="872" spans="1:8" x14ac:dyDescent="0.3">
      <c r="A872" t="s">
        <v>734</v>
      </c>
      <c r="B872" t="s">
        <v>31</v>
      </c>
      <c r="C872">
        <v>49</v>
      </c>
      <c r="D872">
        <v>17.64</v>
      </c>
      <c r="E872">
        <f t="shared" ca="1" si="52"/>
        <v>53.120730487962057</v>
      </c>
      <c r="F872">
        <f t="shared" ca="1" si="53"/>
        <v>-4.1207304879620565</v>
      </c>
      <c r="G872">
        <f t="shared" ca="1" si="54"/>
        <v>-7.7572925863583053E-2</v>
      </c>
      <c r="H872" t="str">
        <f t="shared" ca="1" si="55"/>
        <v>underprived</v>
      </c>
    </row>
    <row r="873" spans="1:8" x14ac:dyDescent="0.3">
      <c r="A873" t="s">
        <v>1154</v>
      </c>
      <c r="B873" t="s">
        <v>1155</v>
      </c>
      <c r="C873">
        <v>39.99</v>
      </c>
      <c r="D873">
        <v>18.38</v>
      </c>
      <c r="E873">
        <f t="shared" ca="1" si="52"/>
        <v>43.759494717939859</v>
      </c>
      <c r="F873">
        <f t="shared" ca="1" si="53"/>
        <v>-3.7694947179398568</v>
      </c>
      <c r="G873">
        <f t="shared" ca="1" si="54"/>
        <v>-8.6141184724294731E-2</v>
      </c>
      <c r="H873" t="str">
        <f t="shared" ca="1" si="55"/>
        <v>underprived</v>
      </c>
    </row>
    <row r="874" spans="1:8" x14ac:dyDescent="0.3">
      <c r="A874" t="s">
        <v>1156</v>
      </c>
      <c r="B874" t="s">
        <v>1157</v>
      </c>
      <c r="C874">
        <v>28.9</v>
      </c>
      <c r="D874">
        <v>13.37</v>
      </c>
      <c r="E874">
        <f t="shared" ca="1" si="52"/>
        <v>30.340117546518744</v>
      </c>
      <c r="F874">
        <f t="shared" ca="1" si="53"/>
        <v>-1.4401175465187457</v>
      </c>
      <c r="G874">
        <f t="shared" ca="1" si="54"/>
        <v>-4.7465786653947434E-2</v>
      </c>
      <c r="H874" t="str">
        <f t="shared" ca="1" si="55"/>
        <v>competitive</v>
      </c>
    </row>
    <row r="875" spans="1:8" x14ac:dyDescent="0.3">
      <c r="A875" t="s">
        <v>1158</v>
      </c>
      <c r="B875" t="s">
        <v>1159</v>
      </c>
      <c r="C875">
        <v>1799</v>
      </c>
      <c r="D875">
        <v>27.34</v>
      </c>
      <c r="E875">
        <f t="shared" ca="1" si="52"/>
        <v>1829.9717683703875</v>
      </c>
      <c r="F875">
        <f t="shared" ca="1" si="53"/>
        <v>-30.971768370387508</v>
      </c>
      <c r="G875">
        <f t="shared" ca="1" si="54"/>
        <v>-1.6924724690134566E-2</v>
      </c>
      <c r="H875" t="str">
        <f t="shared" ca="1" si="55"/>
        <v>competitive</v>
      </c>
    </row>
    <row r="876" spans="1:8" x14ac:dyDescent="0.3">
      <c r="A876" t="s">
        <v>1160</v>
      </c>
      <c r="B876" t="s">
        <v>25</v>
      </c>
      <c r="C876">
        <v>56.99</v>
      </c>
      <c r="D876">
        <v>17.68</v>
      </c>
      <c r="E876">
        <f t="shared" ca="1" si="52"/>
        <v>52.269377836928534</v>
      </c>
      <c r="F876">
        <f t="shared" ca="1" si="53"/>
        <v>4.720622163071468</v>
      </c>
      <c r="G876">
        <f t="shared" ca="1" si="54"/>
        <v>9.031334135636733E-2</v>
      </c>
      <c r="H876" t="str">
        <f t="shared" ca="1" si="55"/>
        <v>overpriced</v>
      </c>
    </row>
    <row r="877" spans="1:8" x14ac:dyDescent="0.3">
      <c r="A877" t="s">
        <v>1161</v>
      </c>
      <c r="B877" t="s">
        <v>1162</v>
      </c>
      <c r="C877">
        <v>59.9</v>
      </c>
      <c r="D877">
        <v>11.92</v>
      </c>
      <c r="E877">
        <f t="shared" ca="1" si="52"/>
        <v>61.898249748982892</v>
      </c>
      <c r="F877">
        <f t="shared" ca="1" si="53"/>
        <v>-1.998249748982893</v>
      </c>
      <c r="G877">
        <f t="shared" ca="1" si="54"/>
        <v>-3.2282815056749292E-2</v>
      </c>
      <c r="H877" t="str">
        <f t="shared" ca="1" si="55"/>
        <v>competitive</v>
      </c>
    </row>
    <row r="878" spans="1:8" x14ac:dyDescent="0.3">
      <c r="A878" t="s">
        <v>1163</v>
      </c>
      <c r="B878" t="s">
        <v>69</v>
      </c>
      <c r="C878">
        <v>12.67</v>
      </c>
      <c r="D878">
        <v>7.78</v>
      </c>
      <c r="E878">
        <f t="shared" ca="1" si="52"/>
        <v>12.909164212300443</v>
      </c>
      <c r="F878">
        <f t="shared" ca="1" si="53"/>
        <v>-0.23916421230044271</v>
      </c>
      <c r="G878">
        <f t="shared" ca="1" si="54"/>
        <v>-1.8526699975863356E-2</v>
      </c>
      <c r="H878" t="str">
        <f t="shared" ca="1" si="55"/>
        <v>competitive</v>
      </c>
    </row>
    <row r="879" spans="1:8" x14ac:dyDescent="0.3">
      <c r="A879" t="s">
        <v>1164</v>
      </c>
      <c r="B879" t="s">
        <v>1165</v>
      </c>
      <c r="C879">
        <v>18.899999999999999</v>
      </c>
      <c r="D879">
        <v>7.39</v>
      </c>
      <c r="E879">
        <f t="shared" ca="1" si="52"/>
        <v>17.503248151684879</v>
      </c>
      <c r="F879">
        <f t="shared" ca="1" si="53"/>
        <v>1.3967518483151196</v>
      </c>
      <c r="G879">
        <f t="shared" ca="1" si="54"/>
        <v>7.9799579838595092E-2</v>
      </c>
      <c r="H879" t="str">
        <f t="shared" ca="1" si="55"/>
        <v>overpriced</v>
      </c>
    </row>
    <row r="880" spans="1:8" x14ac:dyDescent="0.3">
      <c r="A880" t="s">
        <v>1166</v>
      </c>
      <c r="B880" t="s">
        <v>1167</v>
      </c>
      <c r="C880">
        <v>27.9</v>
      </c>
      <c r="D880">
        <v>19.39</v>
      </c>
      <c r="E880">
        <f t="shared" ca="1" si="52"/>
        <v>29.279051343074219</v>
      </c>
      <c r="F880">
        <f t="shared" ca="1" si="53"/>
        <v>-1.3790513430742202</v>
      </c>
      <c r="G880">
        <f t="shared" ca="1" si="54"/>
        <v>-4.7100274080445106E-2</v>
      </c>
      <c r="H880" t="str">
        <f t="shared" ca="1" si="55"/>
        <v>competitive</v>
      </c>
    </row>
    <row r="881" spans="1:8" x14ac:dyDescent="0.3">
      <c r="A881" t="s">
        <v>1168</v>
      </c>
      <c r="B881" t="s">
        <v>1118</v>
      </c>
      <c r="C881">
        <v>98.8</v>
      </c>
      <c r="D881">
        <v>17.940000000000001</v>
      </c>
      <c r="E881">
        <f t="shared" ca="1" si="52"/>
        <v>92.514108763331265</v>
      </c>
      <c r="F881">
        <f t="shared" ca="1" si="53"/>
        <v>6.2858912366687321</v>
      </c>
      <c r="G881">
        <f t="shared" ca="1" si="54"/>
        <v>6.7945217445149267E-2</v>
      </c>
      <c r="H881" t="str">
        <f t="shared" ca="1" si="55"/>
        <v>overpriced</v>
      </c>
    </row>
    <row r="882" spans="1:8" x14ac:dyDescent="0.3">
      <c r="A882" t="s">
        <v>1169</v>
      </c>
      <c r="B882" t="s">
        <v>1170</v>
      </c>
      <c r="C882">
        <v>29.99</v>
      </c>
      <c r="D882">
        <v>21.82</v>
      </c>
      <c r="E882">
        <f t="shared" ca="1" si="52"/>
        <v>30.753374486214394</v>
      </c>
      <c r="F882">
        <f t="shared" ca="1" si="53"/>
        <v>-0.76337448621439563</v>
      </c>
      <c r="G882">
        <f t="shared" ca="1" si="54"/>
        <v>-2.4822462541682647E-2</v>
      </c>
      <c r="H882" t="str">
        <f t="shared" ca="1" si="55"/>
        <v>competitive</v>
      </c>
    </row>
    <row r="883" spans="1:8" x14ac:dyDescent="0.3">
      <c r="A883" t="s">
        <v>1171</v>
      </c>
      <c r="B883" t="s">
        <v>1172</v>
      </c>
      <c r="C883">
        <v>72.599999999999994</v>
      </c>
      <c r="D883">
        <v>17.760000000000002</v>
      </c>
      <c r="E883">
        <f t="shared" ca="1" si="52"/>
        <v>75.210902331335859</v>
      </c>
      <c r="F883">
        <f t="shared" ca="1" si="53"/>
        <v>-2.6109023313358648</v>
      </c>
      <c r="G883">
        <f t="shared" ca="1" si="54"/>
        <v>-3.471441307582955E-2</v>
      </c>
      <c r="H883" t="str">
        <f t="shared" ca="1" si="55"/>
        <v>competitive</v>
      </c>
    </row>
    <row r="884" spans="1:8" x14ac:dyDescent="0.3">
      <c r="A884" t="s">
        <v>1173</v>
      </c>
      <c r="B884" t="s">
        <v>47</v>
      </c>
      <c r="C884">
        <v>139.94</v>
      </c>
      <c r="D884">
        <v>17.71</v>
      </c>
      <c r="E884">
        <f t="shared" ca="1" si="52"/>
        <v>128.5696789594484</v>
      </c>
      <c r="F884">
        <f t="shared" ca="1" si="53"/>
        <v>11.370321040551602</v>
      </c>
      <c r="G884">
        <f t="shared" ca="1" si="54"/>
        <v>8.8437033774797447E-2</v>
      </c>
      <c r="H884" t="str">
        <f t="shared" ca="1" si="55"/>
        <v>overpriced</v>
      </c>
    </row>
    <row r="885" spans="1:8" x14ac:dyDescent="0.3">
      <c r="A885" t="s">
        <v>1174</v>
      </c>
      <c r="B885" t="s">
        <v>644</v>
      </c>
      <c r="C885">
        <v>284.8</v>
      </c>
      <c r="D885">
        <v>9.18</v>
      </c>
      <c r="E885">
        <f t="shared" ca="1" si="52"/>
        <v>306.16569542793007</v>
      </c>
      <c r="F885">
        <f t="shared" ca="1" si="53"/>
        <v>-21.365695427930063</v>
      </c>
      <c r="G885">
        <f t="shared" ca="1" si="54"/>
        <v>-6.9784746452626154E-2</v>
      </c>
      <c r="H885" t="str">
        <f t="shared" ca="1" si="55"/>
        <v>underprived</v>
      </c>
    </row>
    <row r="886" spans="1:8" x14ac:dyDescent="0.3">
      <c r="A886" t="s">
        <v>1175</v>
      </c>
      <c r="B886" t="s">
        <v>1176</v>
      </c>
      <c r="C886">
        <v>199</v>
      </c>
      <c r="D886">
        <v>14.3</v>
      </c>
      <c r="E886">
        <f t="shared" ca="1" si="52"/>
        <v>181.19519546606489</v>
      </c>
      <c r="F886">
        <f t="shared" ca="1" si="53"/>
        <v>17.804804533935112</v>
      </c>
      <c r="G886">
        <f t="shared" ca="1" si="54"/>
        <v>9.8263116128096684E-2</v>
      </c>
      <c r="H886" t="str">
        <f t="shared" ca="1" si="55"/>
        <v>overpriced</v>
      </c>
    </row>
    <row r="887" spans="1:8" x14ac:dyDescent="0.3">
      <c r="A887" t="s">
        <v>1177</v>
      </c>
      <c r="B887" t="s">
        <v>1178</v>
      </c>
      <c r="C887">
        <v>125</v>
      </c>
      <c r="D887">
        <v>18.98</v>
      </c>
      <c r="E887">
        <f t="shared" ca="1" si="52"/>
        <v>112.55886058295287</v>
      </c>
      <c r="F887">
        <f t="shared" ca="1" si="53"/>
        <v>12.441139417047125</v>
      </c>
      <c r="G887">
        <f t="shared" ca="1" si="54"/>
        <v>0.11053007602078858</v>
      </c>
      <c r="H887" t="str">
        <f t="shared" ca="1" si="55"/>
        <v>overpriced</v>
      </c>
    </row>
    <row r="888" spans="1:8" x14ac:dyDescent="0.3">
      <c r="A888" t="s">
        <v>1179</v>
      </c>
      <c r="B888" t="s">
        <v>186</v>
      </c>
      <c r="C888">
        <v>32</v>
      </c>
      <c r="D888">
        <v>8.8800000000000008</v>
      </c>
      <c r="E888">
        <f t="shared" ca="1" si="52"/>
        <v>30.320172424958837</v>
      </c>
      <c r="F888">
        <f t="shared" ca="1" si="53"/>
        <v>1.6798275750411626</v>
      </c>
      <c r="G888">
        <f t="shared" ca="1" si="54"/>
        <v>5.5402969069475637E-2</v>
      </c>
      <c r="H888" t="str">
        <f t="shared" ca="1" si="55"/>
        <v>overpriced</v>
      </c>
    </row>
    <row r="889" spans="1:8" x14ac:dyDescent="0.3">
      <c r="A889" t="s">
        <v>1180</v>
      </c>
      <c r="B889" t="s">
        <v>859</v>
      </c>
      <c r="C889">
        <v>149</v>
      </c>
      <c r="D889">
        <v>14.79</v>
      </c>
      <c r="E889">
        <f t="shared" ca="1" si="52"/>
        <v>144.61476143512198</v>
      </c>
      <c r="F889">
        <f t="shared" ca="1" si="53"/>
        <v>4.3852385648780228</v>
      </c>
      <c r="G889">
        <f t="shared" ca="1" si="54"/>
        <v>3.0323588832564353E-2</v>
      </c>
      <c r="H889" t="str">
        <f t="shared" ca="1" si="55"/>
        <v>competitive</v>
      </c>
    </row>
    <row r="890" spans="1:8" x14ac:dyDescent="0.3">
      <c r="A890" t="s">
        <v>24</v>
      </c>
      <c r="B890" t="s">
        <v>25</v>
      </c>
      <c r="C890">
        <v>59.99</v>
      </c>
      <c r="D890">
        <v>16.39</v>
      </c>
      <c r="E890">
        <f t="shared" ca="1" si="52"/>
        <v>61.057380126518112</v>
      </c>
      <c r="F890">
        <f t="shared" ca="1" si="53"/>
        <v>-1.0673801265181098</v>
      </c>
      <c r="G890">
        <f t="shared" ca="1" si="54"/>
        <v>-1.7481590666130316E-2</v>
      </c>
      <c r="H890" t="str">
        <f t="shared" ca="1" si="55"/>
        <v>competitive</v>
      </c>
    </row>
    <row r="891" spans="1:8" x14ac:dyDescent="0.3">
      <c r="A891" t="s">
        <v>1181</v>
      </c>
      <c r="B891" t="s">
        <v>241</v>
      </c>
      <c r="C891">
        <v>13.3</v>
      </c>
      <c r="D891">
        <v>8.11</v>
      </c>
      <c r="E891">
        <f t="shared" ca="1" si="52"/>
        <v>13.860391217733158</v>
      </c>
      <c r="F891">
        <f t="shared" ca="1" si="53"/>
        <v>-0.56039121773315692</v>
      </c>
      <c r="G891">
        <f t="shared" ca="1" si="54"/>
        <v>-4.0431125567089721E-2</v>
      </c>
      <c r="H891" t="str">
        <f t="shared" ca="1" si="55"/>
        <v>competitive</v>
      </c>
    </row>
    <row r="892" spans="1:8" x14ac:dyDescent="0.3">
      <c r="A892" t="s">
        <v>1182</v>
      </c>
      <c r="B892" t="s">
        <v>1183</v>
      </c>
      <c r="C892">
        <v>84.9</v>
      </c>
      <c r="D892">
        <v>27.44</v>
      </c>
      <c r="E892">
        <f t="shared" ca="1" si="52"/>
        <v>78.169443730866533</v>
      </c>
      <c r="F892">
        <f t="shared" ca="1" si="53"/>
        <v>6.7305562691334728</v>
      </c>
      <c r="G892">
        <f t="shared" ca="1" si="54"/>
        <v>8.6102138481456258E-2</v>
      </c>
      <c r="H892" t="str">
        <f t="shared" ca="1" si="55"/>
        <v>overpriced</v>
      </c>
    </row>
    <row r="893" spans="1:8" x14ac:dyDescent="0.3">
      <c r="A893" t="s">
        <v>1184</v>
      </c>
      <c r="B893" t="s">
        <v>558</v>
      </c>
      <c r="C893">
        <v>329</v>
      </c>
      <c r="D893">
        <v>15.32</v>
      </c>
      <c r="E893">
        <f t="shared" ca="1" si="52"/>
        <v>339.29937645874298</v>
      </c>
      <c r="F893">
        <f t="shared" ca="1" si="53"/>
        <v>-10.299376458742984</v>
      </c>
      <c r="G893">
        <f t="shared" ca="1" si="54"/>
        <v>-3.0354834619023632E-2</v>
      </c>
      <c r="H893" t="str">
        <f t="shared" ca="1" si="55"/>
        <v>competitive</v>
      </c>
    </row>
    <row r="894" spans="1:8" x14ac:dyDescent="0.3">
      <c r="A894" t="s">
        <v>1185</v>
      </c>
      <c r="B894" t="s">
        <v>157</v>
      </c>
      <c r="C894">
        <v>83.9</v>
      </c>
      <c r="D894">
        <v>28.99</v>
      </c>
      <c r="E894">
        <f t="shared" ca="1" si="52"/>
        <v>81.760977533081387</v>
      </c>
      <c r="F894">
        <f t="shared" ca="1" si="53"/>
        <v>2.1390224669186182</v>
      </c>
      <c r="G894">
        <f t="shared" ca="1" si="54"/>
        <v>2.6161899373734202E-2</v>
      </c>
      <c r="H894" t="str">
        <f t="shared" ca="1" si="55"/>
        <v>competitive</v>
      </c>
    </row>
    <row r="895" spans="1:8" x14ac:dyDescent="0.3">
      <c r="A895" t="s">
        <v>1186</v>
      </c>
      <c r="B895" t="s">
        <v>1187</v>
      </c>
      <c r="C895">
        <v>559.99</v>
      </c>
      <c r="D895">
        <v>19.36</v>
      </c>
      <c r="E895">
        <f t="shared" ca="1" si="52"/>
        <v>514.08610823569688</v>
      </c>
      <c r="F895">
        <f t="shared" ca="1" si="53"/>
        <v>45.903891764303125</v>
      </c>
      <c r="G895">
        <f t="shared" ca="1" si="54"/>
        <v>8.9292223674048835E-2</v>
      </c>
      <c r="H895" t="str">
        <f t="shared" ca="1" si="55"/>
        <v>overpriced</v>
      </c>
    </row>
    <row r="896" spans="1:8" x14ac:dyDescent="0.3">
      <c r="A896" t="s">
        <v>1188</v>
      </c>
      <c r="B896" t="s">
        <v>1189</v>
      </c>
      <c r="C896">
        <v>109</v>
      </c>
      <c r="D896">
        <v>8.35</v>
      </c>
      <c r="E896">
        <f t="shared" ca="1" si="52"/>
        <v>111.10674625481562</v>
      </c>
      <c r="F896">
        <f t="shared" ca="1" si="53"/>
        <v>-2.1067462548156186</v>
      </c>
      <c r="G896">
        <f t="shared" ca="1" si="54"/>
        <v>-1.8961461169818998E-2</v>
      </c>
      <c r="H896" t="str">
        <f t="shared" ca="1" si="55"/>
        <v>competitive</v>
      </c>
    </row>
    <row r="897" spans="1:8" x14ac:dyDescent="0.3">
      <c r="A897" t="s">
        <v>1188</v>
      </c>
      <c r="B897" t="s">
        <v>1189</v>
      </c>
      <c r="C897">
        <v>109</v>
      </c>
      <c r="D897">
        <v>8.35</v>
      </c>
      <c r="E897">
        <f t="shared" ca="1" si="52"/>
        <v>103.49236323821013</v>
      </c>
      <c r="F897">
        <f t="shared" ca="1" si="53"/>
        <v>5.5076367617898683</v>
      </c>
      <c r="G897">
        <f t="shared" ca="1" si="54"/>
        <v>5.3217808439767166E-2</v>
      </c>
      <c r="H897" t="str">
        <f t="shared" ca="1" si="55"/>
        <v>overpriced</v>
      </c>
    </row>
    <row r="898" spans="1:8" x14ac:dyDescent="0.3">
      <c r="A898" t="s">
        <v>1188</v>
      </c>
      <c r="B898" t="s">
        <v>1189</v>
      </c>
      <c r="C898">
        <v>109</v>
      </c>
      <c r="D898">
        <v>8.35</v>
      </c>
      <c r="E898">
        <f t="shared" ca="1" si="52"/>
        <v>107.4186245591582</v>
      </c>
      <c r="F898">
        <f t="shared" ca="1" si="53"/>
        <v>1.5813754408417964</v>
      </c>
      <c r="G898">
        <f t="shared" ca="1" si="54"/>
        <v>1.47216131963307E-2</v>
      </c>
      <c r="H898" t="str">
        <f t="shared" ca="1" si="55"/>
        <v>competitive</v>
      </c>
    </row>
    <row r="899" spans="1:8" x14ac:dyDescent="0.3">
      <c r="A899" t="s">
        <v>1190</v>
      </c>
      <c r="B899" t="s">
        <v>1191</v>
      </c>
      <c r="C899">
        <v>25</v>
      </c>
      <c r="D899">
        <v>14.1</v>
      </c>
      <c r="E899">
        <f t="shared" ref="E899:E962" ca="1" si="56">C899*(1+RAND()*0.2-0.1)</f>
        <v>26.689056820571079</v>
      </c>
      <c r="F899">
        <f t="shared" ref="F899:F962" ca="1" si="57">C899-E899</f>
        <v>-1.6890568205710785</v>
      </c>
      <c r="G899">
        <f t="shared" ref="G899:G962" ca="1" si="58">(C899-E899)/E899</f>
        <v>-6.3286493484071241E-2</v>
      </c>
      <c r="H899" t="str">
        <f t="shared" ref="H899:H962" ca="1" si="59">IF(E899="","competitive",IF(ABS(C899-E899)/E899&lt;=0.05,"competitive",IF(C899&gt;E899,"overpriced","underprived")))</f>
        <v>underprived</v>
      </c>
    </row>
    <row r="900" spans="1:8" x14ac:dyDescent="0.3">
      <c r="A900" t="s">
        <v>1192</v>
      </c>
      <c r="B900" t="s">
        <v>438</v>
      </c>
      <c r="C900">
        <v>38.4</v>
      </c>
      <c r="D900">
        <v>19.84</v>
      </c>
      <c r="E900">
        <f t="shared" ca="1" si="56"/>
        <v>36.570936765896448</v>
      </c>
      <c r="F900">
        <f t="shared" ca="1" si="57"/>
        <v>1.8290632341035504</v>
      </c>
      <c r="G900">
        <f t="shared" ca="1" si="58"/>
        <v>5.0014120387783162E-2</v>
      </c>
      <c r="H900" t="str">
        <f t="shared" ca="1" si="59"/>
        <v>overpriced</v>
      </c>
    </row>
    <row r="901" spans="1:8" x14ac:dyDescent="0.3">
      <c r="A901" t="s">
        <v>1192</v>
      </c>
      <c r="B901" t="s">
        <v>438</v>
      </c>
      <c r="C901">
        <v>38.4</v>
      </c>
      <c r="D901">
        <v>19.84</v>
      </c>
      <c r="E901">
        <f t="shared" ca="1" si="56"/>
        <v>41.406043552379828</v>
      </c>
      <c r="F901">
        <f t="shared" ca="1" si="57"/>
        <v>-3.006043552379829</v>
      </c>
      <c r="G901">
        <f t="shared" ca="1" si="58"/>
        <v>-7.259914965256456E-2</v>
      </c>
      <c r="H901" t="str">
        <f t="shared" ca="1" si="59"/>
        <v>underprived</v>
      </c>
    </row>
    <row r="902" spans="1:8" x14ac:dyDescent="0.3">
      <c r="A902" t="s">
        <v>1193</v>
      </c>
      <c r="B902" t="s">
        <v>1194</v>
      </c>
      <c r="C902">
        <v>109.9</v>
      </c>
      <c r="D902">
        <v>8.93</v>
      </c>
      <c r="E902">
        <f t="shared" ca="1" si="56"/>
        <v>116.9052315340648</v>
      </c>
      <c r="F902">
        <f t="shared" ca="1" si="57"/>
        <v>-7.0052315340647908</v>
      </c>
      <c r="G902">
        <f t="shared" ca="1" si="58"/>
        <v>-5.9922310080909848E-2</v>
      </c>
      <c r="H902" t="str">
        <f t="shared" ca="1" si="59"/>
        <v>underprived</v>
      </c>
    </row>
    <row r="903" spans="1:8" x14ac:dyDescent="0.3">
      <c r="A903" t="s">
        <v>1075</v>
      </c>
      <c r="B903" t="s">
        <v>1195</v>
      </c>
      <c r="C903">
        <v>129.96</v>
      </c>
      <c r="D903">
        <v>29.1</v>
      </c>
      <c r="E903">
        <f t="shared" ca="1" si="56"/>
        <v>124.50035224049626</v>
      </c>
      <c r="F903">
        <f t="shared" ca="1" si="57"/>
        <v>5.4596477595037527</v>
      </c>
      <c r="G903">
        <f t="shared" ca="1" si="58"/>
        <v>4.3852468376614696E-2</v>
      </c>
      <c r="H903" t="str">
        <f t="shared" ca="1" si="59"/>
        <v>competitive</v>
      </c>
    </row>
    <row r="904" spans="1:8" x14ac:dyDescent="0.3">
      <c r="A904" t="s">
        <v>1196</v>
      </c>
      <c r="B904" t="s">
        <v>518</v>
      </c>
      <c r="C904">
        <v>59.9</v>
      </c>
      <c r="D904">
        <v>17.63</v>
      </c>
      <c r="E904">
        <f t="shared" ca="1" si="56"/>
        <v>65.70092893960387</v>
      </c>
      <c r="F904">
        <f t="shared" ca="1" si="57"/>
        <v>-5.800928939603871</v>
      </c>
      <c r="G904">
        <f t="shared" ca="1" si="58"/>
        <v>-8.8292951610112302E-2</v>
      </c>
      <c r="H904" t="str">
        <f t="shared" ca="1" si="59"/>
        <v>underprived</v>
      </c>
    </row>
    <row r="905" spans="1:8" x14ac:dyDescent="0.3">
      <c r="A905" t="s">
        <v>1197</v>
      </c>
      <c r="B905" t="s">
        <v>29</v>
      </c>
      <c r="C905">
        <v>76.900000000000006</v>
      </c>
      <c r="D905">
        <v>14.63</v>
      </c>
      <c r="E905">
        <f t="shared" ca="1" si="56"/>
        <v>78.909679405707777</v>
      </c>
      <c r="F905">
        <f t="shared" ca="1" si="57"/>
        <v>-2.0096794057077716</v>
      </c>
      <c r="G905">
        <f t="shared" ca="1" si="58"/>
        <v>-2.5468097460834511E-2</v>
      </c>
      <c r="H905" t="str">
        <f t="shared" ca="1" si="59"/>
        <v>competitive</v>
      </c>
    </row>
    <row r="906" spans="1:8" x14ac:dyDescent="0.3">
      <c r="A906" t="s">
        <v>1198</v>
      </c>
      <c r="B906" t="s">
        <v>747</v>
      </c>
      <c r="C906">
        <v>99.9</v>
      </c>
      <c r="D906">
        <v>17.95</v>
      </c>
      <c r="E906">
        <f t="shared" ca="1" si="56"/>
        <v>103.92668516262462</v>
      </c>
      <c r="F906">
        <f t="shared" ca="1" si="57"/>
        <v>-4.0266851626246165</v>
      </c>
      <c r="G906">
        <f t="shared" ca="1" si="58"/>
        <v>-3.8745440175674363E-2</v>
      </c>
      <c r="H906" t="str">
        <f t="shared" ca="1" si="59"/>
        <v>competitive</v>
      </c>
    </row>
    <row r="907" spans="1:8" x14ac:dyDescent="0.3">
      <c r="A907" t="s">
        <v>1199</v>
      </c>
      <c r="B907" t="s">
        <v>1200</v>
      </c>
      <c r="C907">
        <v>133</v>
      </c>
      <c r="D907">
        <v>22.99</v>
      </c>
      <c r="E907">
        <f t="shared" ca="1" si="56"/>
        <v>140.46189394701759</v>
      </c>
      <c r="F907">
        <f t="shared" ca="1" si="57"/>
        <v>-7.461893947017586</v>
      </c>
      <c r="G907">
        <f t="shared" ca="1" si="58"/>
        <v>-5.3123973608331258E-2</v>
      </c>
      <c r="H907" t="str">
        <f t="shared" ca="1" si="59"/>
        <v>underprived</v>
      </c>
    </row>
    <row r="908" spans="1:8" x14ac:dyDescent="0.3">
      <c r="A908" t="s">
        <v>1199</v>
      </c>
      <c r="B908" t="s">
        <v>1200</v>
      </c>
      <c r="C908">
        <v>133</v>
      </c>
      <c r="D908">
        <v>22.99</v>
      </c>
      <c r="E908">
        <f t="shared" ca="1" si="56"/>
        <v>137.25399026417591</v>
      </c>
      <c r="F908">
        <f t="shared" ca="1" si="57"/>
        <v>-4.2539902641759113</v>
      </c>
      <c r="G908">
        <f t="shared" ca="1" si="58"/>
        <v>-3.0993563509433556E-2</v>
      </c>
      <c r="H908" t="str">
        <f t="shared" ca="1" si="59"/>
        <v>competitive</v>
      </c>
    </row>
    <row r="909" spans="1:8" x14ac:dyDescent="0.3">
      <c r="A909" t="s">
        <v>1201</v>
      </c>
      <c r="B909" t="s">
        <v>661</v>
      </c>
      <c r="C909">
        <v>34.9</v>
      </c>
      <c r="D909">
        <v>15.11</v>
      </c>
      <c r="E909">
        <f t="shared" ca="1" si="56"/>
        <v>32.144547569359069</v>
      </c>
      <c r="F909">
        <f t="shared" ca="1" si="57"/>
        <v>2.7554524306409292</v>
      </c>
      <c r="G909">
        <f t="shared" ca="1" si="58"/>
        <v>8.5720678590837929E-2</v>
      </c>
      <c r="H909" t="str">
        <f t="shared" ca="1" si="59"/>
        <v>overpriced</v>
      </c>
    </row>
    <row r="910" spans="1:8" x14ac:dyDescent="0.3">
      <c r="A910" t="s">
        <v>1202</v>
      </c>
      <c r="B910" t="s">
        <v>176</v>
      </c>
      <c r="C910">
        <v>249.99</v>
      </c>
      <c r="D910">
        <v>10.74</v>
      </c>
      <c r="E910">
        <f t="shared" ca="1" si="56"/>
        <v>252.5647118576579</v>
      </c>
      <c r="F910">
        <f t="shared" ca="1" si="57"/>
        <v>-2.5747118576578885</v>
      </c>
      <c r="G910">
        <f t="shared" ca="1" si="58"/>
        <v>-1.0194266010957864E-2</v>
      </c>
      <c r="H910" t="str">
        <f t="shared" ca="1" si="59"/>
        <v>competitive</v>
      </c>
    </row>
    <row r="911" spans="1:8" x14ac:dyDescent="0.3">
      <c r="A911" t="s">
        <v>1202</v>
      </c>
      <c r="B911" t="s">
        <v>176</v>
      </c>
      <c r="C911">
        <v>249.99</v>
      </c>
      <c r="D911">
        <v>10.74</v>
      </c>
      <c r="E911">
        <f t="shared" ca="1" si="56"/>
        <v>232.84983940589584</v>
      </c>
      <c r="F911">
        <f t="shared" ca="1" si="57"/>
        <v>17.140160594104174</v>
      </c>
      <c r="G911">
        <f t="shared" ca="1" si="58"/>
        <v>7.3610360384342099E-2</v>
      </c>
      <c r="H911" t="str">
        <f t="shared" ca="1" si="59"/>
        <v>overpriced</v>
      </c>
    </row>
    <row r="912" spans="1:8" x14ac:dyDescent="0.3">
      <c r="A912" t="s">
        <v>1203</v>
      </c>
      <c r="B912" t="s">
        <v>1204</v>
      </c>
      <c r="C912">
        <v>179.49</v>
      </c>
      <c r="D912">
        <v>9.4499999999999993</v>
      </c>
      <c r="E912">
        <f t="shared" ca="1" si="56"/>
        <v>172.27029990308742</v>
      </c>
      <c r="F912">
        <f t="shared" ca="1" si="57"/>
        <v>7.2197000969125895</v>
      </c>
      <c r="G912">
        <f t="shared" ca="1" si="58"/>
        <v>4.190913988641172E-2</v>
      </c>
      <c r="H912" t="str">
        <f t="shared" ca="1" si="59"/>
        <v>competitive</v>
      </c>
    </row>
    <row r="913" spans="1:8" x14ac:dyDescent="0.3">
      <c r="A913" t="s">
        <v>1205</v>
      </c>
      <c r="B913" t="s">
        <v>1206</v>
      </c>
      <c r="C913">
        <v>51.5</v>
      </c>
      <c r="D913">
        <v>14.53</v>
      </c>
      <c r="E913">
        <f t="shared" ca="1" si="56"/>
        <v>46.416073302379232</v>
      </c>
      <c r="F913">
        <f t="shared" ca="1" si="57"/>
        <v>5.0839266976207682</v>
      </c>
      <c r="G913">
        <f t="shared" ca="1" si="58"/>
        <v>0.10952944391700993</v>
      </c>
      <c r="H913" t="str">
        <f t="shared" ca="1" si="59"/>
        <v>overpriced</v>
      </c>
    </row>
    <row r="914" spans="1:8" x14ac:dyDescent="0.3">
      <c r="A914" t="s">
        <v>1207</v>
      </c>
      <c r="B914" t="s">
        <v>909</v>
      </c>
      <c r="C914">
        <v>84.99</v>
      </c>
      <c r="D914">
        <v>12.09</v>
      </c>
      <c r="E914">
        <f t="shared" ca="1" si="56"/>
        <v>84.111075799589528</v>
      </c>
      <c r="F914">
        <f t="shared" ca="1" si="57"/>
        <v>0.87892420041046648</v>
      </c>
      <c r="G914">
        <f t="shared" ca="1" si="58"/>
        <v>1.0449565554299517E-2</v>
      </c>
      <c r="H914" t="str">
        <f t="shared" ca="1" si="59"/>
        <v>competitive</v>
      </c>
    </row>
    <row r="915" spans="1:8" x14ac:dyDescent="0.3">
      <c r="A915" t="s">
        <v>1208</v>
      </c>
      <c r="B915" t="s">
        <v>1209</v>
      </c>
      <c r="C915">
        <v>479</v>
      </c>
      <c r="D915">
        <v>55.36</v>
      </c>
      <c r="E915">
        <f t="shared" ca="1" si="56"/>
        <v>454.59399167694068</v>
      </c>
      <c r="F915">
        <f t="shared" ca="1" si="57"/>
        <v>24.406008323059325</v>
      </c>
      <c r="G915">
        <f t="shared" ca="1" si="58"/>
        <v>5.3687485470339358E-2</v>
      </c>
      <c r="H915" t="str">
        <f t="shared" ca="1" si="59"/>
        <v>overpriced</v>
      </c>
    </row>
    <row r="916" spans="1:8" x14ac:dyDescent="0.3">
      <c r="A916" t="s">
        <v>596</v>
      </c>
      <c r="B916" t="s">
        <v>438</v>
      </c>
      <c r="C916">
        <v>38.4</v>
      </c>
      <c r="D916">
        <v>12.69</v>
      </c>
      <c r="E916">
        <f t="shared" ca="1" si="56"/>
        <v>38.695741113820212</v>
      </c>
      <c r="F916">
        <f t="shared" ca="1" si="57"/>
        <v>-0.29574111382021329</v>
      </c>
      <c r="G916">
        <f t="shared" ca="1" si="58"/>
        <v>-7.6427303188305942E-3</v>
      </c>
      <c r="H916" t="str">
        <f t="shared" ca="1" si="59"/>
        <v>competitive</v>
      </c>
    </row>
    <row r="917" spans="1:8" x14ac:dyDescent="0.3">
      <c r="A917" t="s">
        <v>596</v>
      </c>
      <c r="B917" t="s">
        <v>438</v>
      </c>
      <c r="C917">
        <v>38.4</v>
      </c>
      <c r="D917">
        <v>12.69</v>
      </c>
      <c r="E917">
        <f t="shared" ca="1" si="56"/>
        <v>36.577573649222984</v>
      </c>
      <c r="F917">
        <f t="shared" ca="1" si="57"/>
        <v>1.8224263507770146</v>
      </c>
      <c r="G917">
        <f t="shared" ca="1" si="58"/>
        <v>4.9823598696129706E-2</v>
      </c>
      <c r="H917" t="str">
        <f t="shared" ca="1" si="59"/>
        <v>competitive</v>
      </c>
    </row>
    <row r="918" spans="1:8" x14ac:dyDescent="0.3">
      <c r="A918" t="s">
        <v>596</v>
      </c>
      <c r="B918" t="s">
        <v>438</v>
      </c>
      <c r="C918">
        <v>38.4</v>
      </c>
      <c r="D918">
        <v>12.69</v>
      </c>
      <c r="E918">
        <f t="shared" ca="1" si="56"/>
        <v>41.320671271298274</v>
      </c>
      <c r="F918">
        <f t="shared" ca="1" si="57"/>
        <v>-2.920671271298275</v>
      </c>
      <c r="G918">
        <f t="shared" ca="1" si="58"/>
        <v>-7.0683054786842267E-2</v>
      </c>
      <c r="H918" t="str">
        <f t="shared" ca="1" si="59"/>
        <v>underprived</v>
      </c>
    </row>
    <row r="919" spans="1:8" x14ac:dyDescent="0.3">
      <c r="A919" t="s">
        <v>1143</v>
      </c>
      <c r="B919" t="s">
        <v>390</v>
      </c>
      <c r="C919">
        <v>49.95</v>
      </c>
      <c r="D919">
        <v>11.85</v>
      </c>
      <c r="E919">
        <f t="shared" ca="1" si="56"/>
        <v>45.754969622001298</v>
      </c>
      <c r="F919">
        <f t="shared" ca="1" si="57"/>
        <v>4.1950303779987053</v>
      </c>
      <c r="G919">
        <f t="shared" ca="1" si="58"/>
        <v>9.1684693764533129E-2</v>
      </c>
      <c r="H919" t="str">
        <f t="shared" ca="1" si="59"/>
        <v>overpriced</v>
      </c>
    </row>
    <row r="920" spans="1:8" x14ac:dyDescent="0.3">
      <c r="A920" t="s">
        <v>1210</v>
      </c>
      <c r="B920" t="s">
        <v>45</v>
      </c>
      <c r="C920">
        <v>24.99</v>
      </c>
      <c r="D920">
        <v>15.1</v>
      </c>
      <c r="E920">
        <f t="shared" ca="1" si="56"/>
        <v>23.85257832167175</v>
      </c>
      <c r="F920">
        <f t="shared" ca="1" si="57"/>
        <v>1.1374216783282485</v>
      </c>
      <c r="G920">
        <f t="shared" ca="1" si="58"/>
        <v>4.7685481334100499E-2</v>
      </c>
      <c r="H920" t="str">
        <f t="shared" ca="1" si="59"/>
        <v>competitive</v>
      </c>
    </row>
    <row r="921" spans="1:8" x14ac:dyDescent="0.3">
      <c r="A921" t="s">
        <v>871</v>
      </c>
      <c r="B921" t="s">
        <v>339</v>
      </c>
      <c r="C921">
        <v>31.9</v>
      </c>
      <c r="D921">
        <v>16.79</v>
      </c>
      <c r="E921">
        <f t="shared" ca="1" si="56"/>
        <v>34.706871684041261</v>
      </c>
      <c r="F921">
        <f t="shared" ca="1" si="57"/>
        <v>-2.806871684041262</v>
      </c>
      <c r="G921">
        <f t="shared" ca="1" si="58"/>
        <v>-8.0873658380795632E-2</v>
      </c>
      <c r="H921" t="str">
        <f t="shared" ca="1" si="59"/>
        <v>underprived</v>
      </c>
    </row>
    <row r="922" spans="1:8" x14ac:dyDescent="0.3">
      <c r="A922" t="s">
        <v>1211</v>
      </c>
      <c r="B922" t="s">
        <v>111</v>
      </c>
      <c r="C922">
        <v>32</v>
      </c>
      <c r="D922">
        <v>17.63</v>
      </c>
      <c r="E922">
        <f t="shared" ca="1" si="56"/>
        <v>33.839465497227017</v>
      </c>
      <c r="F922">
        <f t="shared" ca="1" si="57"/>
        <v>-1.8394654972270175</v>
      </c>
      <c r="G922">
        <f t="shared" ca="1" si="58"/>
        <v>-5.4358586053250543E-2</v>
      </c>
      <c r="H922" t="str">
        <f t="shared" ca="1" si="59"/>
        <v>underprived</v>
      </c>
    </row>
    <row r="923" spans="1:8" x14ac:dyDescent="0.3">
      <c r="A923" t="s">
        <v>1212</v>
      </c>
      <c r="B923" t="s">
        <v>438</v>
      </c>
      <c r="C923">
        <v>70</v>
      </c>
      <c r="D923">
        <v>27.26</v>
      </c>
      <c r="E923">
        <f t="shared" ca="1" si="56"/>
        <v>72.023066296405844</v>
      </c>
      <c r="F923">
        <f t="shared" ca="1" si="57"/>
        <v>-2.0230662964058439</v>
      </c>
      <c r="G923">
        <f t="shared" ca="1" si="58"/>
        <v>-2.8089144220548142E-2</v>
      </c>
      <c r="H923" t="str">
        <f t="shared" ca="1" si="59"/>
        <v>competitive</v>
      </c>
    </row>
    <row r="924" spans="1:8" x14ac:dyDescent="0.3">
      <c r="A924" t="s">
        <v>24</v>
      </c>
      <c r="B924" t="s">
        <v>25</v>
      </c>
      <c r="C924">
        <v>59.99</v>
      </c>
      <c r="D924">
        <v>8.8800000000000008</v>
      </c>
      <c r="E924">
        <f t="shared" ca="1" si="56"/>
        <v>63.149782586889728</v>
      </c>
      <c r="F924">
        <f t="shared" ca="1" si="57"/>
        <v>-3.159782586889726</v>
      </c>
      <c r="G924">
        <f t="shared" ca="1" si="58"/>
        <v>-5.0036317742536703E-2</v>
      </c>
      <c r="H924" t="str">
        <f t="shared" ca="1" si="59"/>
        <v>underprived</v>
      </c>
    </row>
    <row r="925" spans="1:8" x14ac:dyDescent="0.3">
      <c r="A925" t="s">
        <v>1213</v>
      </c>
      <c r="B925" t="s">
        <v>1214</v>
      </c>
      <c r="C925">
        <v>22.9</v>
      </c>
      <c r="D925">
        <v>14.1</v>
      </c>
      <c r="E925">
        <f t="shared" ca="1" si="56"/>
        <v>23.335939430039236</v>
      </c>
      <c r="F925">
        <f t="shared" ca="1" si="57"/>
        <v>-0.43593943003923741</v>
      </c>
      <c r="G925">
        <f t="shared" ca="1" si="58"/>
        <v>-1.8681031948432018E-2</v>
      </c>
      <c r="H925" t="str">
        <f t="shared" ca="1" si="59"/>
        <v>competitive</v>
      </c>
    </row>
    <row r="926" spans="1:8" x14ac:dyDescent="0.3">
      <c r="A926" t="s">
        <v>1215</v>
      </c>
      <c r="B926" t="s">
        <v>1216</v>
      </c>
      <c r="C926">
        <v>49.9</v>
      </c>
      <c r="D926">
        <v>11.62</v>
      </c>
      <c r="E926">
        <f t="shared" ca="1" si="56"/>
        <v>47.23865016913728</v>
      </c>
      <c r="F926">
        <f t="shared" ca="1" si="57"/>
        <v>2.6613498308627186</v>
      </c>
      <c r="G926">
        <f t="shared" ca="1" si="58"/>
        <v>5.633839708234243E-2</v>
      </c>
      <c r="H926" t="str">
        <f t="shared" ca="1" si="59"/>
        <v>overpriced</v>
      </c>
    </row>
    <row r="927" spans="1:8" x14ac:dyDescent="0.3">
      <c r="A927" t="s">
        <v>1217</v>
      </c>
      <c r="B927" t="s">
        <v>1218</v>
      </c>
      <c r="C927">
        <v>989</v>
      </c>
      <c r="D927">
        <v>28.63</v>
      </c>
      <c r="E927">
        <f t="shared" ca="1" si="56"/>
        <v>921.21170803247446</v>
      </c>
      <c r="F927">
        <f t="shared" ca="1" si="57"/>
        <v>67.788291967525538</v>
      </c>
      <c r="G927">
        <f t="shared" ca="1" si="58"/>
        <v>7.3586007837772582E-2</v>
      </c>
      <c r="H927" t="str">
        <f t="shared" ca="1" si="59"/>
        <v>overpriced</v>
      </c>
    </row>
    <row r="928" spans="1:8" x14ac:dyDescent="0.3">
      <c r="A928" t="s">
        <v>1219</v>
      </c>
      <c r="B928" t="s">
        <v>1220</v>
      </c>
      <c r="C928">
        <v>45.97</v>
      </c>
      <c r="D928">
        <v>13.9</v>
      </c>
      <c r="E928">
        <f t="shared" ca="1" si="56"/>
        <v>47.084435909099831</v>
      </c>
      <c r="F928">
        <f t="shared" ca="1" si="57"/>
        <v>-1.1144359090998321</v>
      </c>
      <c r="G928">
        <f t="shared" ca="1" si="58"/>
        <v>-2.3668880970589463E-2</v>
      </c>
      <c r="H928" t="str">
        <f t="shared" ca="1" si="59"/>
        <v>competitive</v>
      </c>
    </row>
    <row r="929" spans="1:8" x14ac:dyDescent="0.3">
      <c r="A929" t="s">
        <v>1221</v>
      </c>
      <c r="B929" t="s">
        <v>1222</v>
      </c>
      <c r="C929">
        <v>40.75</v>
      </c>
      <c r="D929">
        <v>22.23</v>
      </c>
      <c r="E929">
        <f t="shared" ca="1" si="56"/>
        <v>38.827699985475881</v>
      </c>
      <c r="F929">
        <f t="shared" ca="1" si="57"/>
        <v>1.9223000145241187</v>
      </c>
      <c r="G929">
        <f t="shared" ca="1" si="58"/>
        <v>4.9508469861546923E-2</v>
      </c>
      <c r="H929" t="str">
        <f t="shared" ca="1" si="59"/>
        <v>competitive</v>
      </c>
    </row>
    <row r="930" spans="1:8" x14ac:dyDescent="0.3">
      <c r="A930" t="s">
        <v>1223</v>
      </c>
      <c r="B930" t="s">
        <v>747</v>
      </c>
      <c r="C930">
        <v>99.9</v>
      </c>
      <c r="D930">
        <v>12.19</v>
      </c>
      <c r="E930">
        <f t="shared" ca="1" si="56"/>
        <v>96.318263249682474</v>
      </c>
      <c r="F930">
        <f t="shared" ca="1" si="57"/>
        <v>3.5817367503175319</v>
      </c>
      <c r="G930">
        <f t="shared" ca="1" si="58"/>
        <v>3.7186475643074257E-2</v>
      </c>
      <c r="H930" t="str">
        <f t="shared" ca="1" si="59"/>
        <v>competitive</v>
      </c>
    </row>
    <row r="931" spans="1:8" x14ac:dyDescent="0.3">
      <c r="A931" t="s">
        <v>1224</v>
      </c>
      <c r="B931" t="s">
        <v>1225</v>
      </c>
      <c r="C931">
        <v>99.9</v>
      </c>
      <c r="D931">
        <v>13.82</v>
      </c>
      <c r="E931">
        <f t="shared" ca="1" si="56"/>
        <v>104.45448556742171</v>
      </c>
      <c r="F931">
        <f t="shared" ca="1" si="57"/>
        <v>-4.5544855674217075</v>
      </c>
      <c r="G931">
        <f t="shared" ca="1" si="58"/>
        <v>-4.3602584826114975E-2</v>
      </c>
      <c r="H931" t="str">
        <f t="shared" ca="1" si="59"/>
        <v>competitive</v>
      </c>
    </row>
    <row r="932" spans="1:8" x14ac:dyDescent="0.3">
      <c r="A932" t="s">
        <v>761</v>
      </c>
      <c r="B932" t="s">
        <v>109</v>
      </c>
      <c r="C932">
        <v>67.989999999999995</v>
      </c>
      <c r="D932">
        <v>52.83</v>
      </c>
      <c r="E932">
        <f t="shared" ca="1" si="56"/>
        <v>63.530542878290781</v>
      </c>
      <c r="F932">
        <f t="shared" ca="1" si="57"/>
        <v>4.4594571217092138</v>
      </c>
      <c r="G932">
        <f t="shared" ca="1" si="58"/>
        <v>7.0193908625217627E-2</v>
      </c>
      <c r="H932" t="str">
        <f t="shared" ca="1" si="59"/>
        <v>overpriced</v>
      </c>
    </row>
    <row r="933" spans="1:8" x14ac:dyDescent="0.3">
      <c r="A933" t="s">
        <v>86</v>
      </c>
      <c r="B933" t="s">
        <v>29</v>
      </c>
      <c r="C933">
        <v>92</v>
      </c>
      <c r="D933">
        <v>13.66</v>
      </c>
      <c r="E933">
        <f t="shared" ca="1" si="56"/>
        <v>85.200136038870468</v>
      </c>
      <c r="F933">
        <f t="shared" ca="1" si="57"/>
        <v>6.7998639611295317</v>
      </c>
      <c r="G933">
        <f t="shared" ca="1" si="58"/>
        <v>7.9810482438986488E-2</v>
      </c>
      <c r="H933" t="str">
        <f t="shared" ca="1" si="59"/>
        <v>overpriced</v>
      </c>
    </row>
    <row r="934" spans="1:8" x14ac:dyDescent="0.3">
      <c r="A934" t="s">
        <v>484</v>
      </c>
      <c r="B934" t="s">
        <v>111</v>
      </c>
      <c r="C934">
        <v>45</v>
      </c>
      <c r="D934">
        <v>7.39</v>
      </c>
      <c r="E934">
        <f t="shared" ca="1" si="56"/>
        <v>44.784326747328144</v>
      </c>
      <c r="F934">
        <f t="shared" ca="1" si="57"/>
        <v>0.21567325267185566</v>
      </c>
      <c r="G934">
        <f t="shared" ca="1" si="58"/>
        <v>4.815819915942419E-3</v>
      </c>
      <c r="H934" t="str">
        <f t="shared" ca="1" si="59"/>
        <v>competitive</v>
      </c>
    </row>
    <row r="935" spans="1:8" x14ac:dyDescent="0.3">
      <c r="A935" t="s">
        <v>1226</v>
      </c>
      <c r="B935" t="s">
        <v>229</v>
      </c>
      <c r="C935">
        <v>99</v>
      </c>
      <c r="D935">
        <v>13.71</v>
      </c>
      <c r="E935">
        <f t="shared" ca="1" si="56"/>
        <v>102.66492540295033</v>
      </c>
      <c r="F935">
        <f t="shared" ca="1" si="57"/>
        <v>-3.6649254029503311</v>
      </c>
      <c r="G935">
        <f t="shared" ca="1" si="58"/>
        <v>-3.5697930803201175E-2</v>
      </c>
      <c r="H935" t="str">
        <f t="shared" ca="1" si="59"/>
        <v>competitive</v>
      </c>
    </row>
    <row r="936" spans="1:8" x14ac:dyDescent="0.3">
      <c r="A936" t="s">
        <v>1227</v>
      </c>
      <c r="B936" t="s">
        <v>1228</v>
      </c>
      <c r="C936">
        <v>57.2</v>
      </c>
      <c r="D936">
        <v>12.84</v>
      </c>
      <c r="E936">
        <f t="shared" ca="1" si="56"/>
        <v>61.166905870450847</v>
      </c>
      <c r="F936">
        <f t="shared" ca="1" si="57"/>
        <v>-3.9669058704508444</v>
      </c>
      <c r="G936">
        <f t="shared" ca="1" si="58"/>
        <v>-6.4853793305363505E-2</v>
      </c>
      <c r="H936" t="str">
        <f t="shared" ca="1" si="59"/>
        <v>underprived</v>
      </c>
    </row>
    <row r="937" spans="1:8" x14ac:dyDescent="0.3">
      <c r="A937" t="s">
        <v>469</v>
      </c>
      <c r="B937" t="s">
        <v>25</v>
      </c>
      <c r="C937">
        <v>89.99</v>
      </c>
      <c r="D937">
        <v>16.39</v>
      </c>
      <c r="E937">
        <f t="shared" ca="1" si="56"/>
        <v>87.380608630146071</v>
      </c>
      <c r="F937">
        <f t="shared" ca="1" si="57"/>
        <v>2.6093913698539239</v>
      </c>
      <c r="G937">
        <f t="shared" ca="1" si="58"/>
        <v>2.9862362036165664E-2</v>
      </c>
      <c r="H937" t="str">
        <f t="shared" ca="1" si="59"/>
        <v>competitive</v>
      </c>
    </row>
    <row r="938" spans="1:8" x14ac:dyDescent="0.3">
      <c r="A938" t="s">
        <v>1229</v>
      </c>
      <c r="B938" t="s">
        <v>1230</v>
      </c>
      <c r="C938">
        <v>29.9</v>
      </c>
      <c r="D938">
        <v>13.71</v>
      </c>
      <c r="E938">
        <f t="shared" ca="1" si="56"/>
        <v>28.455706000525531</v>
      </c>
      <c r="F938">
        <f t="shared" ca="1" si="57"/>
        <v>1.4442939994744677</v>
      </c>
      <c r="G938">
        <f t="shared" ca="1" si="58"/>
        <v>5.0755865956999761E-2</v>
      </c>
      <c r="H938" t="str">
        <f t="shared" ca="1" si="59"/>
        <v>overpriced</v>
      </c>
    </row>
    <row r="939" spans="1:8" x14ac:dyDescent="0.3">
      <c r="A939" t="s">
        <v>1231</v>
      </c>
      <c r="B939" t="s">
        <v>322</v>
      </c>
      <c r="C939">
        <v>24.9</v>
      </c>
      <c r="D939">
        <v>18.27</v>
      </c>
      <c r="E939">
        <f t="shared" ca="1" si="56"/>
        <v>23.495851089906996</v>
      </c>
      <c r="F939">
        <f t="shared" ca="1" si="57"/>
        <v>1.4041489100930029</v>
      </c>
      <c r="G939">
        <f t="shared" ca="1" si="58"/>
        <v>5.9761568317743409E-2</v>
      </c>
      <c r="H939" t="str">
        <f t="shared" ca="1" si="59"/>
        <v>overpriced</v>
      </c>
    </row>
    <row r="940" spans="1:8" x14ac:dyDescent="0.3">
      <c r="A940" t="s">
        <v>1232</v>
      </c>
      <c r="B940" t="s">
        <v>21</v>
      </c>
      <c r="C940">
        <v>76.489999999999995</v>
      </c>
      <c r="D940">
        <v>9.5299999999999994</v>
      </c>
      <c r="E940">
        <f t="shared" ca="1" si="56"/>
        <v>79.410165464690863</v>
      </c>
      <c r="F940">
        <f t="shared" ca="1" si="57"/>
        <v>-2.9201654646908679</v>
      </c>
      <c r="G940">
        <f t="shared" ca="1" si="58"/>
        <v>-3.6773194560201464E-2</v>
      </c>
      <c r="H940" t="str">
        <f t="shared" ca="1" si="59"/>
        <v>competitive</v>
      </c>
    </row>
    <row r="941" spans="1:8" x14ac:dyDescent="0.3">
      <c r="A941" t="s">
        <v>727</v>
      </c>
      <c r="B941" t="s">
        <v>265</v>
      </c>
      <c r="C941">
        <v>103.9</v>
      </c>
      <c r="D941">
        <v>14.33</v>
      </c>
      <c r="E941">
        <f t="shared" ca="1" si="56"/>
        <v>102.97993929180384</v>
      </c>
      <c r="F941">
        <f t="shared" ca="1" si="57"/>
        <v>0.9200607081961607</v>
      </c>
      <c r="G941">
        <f t="shared" ca="1" si="58"/>
        <v>8.9343683296324115E-3</v>
      </c>
      <c r="H941" t="str">
        <f t="shared" ca="1" si="59"/>
        <v>competitive</v>
      </c>
    </row>
    <row r="942" spans="1:8" x14ac:dyDescent="0.3">
      <c r="A942" t="s">
        <v>1233</v>
      </c>
      <c r="B942" t="s">
        <v>1234</v>
      </c>
      <c r="C942">
        <v>550</v>
      </c>
      <c r="D942">
        <v>98.77</v>
      </c>
      <c r="E942">
        <f t="shared" ca="1" si="56"/>
        <v>576.70292220543706</v>
      </c>
      <c r="F942">
        <f t="shared" ca="1" si="57"/>
        <v>-26.702922205437062</v>
      </c>
      <c r="G942">
        <f t="shared" ca="1" si="58"/>
        <v>-4.630273434946245E-2</v>
      </c>
      <c r="H942" t="str">
        <f t="shared" ca="1" si="59"/>
        <v>competitive</v>
      </c>
    </row>
    <row r="943" spans="1:8" x14ac:dyDescent="0.3">
      <c r="A943" t="s">
        <v>1235</v>
      </c>
      <c r="B943" t="s">
        <v>47</v>
      </c>
      <c r="C943">
        <v>149.99</v>
      </c>
      <c r="D943">
        <v>21.09</v>
      </c>
      <c r="E943">
        <f t="shared" ca="1" si="56"/>
        <v>145.47767942314303</v>
      </c>
      <c r="F943">
        <f t="shared" ca="1" si="57"/>
        <v>4.512320576856979</v>
      </c>
      <c r="G943">
        <f t="shared" ca="1" si="58"/>
        <v>3.1017270791983402E-2</v>
      </c>
      <c r="H943" t="str">
        <f t="shared" ca="1" si="59"/>
        <v>competitive</v>
      </c>
    </row>
    <row r="944" spans="1:8" x14ac:dyDescent="0.3">
      <c r="A944" t="s">
        <v>1236</v>
      </c>
      <c r="B944" t="s">
        <v>1237</v>
      </c>
      <c r="C944">
        <v>32.99</v>
      </c>
      <c r="D944">
        <v>21.15</v>
      </c>
      <c r="E944">
        <f t="shared" ca="1" si="56"/>
        <v>30.702660437220366</v>
      </c>
      <c r="F944">
        <f t="shared" ca="1" si="57"/>
        <v>2.2873395627796356</v>
      </c>
      <c r="G944">
        <f t="shared" ca="1" si="58"/>
        <v>7.4499718597894823E-2</v>
      </c>
      <c r="H944" t="str">
        <f t="shared" ca="1" si="59"/>
        <v>overpriced</v>
      </c>
    </row>
    <row r="945" spans="1:8" x14ac:dyDescent="0.3">
      <c r="A945" t="s">
        <v>1238</v>
      </c>
      <c r="B945" t="s">
        <v>139</v>
      </c>
      <c r="C945">
        <v>119</v>
      </c>
      <c r="D945">
        <v>27.13</v>
      </c>
      <c r="E945">
        <f t="shared" ca="1" si="56"/>
        <v>115.78588555117403</v>
      </c>
      <c r="F945">
        <f t="shared" ca="1" si="57"/>
        <v>3.214114448825967</v>
      </c>
      <c r="G945">
        <f t="shared" ca="1" si="58"/>
        <v>2.7759121360309679E-2</v>
      </c>
      <c r="H945" t="str">
        <f t="shared" ca="1" si="59"/>
        <v>competitive</v>
      </c>
    </row>
    <row r="946" spans="1:8" x14ac:dyDescent="0.3">
      <c r="A946" t="s">
        <v>1239</v>
      </c>
      <c r="B946" t="s">
        <v>640</v>
      </c>
      <c r="C946">
        <v>35.9</v>
      </c>
      <c r="D946">
        <v>11.85</v>
      </c>
      <c r="E946">
        <f t="shared" ca="1" si="56"/>
        <v>38.045826787061479</v>
      </c>
      <c r="F946">
        <f t="shared" ca="1" si="57"/>
        <v>-2.1458267870614804</v>
      </c>
      <c r="G946">
        <f t="shared" ca="1" si="58"/>
        <v>-5.6401108039298209E-2</v>
      </c>
      <c r="H946" t="str">
        <f t="shared" ca="1" si="59"/>
        <v>underprived</v>
      </c>
    </row>
    <row r="947" spans="1:8" x14ac:dyDescent="0.3">
      <c r="A947" t="s">
        <v>1240</v>
      </c>
      <c r="B947" t="s">
        <v>155</v>
      </c>
      <c r="C947">
        <v>89</v>
      </c>
      <c r="D947">
        <v>17.53</v>
      </c>
      <c r="E947">
        <f t="shared" ca="1" si="56"/>
        <v>89.826416358686885</v>
      </c>
      <c r="F947">
        <f t="shared" ca="1" si="57"/>
        <v>-0.82641635868688468</v>
      </c>
      <c r="G947">
        <f t="shared" ca="1" si="58"/>
        <v>-9.200148377142333E-3</v>
      </c>
      <c r="H947" t="str">
        <f t="shared" ca="1" si="59"/>
        <v>competitive</v>
      </c>
    </row>
    <row r="948" spans="1:8" x14ac:dyDescent="0.3">
      <c r="A948" t="s">
        <v>1241</v>
      </c>
      <c r="B948" t="s">
        <v>1242</v>
      </c>
      <c r="C948">
        <v>146.99</v>
      </c>
      <c r="D948">
        <v>16.66</v>
      </c>
      <c r="E948">
        <f t="shared" ca="1" si="56"/>
        <v>151.27438397643169</v>
      </c>
      <c r="F948">
        <f t="shared" ca="1" si="57"/>
        <v>-4.284383976431684</v>
      </c>
      <c r="G948">
        <f t="shared" ca="1" si="58"/>
        <v>-2.8321939668907753E-2</v>
      </c>
      <c r="H948" t="str">
        <f t="shared" ca="1" si="59"/>
        <v>competitive</v>
      </c>
    </row>
    <row r="949" spans="1:8" x14ac:dyDescent="0.3">
      <c r="A949" t="s">
        <v>1243</v>
      </c>
      <c r="B949" t="s">
        <v>1244</v>
      </c>
      <c r="C949">
        <v>50</v>
      </c>
      <c r="D949">
        <v>19.59</v>
      </c>
      <c r="E949">
        <f t="shared" ca="1" si="56"/>
        <v>53.58238791217623</v>
      </c>
      <c r="F949">
        <f t="shared" ca="1" si="57"/>
        <v>-3.5823879121762303</v>
      </c>
      <c r="G949">
        <f t="shared" ca="1" si="58"/>
        <v>-6.6857563683946186E-2</v>
      </c>
      <c r="H949" t="str">
        <f t="shared" ca="1" si="59"/>
        <v>underprived</v>
      </c>
    </row>
    <row r="950" spans="1:8" x14ac:dyDescent="0.3">
      <c r="A950" t="s">
        <v>1245</v>
      </c>
      <c r="B950" t="s">
        <v>119</v>
      </c>
      <c r="C950">
        <v>59</v>
      </c>
      <c r="D950">
        <v>25.69</v>
      </c>
      <c r="E950">
        <f t="shared" ca="1" si="56"/>
        <v>58.701908378910382</v>
      </c>
      <c r="F950">
        <f t="shared" ca="1" si="57"/>
        <v>0.29809162108961829</v>
      </c>
      <c r="G950">
        <f t="shared" ca="1" si="58"/>
        <v>5.0780567331046526E-3</v>
      </c>
      <c r="H950" t="str">
        <f t="shared" ca="1" si="59"/>
        <v>competitive</v>
      </c>
    </row>
    <row r="951" spans="1:8" x14ac:dyDescent="0.3">
      <c r="A951" t="s">
        <v>992</v>
      </c>
      <c r="B951" t="s">
        <v>993</v>
      </c>
      <c r="C951">
        <v>109.99</v>
      </c>
      <c r="D951">
        <v>23.25</v>
      </c>
      <c r="E951">
        <f t="shared" ca="1" si="56"/>
        <v>99.138756438175562</v>
      </c>
      <c r="F951">
        <f t="shared" ca="1" si="57"/>
        <v>10.851243561824433</v>
      </c>
      <c r="G951">
        <f t="shared" ca="1" si="58"/>
        <v>0.10945511071234218</v>
      </c>
      <c r="H951" t="str">
        <f t="shared" ca="1" si="59"/>
        <v>overpriced</v>
      </c>
    </row>
    <row r="952" spans="1:8" x14ac:dyDescent="0.3">
      <c r="A952" t="s">
        <v>1246</v>
      </c>
      <c r="B952" t="s">
        <v>7</v>
      </c>
      <c r="C952">
        <v>38.9</v>
      </c>
      <c r="D952">
        <v>16.559999999999999</v>
      </c>
      <c r="E952">
        <f t="shared" ca="1" si="56"/>
        <v>36.687259495591235</v>
      </c>
      <c r="F952">
        <f t="shared" ca="1" si="57"/>
        <v>2.2127405044087638</v>
      </c>
      <c r="G952">
        <f t="shared" ca="1" si="58"/>
        <v>6.0313594823692737E-2</v>
      </c>
      <c r="H952" t="str">
        <f t="shared" ca="1" si="59"/>
        <v>overpriced</v>
      </c>
    </row>
    <row r="953" spans="1:8" x14ac:dyDescent="0.3">
      <c r="A953" t="s">
        <v>1247</v>
      </c>
      <c r="B953" t="s">
        <v>993</v>
      </c>
      <c r="C953">
        <v>109.9</v>
      </c>
      <c r="D953">
        <v>19.760000000000002</v>
      </c>
      <c r="E953">
        <f t="shared" ca="1" si="56"/>
        <v>104.65019153436518</v>
      </c>
      <c r="F953">
        <f t="shared" ca="1" si="57"/>
        <v>5.2498084656348283</v>
      </c>
      <c r="G953">
        <f t="shared" ca="1" si="58"/>
        <v>5.0165302028242237E-2</v>
      </c>
      <c r="H953" t="str">
        <f t="shared" ca="1" si="59"/>
        <v>overpriced</v>
      </c>
    </row>
    <row r="954" spans="1:8" x14ac:dyDescent="0.3">
      <c r="A954" t="s">
        <v>1248</v>
      </c>
      <c r="B954" t="s">
        <v>47</v>
      </c>
      <c r="C954">
        <v>259.99</v>
      </c>
      <c r="D954">
        <v>66.63</v>
      </c>
      <c r="E954">
        <f t="shared" ca="1" si="56"/>
        <v>240.44699900072095</v>
      </c>
      <c r="F954">
        <f t="shared" ca="1" si="57"/>
        <v>19.543000999279059</v>
      </c>
      <c r="G954">
        <f t="shared" ca="1" si="58"/>
        <v>8.1277791282479098E-2</v>
      </c>
      <c r="H954" t="str">
        <f t="shared" ca="1" si="59"/>
        <v>overpriced</v>
      </c>
    </row>
    <row r="955" spans="1:8" x14ac:dyDescent="0.3">
      <c r="A955" t="s">
        <v>1249</v>
      </c>
      <c r="B955" t="s">
        <v>277</v>
      </c>
      <c r="C955">
        <v>59</v>
      </c>
      <c r="D955">
        <v>16.170000000000002</v>
      </c>
      <c r="E955">
        <f t="shared" ca="1" si="56"/>
        <v>63.424629124481001</v>
      </c>
      <c r="F955">
        <f t="shared" ca="1" si="57"/>
        <v>-4.424629124481001</v>
      </c>
      <c r="G955">
        <f t="shared" ca="1" si="58"/>
        <v>-6.9762002325578554E-2</v>
      </c>
      <c r="H955" t="str">
        <f t="shared" ca="1" si="59"/>
        <v>underprived</v>
      </c>
    </row>
    <row r="956" spans="1:8" x14ac:dyDescent="0.3">
      <c r="A956" t="s">
        <v>1250</v>
      </c>
      <c r="B956" t="s">
        <v>155</v>
      </c>
      <c r="C956">
        <v>69</v>
      </c>
      <c r="D956">
        <v>13.84</v>
      </c>
      <c r="E956">
        <f t="shared" ca="1" si="56"/>
        <v>73.971255726628954</v>
      </c>
      <c r="F956">
        <f t="shared" ca="1" si="57"/>
        <v>-4.9712557266289537</v>
      </c>
      <c r="G956">
        <f t="shared" ca="1" si="58"/>
        <v>-6.720523638264192E-2</v>
      </c>
      <c r="H956" t="str">
        <f t="shared" ca="1" si="59"/>
        <v>underprived</v>
      </c>
    </row>
    <row r="957" spans="1:8" x14ac:dyDescent="0.3">
      <c r="A957" t="s">
        <v>1251</v>
      </c>
      <c r="B957" t="s">
        <v>1252</v>
      </c>
      <c r="C957">
        <v>89.99</v>
      </c>
      <c r="D957">
        <v>22.1</v>
      </c>
      <c r="E957">
        <f t="shared" ca="1" si="56"/>
        <v>94.934120014857413</v>
      </c>
      <c r="F957">
        <f t="shared" ca="1" si="57"/>
        <v>-4.9441200148574183</v>
      </c>
      <c r="G957">
        <f t="shared" ca="1" si="58"/>
        <v>-5.2079484321165583E-2</v>
      </c>
      <c r="H957" t="str">
        <f t="shared" ca="1" si="59"/>
        <v>underprived</v>
      </c>
    </row>
    <row r="958" spans="1:8" x14ac:dyDescent="0.3">
      <c r="A958" t="s">
        <v>1253</v>
      </c>
      <c r="B958" t="s">
        <v>229</v>
      </c>
      <c r="C958">
        <v>79</v>
      </c>
      <c r="D958">
        <v>32.49</v>
      </c>
      <c r="E958">
        <f t="shared" ca="1" si="56"/>
        <v>83.777952574566967</v>
      </c>
      <c r="F958">
        <f t="shared" ca="1" si="57"/>
        <v>-4.7779525745669673</v>
      </c>
      <c r="G958">
        <f t="shared" ca="1" si="58"/>
        <v>-5.7031145160945866E-2</v>
      </c>
      <c r="H958" t="str">
        <f t="shared" ca="1" si="59"/>
        <v>underprived</v>
      </c>
    </row>
    <row r="959" spans="1:8" x14ac:dyDescent="0.3">
      <c r="A959" t="s">
        <v>1254</v>
      </c>
      <c r="B959" t="s">
        <v>229</v>
      </c>
      <c r="C959">
        <v>99</v>
      </c>
      <c r="D959">
        <v>3.25</v>
      </c>
      <c r="E959">
        <f t="shared" ca="1" si="56"/>
        <v>96.40498391497529</v>
      </c>
      <c r="F959">
        <f t="shared" ca="1" si="57"/>
        <v>2.5950160850247102</v>
      </c>
      <c r="G959">
        <f t="shared" ca="1" si="58"/>
        <v>2.6917862330783578E-2</v>
      </c>
      <c r="H959" t="str">
        <f t="shared" ca="1" si="59"/>
        <v>competitive</v>
      </c>
    </row>
    <row r="960" spans="1:8" x14ac:dyDescent="0.3">
      <c r="A960" t="s">
        <v>1255</v>
      </c>
      <c r="B960" t="s">
        <v>588</v>
      </c>
      <c r="C960">
        <v>149.9</v>
      </c>
      <c r="D960">
        <v>21.54</v>
      </c>
      <c r="E960">
        <f t="shared" ca="1" si="56"/>
        <v>151.88079449306974</v>
      </c>
      <c r="F960">
        <f t="shared" ca="1" si="57"/>
        <v>-1.9807944930697374</v>
      </c>
      <c r="G960">
        <f t="shared" ca="1" si="58"/>
        <v>-1.3041770683916987E-2</v>
      </c>
      <c r="H960" t="str">
        <f t="shared" ca="1" si="59"/>
        <v>competitive</v>
      </c>
    </row>
    <row r="961" spans="1:8" x14ac:dyDescent="0.3">
      <c r="A961" t="s">
        <v>1256</v>
      </c>
      <c r="B961" t="s">
        <v>103</v>
      </c>
      <c r="C961">
        <v>139.9</v>
      </c>
      <c r="D961">
        <v>22.85</v>
      </c>
      <c r="E961">
        <f t="shared" ca="1" si="56"/>
        <v>137.57341604079483</v>
      </c>
      <c r="F961">
        <f t="shared" ca="1" si="57"/>
        <v>2.3265839592051805</v>
      </c>
      <c r="G961">
        <f t="shared" ca="1" si="58"/>
        <v>1.6911580930106987E-2</v>
      </c>
      <c r="H961" t="str">
        <f t="shared" ca="1" si="59"/>
        <v>competitive</v>
      </c>
    </row>
    <row r="962" spans="1:8" x14ac:dyDescent="0.3">
      <c r="A962" t="s">
        <v>1257</v>
      </c>
      <c r="B962" t="s">
        <v>71</v>
      </c>
      <c r="C962">
        <v>12.25</v>
      </c>
      <c r="D962">
        <v>7.39</v>
      </c>
      <c r="E962">
        <f t="shared" ca="1" si="56"/>
        <v>12.492383341043482</v>
      </c>
      <c r="F962">
        <f t="shared" ca="1" si="57"/>
        <v>-0.24238334104348169</v>
      </c>
      <c r="G962">
        <f t="shared" ca="1" si="58"/>
        <v>-1.9402489855329365E-2</v>
      </c>
      <c r="H962" t="str">
        <f t="shared" ca="1" si="59"/>
        <v>competitive</v>
      </c>
    </row>
    <row r="963" spans="1:8" x14ac:dyDescent="0.3">
      <c r="A963" t="s">
        <v>1258</v>
      </c>
      <c r="B963" t="s">
        <v>426</v>
      </c>
      <c r="C963">
        <v>46.9</v>
      </c>
      <c r="D963">
        <v>7.39</v>
      </c>
      <c r="E963">
        <f t="shared" ref="E963:E1026" ca="1" si="60">C963*(1+RAND()*0.2-0.1)</f>
        <v>43.976251128662078</v>
      </c>
      <c r="F963">
        <f t="shared" ref="F963:F1026" ca="1" si="61">C963-E963</f>
        <v>2.9237488713379207</v>
      </c>
      <c r="G963">
        <f t="shared" ref="G963:G1026" ca="1" si="62">(C963-E963)/E963</f>
        <v>6.6484722919738157E-2</v>
      </c>
      <c r="H963" t="str">
        <f t="shared" ref="H963:H1026" ca="1" si="63">IF(E963="","competitive",IF(ABS(C963-E963)/E963&lt;=0.05,"competitive",IF(C963&gt;E963,"overpriced","underprived")))</f>
        <v>overpriced</v>
      </c>
    </row>
    <row r="964" spans="1:8" x14ac:dyDescent="0.3">
      <c r="A964" t="s">
        <v>1259</v>
      </c>
      <c r="B964" t="s">
        <v>109</v>
      </c>
      <c r="C964">
        <v>99</v>
      </c>
      <c r="D964">
        <v>14.05</v>
      </c>
      <c r="E964">
        <f t="shared" ca="1" si="60"/>
        <v>95.124680436614639</v>
      </c>
      <c r="F964">
        <f t="shared" ca="1" si="61"/>
        <v>3.8753195633853608</v>
      </c>
      <c r="G964">
        <f t="shared" ca="1" si="62"/>
        <v>4.0739370115073767E-2</v>
      </c>
      <c r="H964" t="str">
        <f t="shared" ca="1" si="63"/>
        <v>competitive</v>
      </c>
    </row>
    <row r="965" spans="1:8" x14ac:dyDescent="0.3">
      <c r="A965" t="s">
        <v>1260</v>
      </c>
      <c r="B965" t="s">
        <v>1261</v>
      </c>
      <c r="C965">
        <v>48.9</v>
      </c>
      <c r="D965">
        <v>7.94</v>
      </c>
      <c r="E965">
        <f t="shared" ca="1" si="60"/>
        <v>46.515768308136415</v>
      </c>
      <c r="F965">
        <f t="shared" ca="1" si="61"/>
        <v>2.3842316918635831</v>
      </c>
      <c r="G965">
        <f t="shared" ca="1" si="62"/>
        <v>5.1256418599164355E-2</v>
      </c>
      <c r="H965" t="str">
        <f t="shared" ca="1" si="63"/>
        <v>overpriced</v>
      </c>
    </row>
    <row r="966" spans="1:8" x14ac:dyDescent="0.3">
      <c r="A966" t="s">
        <v>1262</v>
      </c>
      <c r="B966" t="s">
        <v>401</v>
      </c>
      <c r="C966">
        <v>69.489999999999995</v>
      </c>
      <c r="D966">
        <v>16.25</v>
      </c>
      <c r="E966">
        <f t="shared" ca="1" si="60"/>
        <v>62.554414784847609</v>
      </c>
      <c r="F966">
        <f t="shared" ca="1" si="61"/>
        <v>6.9355852151523862</v>
      </c>
      <c r="G966">
        <f t="shared" ca="1" si="62"/>
        <v>0.11087283350035232</v>
      </c>
      <c r="H966" t="str">
        <f t="shared" ca="1" si="63"/>
        <v>overpriced</v>
      </c>
    </row>
    <row r="967" spans="1:8" x14ac:dyDescent="0.3">
      <c r="A967" t="s">
        <v>1263</v>
      </c>
      <c r="B967" t="s">
        <v>95</v>
      </c>
      <c r="C967">
        <v>149</v>
      </c>
      <c r="D967">
        <v>74.989999999999995</v>
      </c>
      <c r="E967">
        <f t="shared" ca="1" si="60"/>
        <v>136.5206988469908</v>
      </c>
      <c r="F967">
        <f t="shared" ca="1" si="61"/>
        <v>12.479301153009203</v>
      </c>
      <c r="G967">
        <f t="shared" ca="1" si="62"/>
        <v>9.1409590328831461E-2</v>
      </c>
      <c r="H967" t="str">
        <f t="shared" ca="1" si="63"/>
        <v>overpriced</v>
      </c>
    </row>
    <row r="968" spans="1:8" x14ac:dyDescent="0.3">
      <c r="A968" t="s">
        <v>1264</v>
      </c>
      <c r="B968" t="s">
        <v>295</v>
      </c>
      <c r="C968">
        <v>129</v>
      </c>
      <c r="D968">
        <v>34.979999999999997</v>
      </c>
      <c r="E968">
        <f t="shared" ca="1" si="60"/>
        <v>130.33112416916146</v>
      </c>
      <c r="F968">
        <f t="shared" ca="1" si="61"/>
        <v>-1.3311241691614555</v>
      </c>
      <c r="G968">
        <f t="shared" ca="1" si="62"/>
        <v>-1.0213402037672455E-2</v>
      </c>
      <c r="H968" t="str">
        <f t="shared" ca="1" si="63"/>
        <v>competitive</v>
      </c>
    </row>
    <row r="969" spans="1:8" x14ac:dyDescent="0.3">
      <c r="A969" t="s">
        <v>281</v>
      </c>
      <c r="B969" t="s">
        <v>196</v>
      </c>
      <c r="C969">
        <v>84</v>
      </c>
      <c r="D969">
        <v>17.03</v>
      </c>
      <c r="E969">
        <f t="shared" ca="1" si="60"/>
        <v>80.668191266857932</v>
      </c>
      <c r="F969">
        <f t="shared" ca="1" si="61"/>
        <v>3.3318087331420685</v>
      </c>
      <c r="G969">
        <f t="shared" ca="1" si="62"/>
        <v>4.1302633427346018E-2</v>
      </c>
      <c r="H969" t="str">
        <f t="shared" ca="1" si="63"/>
        <v>competitive</v>
      </c>
    </row>
    <row r="970" spans="1:8" x14ac:dyDescent="0.3">
      <c r="A970" t="s">
        <v>1265</v>
      </c>
      <c r="B970" t="s">
        <v>1266</v>
      </c>
      <c r="C970">
        <v>169.99</v>
      </c>
      <c r="D970">
        <v>19.07</v>
      </c>
      <c r="E970">
        <f t="shared" ca="1" si="60"/>
        <v>184.35787401182213</v>
      </c>
      <c r="F970">
        <f t="shared" ca="1" si="61"/>
        <v>-14.367874011822124</v>
      </c>
      <c r="G970">
        <f t="shared" ca="1" si="62"/>
        <v>-7.7934691365017419E-2</v>
      </c>
      <c r="H970" t="str">
        <f t="shared" ca="1" si="63"/>
        <v>underprived</v>
      </c>
    </row>
    <row r="971" spans="1:8" x14ac:dyDescent="0.3">
      <c r="A971" t="s">
        <v>1267</v>
      </c>
      <c r="B971" t="s">
        <v>227</v>
      </c>
      <c r="C971">
        <v>119.9</v>
      </c>
      <c r="D971">
        <v>15.59</v>
      </c>
      <c r="E971">
        <f t="shared" ca="1" si="60"/>
        <v>124.19223933700209</v>
      </c>
      <c r="F971">
        <f t="shared" ca="1" si="61"/>
        <v>-4.292239337002087</v>
      </c>
      <c r="G971">
        <f t="shared" ca="1" si="62"/>
        <v>-3.4561252457610277E-2</v>
      </c>
      <c r="H971" t="str">
        <f t="shared" ca="1" si="63"/>
        <v>competitive</v>
      </c>
    </row>
    <row r="972" spans="1:8" x14ac:dyDescent="0.3">
      <c r="A972" t="s">
        <v>1268</v>
      </c>
      <c r="B972" t="s">
        <v>1269</v>
      </c>
      <c r="C972">
        <v>73.900000000000006</v>
      </c>
      <c r="D972">
        <v>11.62</v>
      </c>
      <c r="E972">
        <f t="shared" ca="1" si="60"/>
        <v>74.832942673973008</v>
      </c>
      <c r="F972">
        <f t="shared" ca="1" si="61"/>
        <v>-0.93294267397300246</v>
      </c>
      <c r="G972">
        <f t="shared" ca="1" si="62"/>
        <v>-1.2467005046662172E-2</v>
      </c>
      <c r="H972" t="str">
        <f t="shared" ca="1" si="63"/>
        <v>competitive</v>
      </c>
    </row>
    <row r="973" spans="1:8" x14ac:dyDescent="0.3">
      <c r="A973" t="s">
        <v>1270</v>
      </c>
      <c r="B973" t="s">
        <v>1271</v>
      </c>
      <c r="C973">
        <v>17.899999999999999</v>
      </c>
      <c r="D973">
        <v>17.059999999999999</v>
      </c>
      <c r="E973">
        <f t="shared" ca="1" si="60"/>
        <v>17.694948435719031</v>
      </c>
      <c r="F973">
        <f t="shared" ca="1" si="61"/>
        <v>0.20505156428096782</v>
      </c>
      <c r="G973">
        <f t="shared" ca="1" si="62"/>
        <v>1.1588141385427868E-2</v>
      </c>
      <c r="H973" t="str">
        <f t="shared" ca="1" si="63"/>
        <v>competitive</v>
      </c>
    </row>
    <row r="974" spans="1:8" x14ac:dyDescent="0.3">
      <c r="A974" t="s">
        <v>1272</v>
      </c>
      <c r="B974" t="s">
        <v>1271</v>
      </c>
      <c r="C974">
        <v>17.899999999999999</v>
      </c>
      <c r="D974">
        <v>17.059999999999999</v>
      </c>
      <c r="E974">
        <f t="shared" ca="1" si="60"/>
        <v>17.439814878462737</v>
      </c>
      <c r="F974">
        <f t="shared" ca="1" si="61"/>
        <v>0.46018512153726121</v>
      </c>
      <c r="G974">
        <f t="shared" ca="1" si="62"/>
        <v>2.6387041648335722E-2</v>
      </c>
      <c r="H974" t="str">
        <f t="shared" ca="1" si="63"/>
        <v>competitive</v>
      </c>
    </row>
    <row r="975" spans="1:8" x14ac:dyDescent="0.3">
      <c r="A975" t="s">
        <v>1273</v>
      </c>
      <c r="B975" t="s">
        <v>747</v>
      </c>
      <c r="C975">
        <v>279.89999999999998</v>
      </c>
      <c r="D975">
        <v>30.84</v>
      </c>
      <c r="E975">
        <f t="shared" ca="1" si="60"/>
        <v>292.32843354264259</v>
      </c>
      <c r="F975">
        <f t="shared" ca="1" si="61"/>
        <v>-12.428433542642608</v>
      </c>
      <c r="G975">
        <f t="shared" ca="1" si="62"/>
        <v>-4.2515308524819384E-2</v>
      </c>
      <c r="H975" t="str">
        <f t="shared" ca="1" si="63"/>
        <v>competitive</v>
      </c>
    </row>
    <row r="976" spans="1:8" x14ac:dyDescent="0.3">
      <c r="A976" t="s">
        <v>1274</v>
      </c>
      <c r="B976" t="s">
        <v>747</v>
      </c>
      <c r="C976">
        <v>329.9</v>
      </c>
      <c r="D976">
        <v>33.82</v>
      </c>
      <c r="E976">
        <f t="shared" ca="1" si="60"/>
        <v>327.89134772717966</v>
      </c>
      <c r="F976">
        <f t="shared" ca="1" si="61"/>
        <v>2.0086522728203136</v>
      </c>
      <c r="G976">
        <f t="shared" ca="1" si="62"/>
        <v>6.1259691258813039E-3</v>
      </c>
      <c r="H976" t="str">
        <f t="shared" ca="1" si="63"/>
        <v>competitive</v>
      </c>
    </row>
    <row r="977" spans="1:8" x14ac:dyDescent="0.3">
      <c r="A977" t="s">
        <v>1275</v>
      </c>
      <c r="B977" t="s">
        <v>747</v>
      </c>
      <c r="C977">
        <v>119.9</v>
      </c>
      <c r="D977">
        <v>13.13</v>
      </c>
      <c r="E977">
        <f t="shared" ca="1" si="60"/>
        <v>113.35241229000097</v>
      </c>
      <c r="F977">
        <f t="shared" ca="1" si="61"/>
        <v>6.5475877099990356</v>
      </c>
      <c r="G977">
        <f t="shared" ca="1" si="62"/>
        <v>5.7763108677808095E-2</v>
      </c>
      <c r="H977" t="str">
        <f t="shared" ca="1" si="63"/>
        <v>overpriced</v>
      </c>
    </row>
    <row r="978" spans="1:8" x14ac:dyDescent="0.3">
      <c r="A978" t="s">
        <v>1276</v>
      </c>
      <c r="B978" t="s">
        <v>747</v>
      </c>
      <c r="C978">
        <v>119.9</v>
      </c>
      <c r="D978">
        <v>12.33</v>
      </c>
      <c r="E978">
        <f t="shared" ca="1" si="60"/>
        <v>108.30692947067379</v>
      </c>
      <c r="F978">
        <f t="shared" ca="1" si="61"/>
        <v>11.593070529326212</v>
      </c>
      <c r="G978">
        <f t="shared" ca="1" si="62"/>
        <v>0.10703904714116433</v>
      </c>
      <c r="H978" t="str">
        <f t="shared" ca="1" si="63"/>
        <v>overpriced</v>
      </c>
    </row>
    <row r="979" spans="1:8" x14ac:dyDescent="0.3">
      <c r="A979" t="s">
        <v>1277</v>
      </c>
      <c r="B979" t="s">
        <v>176</v>
      </c>
      <c r="C979">
        <v>349.99</v>
      </c>
      <c r="D979">
        <v>18.760000000000002</v>
      </c>
      <c r="E979">
        <f t="shared" ca="1" si="60"/>
        <v>333.17070027672446</v>
      </c>
      <c r="F979">
        <f t="shared" ca="1" si="61"/>
        <v>16.819299723275549</v>
      </c>
      <c r="G979">
        <f t="shared" ca="1" si="62"/>
        <v>5.048252955408683E-2</v>
      </c>
      <c r="H979" t="str">
        <f t="shared" ca="1" si="63"/>
        <v>overpriced</v>
      </c>
    </row>
    <row r="980" spans="1:8" x14ac:dyDescent="0.3">
      <c r="A980" t="s">
        <v>1278</v>
      </c>
      <c r="B980" t="s">
        <v>260</v>
      </c>
      <c r="C980">
        <v>110</v>
      </c>
      <c r="D980">
        <v>20.010000000000002</v>
      </c>
      <c r="E980">
        <f t="shared" ca="1" si="60"/>
        <v>104.40769468926915</v>
      </c>
      <c r="F980">
        <f t="shared" ca="1" si="61"/>
        <v>5.5923053107308505</v>
      </c>
      <c r="G980">
        <f t="shared" ca="1" si="62"/>
        <v>5.3562195079340437E-2</v>
      </c>
      <c r="H980" t="str">
        <f t="shared" ca="1" si="63"/>
        <v>overpriced</v>
      </c>
    </row>
    <row r="981" spans="1:8" x14ac:dyDescent="0.3">
      <c r="A981" t="s">
        <v>1279</v>
      </c>
      <c r="B981" t="s">
        <v>59</v>
      </c>
      <c r="C981">
        <v>27.9</v>
      </c>
      <c r="D981">
        <v>18.3</v>
      </c>
      <c r="E981">
        <f t="shared" ca="1" si="60"/>
        <v>27.112458681317907</v>
      </c>
      <c r="F981">
        <f t="shared" ca="1" si="61"/>
        <v>0.78754131868209143</v>
      </c>
      <c r="G981">
        <f t="shared" ca="1" si="62"/>
        <v>2.9047211392331383E-2</v>
      </c>
      <c r="H981" t="str">
        <f t="shared" ca="1" si="63"/>
        <v>competitive</v>
      </c>
    </row>
    <row r="982" spans="1:8" x14ac:dyDescent="0.3">
      <c r="A982" t="s">
        <v>589</v>
      </c>
      <c r="B982" t="s">
        <v>43</v>
      </c>
      <c r="C982">
        <v>45.9</v>
      </c>
      <c r="D982">
        <v>15.11</v>
      </c>
      <c r="E982">
        <f t="shared" ca="1" si="60"/>
        <v>47.553849236706199</v>
      </c>
      <c r="F982">
        <f t="shared" ca="1" si="61"/>
        <v>-1.6538492367062005</v>
      </c>
      <c r="G982">
        <f t="shared" ca="1" si="62"/>
        <v>-3.4778451445095969E-2</v>
      </c>
      <c r="H982" t="str">
        <f t="shared" ca="1" si="63"/>
        <v>competitive</v>
      </c>
    </row>
    <row r="983" spans="1:8" x14ac:dyDescent="0.3">
      <c r="A983" t="s">
        <v>754</v>
      </c>
      <c r="B983" t="s">
        <v>239</v>
      </c>
      <c r="C983">
        <v>89.99</v>
      </c>
      <c r="D983">
        <v>45.09</v>
      </c>
      <c r="E983">
        <f t="shared" ca="1" si="60"/>
        <v>86.941893919181595</v>
      </c>
      <c r="F983">
        <f t="shared" ca="1" si="61"/>
        <v>3.0481060808183997</v>
      </c>
      <c r="G983">
        <f t="shared" ca="1" si="62"/>
        <v>3.5059117571694741E-2</v>
      </c>
      <c r="H983" t="str">
        <f t="shared" ca="1" si="63"/>
        <v>competitive</v>
      </c>
    </row>
    <row r="984" spans="1:8" x14ac:dyDescent="0.3">
      <c r="A984" t="s">
        <v>1280</v>
      </c>
      <c r="B984" t="s">
        <v>1281</v>
      </c>
      <c r="C984">
        <v>149.9</v>
      </c>
      <c r="D984">
        <v>23.98</v>
      </c>
      <c r="E984">
        <f t="shared" ca="1" si="60"/>
        <v>141.02820614350111</v>
      </c>
      <c r="F984">
        <f t="shared" ca="1" si="61"/>
        <v>8.871793856498897</v>
      </c>
      <c r="G984">
        <f t="shared" ca="1" si="62"/>
        <v>6.2907939476104083E-2</v>
      </c>
      <c r="H984" t="str">
        <f t="shared" ca="1" si="63"/>
        <v>overpriced</v>
      </c>
    </row>
    <row r="985" spans="1:8" x14ac:dyDescent="0.3">
      <c r="A985" t="s">
        <v>1282</v>
      </c>
      <c r="B985" t="s">
        <v>364</v>
      </c>
      <c r="C985">
        <v>177.65</v>
      </c>
      <c r="D985">
        <v>25.37</v>
      </c>
      <c r="E985">
        <f t="shared" ca="1" si="60"/>
        <v>177.42305993663769</v>
      </c>
      <c r="F985">
        <f t="shared" ca="1" si="61"/>
        <v>0.22694006336232064</v>
      </c>
      <c r="G985">
        <f t="shared" ca="1" si="62"/>
        <v>1.2790900091756209E-3</v>
      </c>
      <c r="H985" t="str">
        <f t="shared" ca="1" si="63"/>
        <v>competitive</v>
      </c>
    </row>
    <row r="986" spans="1:8" x14ac:dyDescent="0.3">
      <c r="A986" t="s">
        <v>1283</v>
      </c>
      <c r="B986" t="s">
        <v>45</v>
      </c>
      <c r="C986">
        <v>27.99</v>
      </c>
      <c r="D986">
        <v>7.46</v>
      </c>
      <c r="E986">
        <f t="shared" ca="1" si="60"/>
        <v>26.581638243216322</v>
      </c>
      <c r="F986">
        <f t="shared" ca="1" si="61"/>
        <v>1.4083617567836768</v>
      </c>
      <c r="G986">
        <f t="shared" ca="1" si="62"/>
        <v>5.298250408411502E-2</v>
      </c>
      <c r="H986" t="str">
        <f t="shared" ca="1" si="63"/>
        <v>overpriced</v>
      </c>
    </row>
    <row r="987" spans="1:8" x14ac:dyDescent="0.3">
      <c r="A987" t="s">
        <v>1284</v>
      </c>
      <c r="B987" t="s">
        <v>47</v>
      </c>
      <c r="C987">
        <v>79.98</v>
      </c>
      <c r="D987">
        <v>34.04</v>
      </c>
      <c r="E987">
        <f t="shared" ca="1" si="60"/>
        <v>73.667731839402151</v>
      </c>
      <c r="F987">
        <f t="shared" ca="1" si="61"/>
        <v>6.3122681605978528</v>
      </c>
      <c r="G987">
        <f t="shared" ca="1" si="62"/>
        <v>8.5685659148007784E-2</v>
      </c>
      <c r="H987" t="str">
        <f t="shared" ca="1" si="63"/>
        <v>overpriced</v>
      </c>
    </row>
    <row r="988" spans="1:8" x14ac:dyDescent="0.3">
      <c r="A988" t="s">
        <v>1285</v>
      </c>
      <c r="B988" t="s">
        <v>747</v>
      </c>
      <c r="C988">
        <v>349.9</v>
      </c>
      <c r="D988">
        <v>21.33</v>
      </c>
      <c r="E988">
        <f t="shared" ca="1" si="60"/>
        <v>346.48501897939826</v>
      </c>
      <c r="F988">
        <f t="shared" ca="1" si="61"/>
        <v>3.414981020601715</v>
      </c>
      <c r="G988">
        <f t="shared" ca="1" si="62"/>
        <v>9.8560712109886841E-3</v>
      </c>
      <c r="H988" t="str">
        <f t="shared" ca="1" si="63"/>
        <v>competitive</v>
      </c>
    </row>
    <row r="989" spans="1:8" x14ac:dyDescent="0.3">
      <c r="A989" t="s">
        <v>1286</v>
      </c>
      <c r="B989" t="s">
        <v>1287</v>
      </c>
      <c r="C989">
        <v>29.99</v>
      </c>
      <c r="D989">
        <v>14.1</v>
      </c>
      <c r="E989">
        <f t="shared" ca="1" si="60"/>
        <v>31.042254424312162</v>
      </c>
      <c r="F989">
        <f t="shared" ca="1" si="61"/>
        <v>-1.0522544243121636</v>
      </c>
      <c r="G989">
        <f t="shared" ca="1" si="62"/>
        <v>-3.3897487274250369E-2</v>
      </c>
      <c r="H989" t="str">
        <f t="shared" ca="1" si="63"/>
        <v>competitive</v>
      </c>
    </row>
    <row r="990" spans="1:8" x14ac:dyDescent="0.3">
      <c r="A990" t="s">
        <v>1286</v>
      </c>
      <c r="B990" t="s">
        <v>1287</v>
      </c>
      <c r="C990">
        <v>29.99</v>
      </c>
      <c r="D990">
        <v>14.1</v>
      </c>
      <c r="E990">
        <f t="shared" ca="1" si="60"/>
        <v>30.566880628186183</v>
      </c>
      <c r="F990">
        <f t="shared" ca="1" si="61"/>
        <v>-0.57688062818618491</v>
      </c>
      <c r="G990">
        <f t="shared" ca="1" si="62"/>
        <v>-1.8872734683114331E-2</v>
      </c>
      <c r="H990" t="str">
        <f t="shared" ca="1" si="63"/>
        <v>competitive</v>
      </c>
    </row>
    <row r="991" spans="1:8" x14ac:dyDescent="0.3">
      <c r="A991" t="s">
        <v>930</v>
      </c>
      <c r="B991" t="s">
        <v>931</v>
      </c>
      <c r="C991">
        <v>59.99</v>
      </c>
      <c r="D991">
        <v>16.18</v>
      </c>
      <c r="E991">
        <f t="shared" ca="1" si="60"/>
        <v>55.40601998936237</v>
      </c>
      <c r="F991">
        <f t="shared" ca="1" si="61"/>
        <v>4.5839800106376316</v>
      </c>
      <c r="G991">
        <f t="shared" ca="1" si="62"/>
        <v>8.2734331242665118E-2</v>
      </c>
      <c r="H991" t="str">
        <f t="shared" ca="1" si="63"/>
        <v>overpriced</v>
      </c>
    </row>
    <row r="992" spans="1:8" x14ac:dyDescent="0.3">
      <c r="A992" t="s">
        <v>1288</v>
      </c>
      <c r="B992" t="s">
        <v>141</v>
      </c>
      <c r="C992">
        <v>56.99</v>
      </c>
      <c r="D992">
        <v>16.16</v>
      </c>
      <c r="E992">
        <f t="shared" ca="1" si="60"/>
        <v>53.757134419328473</v>
      </c>
      <c r="F992">
        <f t="shared" ca="1" si="61"/>
        <v>3.232865580671529</v>
      </c>
      <c r="G992">
        <f t="shared" ca="1" si="62"/>
        <v>6.0138354017418502E-2</v>
      </c>
      <c r="H992" t="str">
        <f t="shared" ca="1" si="63"/>
        <v>overpriced</v>
      </c>
    </row>
    <row r="993" spans="1:8" x14ac:dyDescent="0.3">
      <c r="A993" t="s">
        <v>1288</v>
      </c>
      <c r="B993" t="s">
        <v>141</v>
      </c>
      <c r="C993">
        <v>56.99</v>
      </c>
      <c r="D993">
        <v>16.16</v>
      </c>
      <c r="E993">
        <f t="shared" ca="1" si="60"/>
        <v>55.458187067536379</v>
      </c>
      <c r="F993">
        <f t="shared" ca="1" si="61"/>
        <v>1.5318129324636232</v>
      </c>
      <c r="G993">
        <f t="shared" ca="1" si="62"/>
        <v>2.7621042328668226E-2</v>
      </c>
      <c r="H993" t="str">
        <f t="shared" ca="1" si="63"/>
        <v>competitive</v>
      </c>
    </row>
    <row r="994" spans="1:8" x14ac:dyDescent="0.3">
      <c r="A994" t="s">
        <v>1289</v>
      </c>
      <c r="B994" t="s">
        <v>573</v>
      </c>
      <c r="C994">
        <v>89</v>
      </c>
      <c r="D994">
        <v>8.2100000000000009</v>
      </c>
      <c r="E994">
        <f t="shared" ca="1" si="60"/>
        <v>89.336197054522941</v>
      </c>
      <c r="F994">
        <f t="shared" ca="1" si="61"/>
        <v>-0.33619705452294113</v>
      </c>
      <c r="G994">
        <f t="shared" ca="1" si="62"/>
        <v>-3.7632792261993878E-3</v>
      </c>
      <c r="H994" t="str">
        <f t="shared" ca="1" si="63"/>
        <v>competitive</v>
      </c>
    </row>
    <row r="995" spans="1:8" x14ac:dyDescent="0.3">
      <c r="A995" t="s">
        <v>853</v>
      </c>
      <c r="B995" t="s">
        <v>49</v>
      </c>
      <c r="C995">
        <v>49</v>
      </c>
      <c r="D995">
        <v>7.78</v>
      </c>
      <c r="E995">
        <f t="shared" ca="1" si="60"/>
        <v>53.197397982352811</v>
      </c>
      <c r="F995">
        <f t="shared" ca="1" si="61"/>
        <v>-4.1973979823528111</v>
      </c>
      <c r="G995">
        <f t="shared" ca="1" si="62"/>
        <v>-7.8902317435623731E-2</v>
      </c>
      <c r="H995" t="str">
        <f t="shared" ca="1" si="63"/>
        <v>underprived</v>
      </c>
    </row>
    <row r="996" spans="1:8" x14ac:dyDescent="0.3">
      <c r="A996" t="s">
        <v>1290</v>
      </c>
      <c r="B996" t="s">
        <v>47</v>
      </c>
      <c r="C996">
        <v>146.94</v>
      </c>
      <c r="D996">
        <v>52.85</v>
      </c>
      <c r="E996">
        <f t="shared" ca="1" si="60"/>
        <v>158.72206842546817</v>
      </c>
      <c r="F996">
        <f t="shared" ca="1" si="61"/>
        <v>-11.782068425468168</v>
      </c>
      <c r="G996">
        <f t="shared" ca="1" si="62"/>
        <v>-7.4230814544864174E-2</v>
      </c>
      <c r="H996" t="str">
        <f t="shared" ca="1" si="63"/>
        <v>underprived</v>
      </c>
    </row>
    <row r="997" spans="1:8" x14ac:dyDescent="0.3">
      <c r="A997" t="s">
        <v>1290</v>
      </c>
      <c r="B997" t="s">
        <v>47</v>
      </c>
      <c r="C997">
        <v>146.94</v>
      </c>
      <c r="D997">
        <v>52.85</v>
      </c>
      <c r="E997">
        <f t="shared" ca="1" si="60"/>
        <v>145.62945822832228</v>
      </c>
      <c r="F997">
        <f t="shared" ca="1" si="61"/>
        <v>1.3105417716777197</v>
      </c>
      <c r="G997">
        <f t="shared" ca="1" si="62"/>
        <v>8.9991529709807245E-3</v>
      </c>
      <c r="H997" t="str">
        <f t="shared" ca="1" si="63"/>
        <v>competitive</v>
      </c>
    </row>
    <row r="998" spans="1:8" x14ac:dyDescent="0.3">
      <c r="A998" t="s">
        <v>407</v>
      </c>
      <c r="B998" t="s">
        <v>408</v>
      </c>
      <c r="C998">
        <v>36.200000000000003</v>
      </c>
      <c r="D998">
        <v>18.350000000000001</v>
      </c>
      <c r="E998">
        <f t="shared" ca="1" si="60"/>
        <v>39.803135731413185</v>
      </c>
      <c r="F998">
        <f t="shared" ca="1" si="61"/>
        <v>-3.6031357314131824</v>
      </c>
      <c r="G998">
        <f t="shared" ca="1" si="62"/>
        <v>-9.0523916400122667E-2</v>
      </c>
      <c r="H998" t="str">
        <f t="shared" ca="1" si="63"/>
        <v>underprived</v>
      </c>
    </row>
    <row r="999" spans="1:8" x14ac:dyDescent="0.3">
      <c r="A999" t="s">
        <v>790</v>
      </c>
      <c r="B999" t="s">
        <v>791</v>
      </c>
      <c r="C999">
        <v>509</v>
      </c>
      <c r="D999">
        <v>12.31</v>
      </c>
      <c r="E999">
        <f t="shared" ca="1" si="60"/>
        <v>516.17529836497226</v>
      </c>
      <c r="F999">
        <f t="shared" ca="1" si="61"/>
        <v>-7.1752983649722637</v>
      </c>
      <c r="G999">
        <f t="shared" ca="1" si="62"/>
        <v>-1.3900894497858793E-2</v>
      </c>
      <c r="H999" t="str">
        <f t="shared" ca="1" si="63"/>
        <v>competitive</v>
      </c>
    </row>
    <row r="1000" spans="1:8" x14ac:dyDescent="0.3">
      <c r="A1000" t="s">
        <v>1291</v>
      </c>
      <c r="B1000" t="s">
        <v>528</v>
      </c>
      <c r="C1000">
        <v>89.99</v>
      </c>
      <c r="D1000">
        <v>17.07</v>
      </c>
      <c r="E1000">
        <f t="shared" ca="1" si="60"/>
        <v>93.167312578028984</v>
      </c>
      <c r="F1000">
        <f t="shared" ca="1" si="61"/>
        <v>-3.1773125780289888</v>
      </c>
      <c r="G1000">
        <f t="shared" ca="1" si="62"/>
        <v>-3.4103297498980056E-2</v>
      </c>
      <c r="H1000" t="str">
        <f t="shared" ca="1" si="63"/>
        <v>competitive</v>
      </c>
    </row>
    <row r="1001" spans="1:8" x14ac:dyDescent="0.3">
      <c r="A1001" t="s">
        <v>64</v>
      </c>
      <c r="B1001" t="s">
        <v>65</v>
      </c>
      <c r="C1001">
        <v>59.9</v>
      </c>
      <c r="D1001">
        <v>50.92</v>
      </c>
      <c r="E1001">
        <f t="shared" ca="1" si="60"/>
        <v>64.279694224408814</v>
      </c>
      <c r="F1001">
        <f t="shared" ca="1" si="61"/>
        <v>-4.3796942244088157</v>
      </c>
      <c r="G1001">
        <f t="shared" ca="1" si="62"/>
        <v>-6.8134957349341621E-2</v>
      </c>
      <c r="H1001" t="str">
        <f t="shared" ca="1" si="63"/>
        <v>underprived</v>
      </c>
    </row>
    <row r="1002" spans="1:8" x14ac:dyDescent="0.3">
      <c r="A1002" t="s">
        <v>1292</v>
      </c>
      <c r="B1002" t="s">
        <v>551</v>
      </c>
      <c r="C1002">
        <v>146</v>
      </c>
      <c r="D1002">
        <v>12.52</v>
      </c>
      <c r="E1002">
        <f t="shared" ca="1" si="60"/>
        <v>143.23582056674206</v>
      </c>
      <c r="F1002">
        <f t="shared" ca="1" si="61"/>
        <v>2.7641794332579366</v>
      </c>
      <c r="G1002">
        <f t="shared" ca="1" si="62"/>
        <v>1.9298101706129729E-2</v>
      </c>
      <c r="H1002" t="str">
        <f t="shared" ca="1" si="63"/>
        <v>competitive</v>
      </c>
    </row>
    <row r="1003" spans="1:8" x14ac:dyDescent="0.3">
      <c r="A1003" t="s">
        <v>478</v>
      </c>
      <c r="B1003" t="s">
        <v>49</v>
      </c>
      <c r="C1003">
        <v>78</v>
      </c>
      <c r="D1003">
        <v>7.81</v>
      </c>
      <c r="E1003">
        <f t="shared" ca="1" si="60"/>
        <v>78.932042114980135</v>
      </c>
      <c r="F1003">
        <f t="shared" ca="1" si="61"/>
        <v>-0.93204211498013478</v>
      </c>
      <c r="G1003">
        <f t="shared" ca="1" si="62"/>
        <v>-1.1808159145590469E-2</v>
      </c>
      <c r="H1003" t="str">
        <f t="shared" ca="1" si="63"/>
        <v>competitive</v>
      </c>
    </row>
    <row r="1004" spans="1:8" x14ac:dyDescent="0.3">
      <c r="A1004" t="s">
        <v>734</v>
      </c>
      <c r="B1004" t="s">
        <v>31</v>
      </c>
      <c r="C1004">
        <v>49.9</v>
      </c>
      <c r="D1004">
        <v>19.59</v>
      </c>
      <c r="E1004">
        <f t="shared" ca="1" si="60"/>
        <v>47.207727349274407</v>
      </c>
      <c r="F1004">
        <f t="shared" ca="1" si="61"/>
        <v>2.6922726507255916</v>
      </c>
      <c r="G1004">
        <f t="shared" ca="1" si="62"/>
        <v>5.7030338080169676E-2</v>
      </c>
      <c r="H1004" t="str">
        <f t="shared" ca="1" si="63"/>
        <v>overpriced</v>
      </c>
    </row>
    <row r="1005" spans="1:8" x14ac:dyDescent="0.3">
      <c r="A1005" t="s">
        <v>734</v>
      </c>
      <c r="B1005" t="s">
        <v>31</v>
      </c>
      <c r="C1005">
        <v>49.9</v>
      </c>
      <c r="D1005">
        <v>19.59</v>
      </c>
      <c r="E1005">
        <f t="shared" ca="1" si="60"/>
        <v>52.126794788693935</v>
      </c>
      <c r="F1005">
        <f t="shared" ca="1" si="61"/>
        <v>-2.2267947886939368</v>
      </c>
      <c r="G1005">
        <f t="shared" ca="1" si="62"/>
        <v>-4.2718812804828706E-2</v>
      </c>
      <c r="H1005" t="str">
        <f t="shared" ca="1" si="63"/>
        <v>competitive</v>
      </c>
    </row>
    <row r="1006" spans="1:8" x14ac:dyDescent="0.3">
      <c r="A1006" t="s">
        <v>1293</v>
      </c>
      <c r="B1006" t="s">
        <v>1294</v>
      </c>
      <c r="C1006">
        <v>90</v>
      </c>
      <c r="D1006">
        <v>9.44</v>
      </c>
      <c r="E1006">
        <f t="shared" ca="1" si="60"/>
        <v>88.004765079411754</v>
      </c>
      <c r="F1006">
        <f t="shared" ca="1" si="61"/>
        <v>1.9952349205882456</v>
      </c>
      <c r="G1006">
        <f t="shared" ca="1" si="62"/>
        <v>2.2671896445468954E-2</v>
      </c>
      <c r="H1006" t="str">
        <f t="shared" ca="1" si="63"/>
        <v>competitive</v>
      </c>
    </row>
    <row r="1007" spans="1:8" x14ac:dyDescent="0.3">
      <c r="A1007" t="s">
        <v>1293</v>
      </c>
      <c r="B1007" t="s">
        <v>1294</v>
      </c>
      <c r="C1007">
        <v>90</v>
      </c>
      <c r="D1007">
        <v>9.44</v>
      </c>
      <c r="E1007">
        <f t="shared" ca="1" si="60"/>
        <v>97.327671432712435</v>
      </c>
      <c r="F1007">
        <f t="shared" ca="1" si="61"/>
        <v>-7.3276714327124353</v>
      </c>
      <c r="G1007">
        <f t="shared" ca="1" si="62"/>
        <v>-7.5288675099747224E-2</v>
      </c>
      <c r="H1007" t="str">
        <f t="shared" ca="1" si="63"/>
        <v>underprived</v>
      </c>
    </row>
    <row r="1008" spans="1:8" x14ac:dyDescent="0.3">
      <c r="A1008" t="s">
        <v>1295</v>
      </c>
      <c r="B1008" t="s">
        <v>667</v>
      </c>
      <c r="C1008">
        <v>25.9</v>
      </c>
      <c r="D1008">
        <v>11.85</v>
      </c>
      <c r="E1008">
        <f t="shared" ca="1" si="60"/>
        <v>28.296346506539617</v>
      </c>
      <c r="F1008">
        <f t="shared" ca="1" si="61"/>
        <v>-2.3963465065396186</v>
      </c>
      <c r="G1008">
        <f t="shared" ca="1" si="62"/>
        <v>-8.4687488046762321E-2</v>
      </c>
      <c r="H1008" t="str">
        <f t="shared" ca="1" si="63"/>
        <v>underprived</v>
      </c>
    </row>
    <row r="1009" spans="1:8" x14ac:dyDescent="0.3">
      <c r="A1009" t="s">
        <v>1134</v>
      </c>
      <c r="B1009" t="s">
        <v>1135</v>
      </c>
      <c r="C1009">
        <v>325</v>
      </c>
      <c r="D1009">
        <v>18.71</v>
      </c>
      <c r="E1009">
        <f t="shared" ca="1" si="60"/>
        <v>303.1478870452587</v>
      </c>
      <c r="F1009">
        <f t="shared" ca="1" si="61"/>
        <v>21.852112954741301</v>
      </c>
      <c r="G1009">
        <f t="shared" ca="1" si="62"/>
        <v>7.2084002193552724E-2</v>
      </c>
      <c r="H1009" t="str">
        <f t="shared" ca="1" si="63"/>
        <v>overpriced</v>
      </c>
    </row>
    <row r="1010" spans="1:8" x14ac:dyDescent="0.3">
      <c r="A1010" t="s">
        <v>1296</v>
      </c>
      <c r="B1010" t="s">
        <v>640</v>
      </c>
      <c r="C1010">
        <v>54.89</v>
      </c>
      <c r="D1010">
        <v>15.13</v>
      </c>
      <c r="E1010">
        <f t="shared" ca="1" si="60"/>
        <v>53.445858454251486</v>
      </c>
      <c r="F1010">
        <f t="shared" ca="1" si="61"/>
        <v>1.4441415457485149</v>
      </c>
      <c r="G1010">
        <f t="shared" ca="1" si="62"/>
        <v>2.7020644583427719E-2</v>
      </c>
      <c r="H1010" t="str">
        <f t="shared" ca="1" si="63"/>
        <v>competitive</v>
      </c>
    </row>
    <row r="1011" spans="1:8" x14ac:dyDescent="0.3">
      <c r="A1011" t="s">
        <v>616</v>
      </c>
      <c r="B1011" t="s">
        <v>111</v>
      </c>
      <c r="C1011">
        <v>35</v>
      </c>
      <c r="D1011">
        <v>26.43</v>
      </c>
      <c r="E1011">
        <f t="shared" ca="1" si="60"/>
        <v>32.333390892416212</v>
      </c>
      <c r="F1011">
        <f t="shared" ca="1" si="61"/>
        <v>2.6666091075837883</v>
      </c>
      <c r="G1011">
        <f t="shared" ca="1" si="62"/>
        <v>8.2472299810943769E-2</v>
      </c>
      <c r="H1011" t="str">
        <f t="shared" ca="1" si="63"/>
        <v>overpriced</v>
      </c>
    </row>
    <row r="1012" spans="1:8" x14ac:dyDescent="0.3">
      <c r="A1012" t="s">
        <v>1297</v>
      </c>
      <c r="B1012" t="s">
        <v>1066</v>
      </c>
      <c r="C1012">
        <v>124.9</v>
      </c>
      <c r="D1012">
        <v>27.6</v>
      </c>
      <c r="E1012">
        <f t="shared" ca="1" si="60"/>
        <v>135.95233697779022</v>
      </c>
      <c r="F1012">
        <f t="shared" ca="1" si="61"/>
        <v>-11.052336977790219</v>
      </c>
      <c r="G1012">
        <f t="shared" ca="1" si="62"/>
        <v>-8.129567481871075E-2</v>
      </c>
      <c r="H1012" t="str">
        <f t="shared" ca="1" si="63"/>
        <v>underprived</v>
      </c>
    </row>
    <row r="1013" spans="1:8" x14ac:dyDescent="0.3">
      <c r="A1013" t="s">
        <v>1298</v>
      </c>
      <c r="B1013" t="s">
        <v>288</v>
      </c>
      <c r="C1013">
        <v>499.9</v>
      </c>
      <c r="D1013">
        <v>10.75</v>
      </c>
      <c r="E1013">
        <f t="shared" ca="1" si="60"/>
        <v>487.44591102053016</v>
      </c>
      <c r="F1013">
        <f t="shared" ca="1" si="61"/>
        <v>12.454088979469816</v>
      </c>
      <c r="G1013">
        <f t="shared" ca="1" si="62"/>
        <v>2.554968397087503E-2</v>
      </c>
      <c r="H1013" t="str">
        <f t="shared" ca="1" si="63"/>
        <v>competitive</v>
      </c>
    </row>
    <row r="1014" spans="1:8" x14ac:dyDescent="0.3">
      <c r="A1014" t="s">
        <v>1299</v>
      </c>
      <c r="B1014" t="s">
        <v>1300</v>
      </c>
      <c r="C1014">
        <v>54.9</v>
      </c>
      <c r="D1014">
        <v>14.13</v>
      </c>
      <c r="E1014">
        <f t="shared" ca="1" si="60"/>
        <v>56.941381369943613</v>
      </c>
      <c r="F1014">
        <f t="shared" ca="1" si="61"/>
        <v>-2.0413813699436147</v>
      </c>
      <c r="G1014">
        <f t="shared" ca="1" si="62"/>
        <v>-3.5850576870991642E-2</v>
      </c>
      <c r="H1014" t="str">
        <f t="shared" ca="1" si="63"/>
        <v>competitive</v>
      </c>
    </row>
    <row r="1015" spans="1:8" x14ac:dyDescent="0.3">
      <c r="A1015" t="s">
        <v>1301</v>
      </c>
      <c r="B1015" t="s">
        <v>1302</v>
      </c>
      <c r="C1015">
        <v>89</v>
      </c>
      <c r="D1015">
        <v>12.96</v>
      </c>
      <c r="E1015">
        <f t="shared" ca="1" si="60"/>
        <v>87.165299400716705</v>
      </c>
      <c r="F1015">
        <f t="shared" ca="1" si="61"/>
        <v>1.8347005992832948</v>
      </c>
      <c r="G1015">
        <f t="shared" ca="1" si="62"/>
        <v>2.1048520591305502E-2</v>
      </c>
      <c r="H1015" t="str">
        <f t="shared" ca="1" si="63"/>
        <v>competitive</v>
      </c>
    </row>
    <row r="1016" spans="1:8" x14ac:dyDescent="0.3">
      <c r="A1016" t="s">
        <v>1303</v>
      </c>
      <c r="B1016" t="s">
        <v>1066</v>
      </c>
      <c r="C1016">
        <v>79.900000000000006</v>
      </c>
      <c r="D1016">
        <v>19.53</v>
      </c>
      <c r="E1016">
        <f t="shared" ca="1" si="60"/>
        <v>76.703040857054873</v>
      </c>
      <c r="F1016">
        <f t="shared" ca="1" si="61"/>
        <v>3.1969591429451327</v>
      </c>
      <c r="G1016">
        <f t="shared" ca="1" si="62"/>
        <v>4.16796923201916E-2</v>
      </c>
      <c r="H1016" t="str">
        <f t="shared" ca="1" si="63"/>
        <v>competitive</v>
      </c>
    </row>
    <row r="1017" spans="1:8" x14ac:dyDescent="0.3">
      <c r="A1017" t="s">
        <v>1304</v>
      </c>
      <c r="B1017" t="s">
        <v>1051</v>
      </c>
      <c r="C1017">
        <v>27.93</v>
      </c>
      <c r="D1017">
        <v>14.1</v>
      </c>
      <c r="E1017">
        <f t="shared" ca="1" si="60"/>
        <v>29.971217659848151</v>
      </c>
      <c r="F1017">
        <f t="shared" ca="1" si="61"/>
        <v>-2.0412176598481508</v>
      </c>
      <c r="G1017">
        <f t="shared" ca="1" si="62"/>
        <v>-6.810593026331159E-2</v>
      </c>
      <c r="H1017" t="str">
        <f t="shared" ca="1" si="63"/>
        <v>underprived</v>
      </c>
    </row>
    <row r="1018" spans="1:8" x14ac:dyDescent="0.3">
      <c r="A1018" t="s">
        <v>1305</v>
      </c>
      <c r="B1018" t="s">
        <v>651</v>
      </c>
      <c r="C1018">
        <v>159</v>
      </c>
      <c r="D1018">
        <v>36.24</v>
      </c>
      <c r="E1018">
        <f t="shared" ca="1" si="60"/>
        <v>165.44838567531863</v>
      </c>
      <c r="F1018">
        <f t="shared" ca="1" si="61"/>
        <v>-6.448385675318633</v>
      </c>
      <c r="G1018">
        <f t="shared" ca="1" si="62"/>
        <v>-3.8975210601166925E-2</v>
      </c>
      <c r="H1018" t="str">
        <f t="shared" ca="1" si="63"/>
        <v>competitive</v>
      </c>
    </row>
    <row r="1019" spans="1:8" x14ac:dyDescent="0.3">
      <c r="A1019" t="s">
        <v>1306</v>
      </c>
      <c r="B1019" t="s">
        <v>1307</v>
      </c>
      <c r="C1019">
        <v>19.899999999999999</v>
      </c>
      <c r="D1019">
        <v>20.8</v>
      </c>
      <c r="E1019">
        <f t="shared" ca="1" si="60"/>
        <v>18.751280856307051</v>
      </c>
      <c r="F1019">
        <f t="shared" ca="1" si="61"/>
        <v>1.1487191436929471</v>
      </c>
      <c r="G1019">
        <f t="shared" ca="1" si="62"/>
        <v>6.1260836126113057E-2</v>
      </c>
      <c r="H1019" t="str">
        <f t="shared" ca="1" si="63"/>
        <v>overpriced</v>
      </c>
    </row>
    <row r="1020" spans="1:8" x14ac:dyDescent="0.3">
      <c r="A1020" t="s">
        <v>1306</v>
      </c>
      <c r="B1020" t="s">
        <v>1307</v>
      </c>
      <c r="C1020">
        <v>19.899999999999999</v>
      </c>
      <c r="D1020">
        <v>20.8</v>
      </c>
      <c r="E1020">
        <f t="shared" ca="1" si="60"/>
        <v>20.835335038528815</v>
      </c>
      <c r="F1020">
        <f t="shared" ca="1" si="61"/>
        <v>-0.93533503852881594</v>
      </c>
      <c r="G1020">
        <f t="shared" ca="1" si="62"/>
        <v>-4.4891768565237342E-2</v>
      </c>
      <c r="H1020" t="str">
        <f t="shared" ca="1" si="63"/>
        <v>competitive</v>
      </c>
    </row>
    <row r="1021" spans="1:8" x14ac:dyDescent="0.3">
      <c r="A1021" t="s">
        <v>1308</v>
      </c>
      <c r="B1021" t="s">
        <v>1309</v>
      </c>
      <c r="C1021">
        <v>827.99</v>
      </c>
      <c r="D1021">
        <v>14.15</v>
      </c>
      <c r="E1021">
        <f t="shared" ca="1" si="60"/>
        <v>851.49396859052047</v>
      </c>
      <c r="F1021">
        <f t="shared" ca="1" si="61"/>
        <v>-23.503968590520458</v>
      </c>
      <c r="G1021">
        <f t="shared" ca="1" si="62"/>
        <v>-2.7603212069049202E-2</v>
      </c>
      <c r="H1021" t="str">
        <f t="shared" ca="1" si="63"/>
        <v>competitive</v>
      </c>
    </row>
    <row r="1022" spans="1:8" x14ac:dyDescent="0.3">
      <c r="A1022" t="s">
        <v>1310</v>
      </c>
      <c r="B1022" t="s">
        <v>649</v>
      </c>
      <c r="C1022">
        <v>160</v>
      </c>
      <c r="D1022">
        <v>12.14</v>
      </c>
      <c r="E1022">
        <f t="shared" ca="1" si="60"/>
        <v>166.24773840535244</v>
      </c>
      <c r="F1022">
        <f t="shared" ca="1" si="61"/>
        <v>-6.2477384053524361</v>
      </c>
      <c r="G1022">
        <f t="shared" ca="1" si="62"/>
        <v>-3.7580892620138563E-2</v>
      </c>
      <c r="H1022" t="str">
        <f t="shared" ca="1" si="63"/>
        <v>competitive</v>
      </c>
    </row>
    <row r="1023" spans="1:8" x14ac:dyDescent="0.3">
      <c r="A1023" t="s">
        <v>584</v>
      </c>
      <c r="B1023" t="s">
        <v>29</v>
      </c>
      <c r="C1023">
        <v>89.9</v>
      </c>
      <c r="D1023">
        <v>13.65</v>
      </c>
      <c r="E1023">
        <f t="shared" ca="1" si="60"/>
        <v>87.043361489741883</v>
      </c>
      <c r="F1023">
        <f t="shared" ca="1" si="61"/>
        <v>2.8566385102581222</v>
      </c>
      <c r="G1023">
        <f t="shared" ca="1" si="62"/>
        <v>3.2818568370602035E-2</v>
      </c>
      <c r="H1023" t="str">
        <f t="shared" ca="1" si="63"/>
        <v>competitive</v>
      </c>
    </row>
    <row r="1024" spans="1:8" x14ac:dyDescent="0.3">
      <c r="A1024" t="s">
        <v>1311</v>
      </c>
      <c r="B1024" t="s">
        <v>401</v>
      </c>
      <c r="C1024">
        <v>45.49</v>
      </c>
      <c r="D1024">
        <v>9.94</v>
      </c>
      <c r="E1024">
        <f t="shared" ca="1" si="60"/>
        <v>49.33477642706859</v>
      </c>
      <c r="F1024">
        <f t="shared" ca="1" si="61"/>
        <v>-3.844776427068588</v>
      </c>
      <c r="G1024">
        <f t="shared" ca="1" si="62"/>
        <v>-7.7932377635323957E-2</v>
      </c>
      <c r="H1024" t="str">
        <f t="shared" ca="1" si="63"/>
        <v>underprived</v>
      </c>
    </row>
    <row r="1025" spans="1:8" x14ac:dyDescent="0.3">
      <c r="A1025" t="s">
        <v>1312</v>
      </c>
      <c r="B1025" t="s">
        <v>1313</v>
      </c>
      <c r="C1025">
        <v>105</v>
      </c>
      <c r="D1025">
        <v>18.54</v>
      </c>
      <c r="E1025">
        <f t="shared" ca="1" si="60"/>
        <v>110.63685912892137</v>
      </c>
      <c r="F1025">
        <f t="shared" ca="1" si="61"/>
        <v>-5.6368591289213725</v>
      </c>
      <c r="G1025">
        <f t="shared" ca="1" si="62"/>
        <v>-5.0949196979217674E-2</v>
      </c>
      <c r="H1025" t="str">
        <f t="shared" ca="1" si="63"/>
        <v>underprived</v>
      </c>
    </row>
    <row r="1026" spans="1:8" x14ac:dyDescent="0.3">
      <c r="A1026" t="s">
        <v>1314</v>
      </c>
      <c r="B1026" t="s">
        <v>489</v>
      </c>
      <c r="C1026">
        <v>19.899999999999999</v>
      </c>
      <c r="D1026">
        <v>15.1</v>
      </c>
      <c r="E1026">
        <f t="shared" ca="1" si="60"/>
        <v>19.617274638892656</v>
      </c>
      <c r="F1026">
        <f t="shared" ca="1" si="61"/>
        <v>0.28272536110734237</v>
      </c>
      <c r="G1026">
        <f t="shared" ca="1" si="62"/>
        <v>1.4412061120193477E-2</v>
      </c>
      <c r="H1026" t="str">
        <f t="shared" ca="1" si="63"/>
        <v>competitive</v>
      </c>
    </row>
    <row r="1027" spans="1:8" x14ac:dyDescent="0.3">
      <c r="A1027" t="s">
        <v>1315</v>
      </c>
      <c r="B1027" t="s">
        <v>194</v>
      </c>
      <c r="C1027">
        <v>34.99</v>
      </c>
      <c r="D1027">
        <v>24.84</v>
      </c>
      <c r="E1027">
        <f t="shared" ref="E1027:E1090" ca="1" si="64">C1027*(1+RAND()*0.2-0.1)</f>
        <v>38.180162270374026</v>
      </c>
      <c r="F1027">
        <f t="shared" ref="F1027:F1090" ca="1" si="65">C1027-E1027</f>
        <v>-3.1901622703740244</v>
      </c>
      <c r="G1027">
        <f t="shared" ref="G1027:G1090" ca="1" si="66">(C1027-E1027)/E1027</f>
        <v>-8.3555492713278418E-2</v>
      </c>
      <c r="H1027" t="str">
        <f t="shared" ref="H1027:H1090" ca="1" si="67">IF(E1027="","competitive",IF(ABS(C1027-E1027)/E1027&lt;=0.05,"competitive",IF(C1027&gt;E1027,"overpriced","underprived")))</f>
        <v>underprived</v>
      </c>
    </row>
    <row r="1028" spans="1:8" x14ac:dyDescent="0.3">
      <c r="A1028" t="s">
        <v>1316</v>
      </c>
      <c r="B1028" t="s">
        <v>145</v>
      </c>
      <c r="C1028">
        <v>30.5</v>
      </c>
      <c r="D1028">
        <v>7.78</v>
      </c>
      <c r="E1028">
        <f t="shared" ca="1" si="64"/>
        <v>29.981069051124955</v>
      </c>
      <c r="F1028">
        <f t="shared" ca="1" si="65"/>
        <v>0.51893094887504532</v>
      </c>
      <c r="G1028">
        <f t="shared" ca="1" si="66"/>
        <v>1.7308620582879911E-2</v>
      </c>
      <c r="H1028" t="str">
        <f t="shared" ca="1" si="67"/>
        <v>competitive</v>
      </c>
    </row>
    <row r="1029" spans="1:8" x14ac:dyDescent="0.3">
      <c r="A1029" t="s">
        <v>1317</v>
      </c>
      <c r="B1029" t="s">
        <v>515</v>
      </c>
      <c r="C1029">
        <v>59.9</v>
      </c>
      <c r="D1029">
        <v>15.63</v>
      </c>
      <c r="E1029">
        <f t="shared" ca="1" si="64"/>
        <v>64.496361343712422</v>
      </c>
      <c r="F1029">
        <f t="shared" ca="1" si="65"/>
        <v>-4.5963613437124238</v>
      </c>
      <c r="G1029">
        <f t="shared" ca="1" si="66"/>
        <v>-7.1265436498310464E-2</v>
      </c>
      <c r="H1029" t="str">
        <f t="shared" ca="1" si="67"/>
        <v>underprived</v>
      </c>
    </row>
    <row r="1030" spans="1:8" x14ac:dyDescent="0.3">
      <c r="A1030" t="s">
        <v>1318</v>
      </c>
      <c r="B1030" t="s">
        <v>71</v>
      </c>
      <c r="C1030">
        <v>28</v>
      </c>
      <c r="D1030">
        <v>15.11</v>
      </c>
      <c r="E1030">
        <f t="shared" ca="1" si="64"/>
        <v>27.829594639092715</v>
      </c>
      <c r="F1030">
        <f t="shared" ca="1" si="65"/>
        <v>0.17040536090728509</v>
      </c>
      <c r="G1030">
        <f t="shared" ca="1" si="66"/>
        <v>6.1231707869691251E-3</v>
      </c>
      <c r="H1030" t="str">
        <f t="shared" ca="1" si="67"/>
        <v>competitive</v>
      </c>
    </row>
    <row r="1031" spans="1:8" x14ac:dyDescent="0.3">
      <c r="A1031" t="s">
        <v>1253</v>
      </c>
      <c r="B1031" t="s">
        <v>229</v>
      </c>
      <c r="C1031">
        <v>79</v>
      </c>
      <c r="D1031">
        <v>17.8</v>
      </c>
      <c r="E1031">
        <f t="shared" ca="1" si="64"/>
        <v>72.576100999432839</v>
      </c>
      <c r="F1031">
        <f t="shared" ca="1" si="65"/>
        <v>6.423899000567161</v>
      </c>
      <c r="G1031">
        <f t="shared" ca="1" si="66"/>
        <v>8.8512594533252234E-2</v>
      </c>
      <c r="H1031" t="str">
        <f t="shared" ca="1" si="67"/>
        <v>overpriced</v>
      </c>
    </row>
    <row r="1032" spans="1:8" x14ac:dyDescent="0.3">
      <c r="A1032" t="s">
        <v>1319</v>
      </c>
      <c r="B1032" t="s">
        <v>937</v>
      </c>
      <c r="C1032">
        <v>169</v>
      </c>
      <c r="D1032">
        <v>29.46</v>
      </c>
      <c r="E1032">
        <f t="shared" ca="1" si="64"/>
        <v>179.90256389632242</v>
      </c>
      <c r="F1032">
        <f t="shared" ca="1" si="65"/>
        <v>-10.90256389632242</v>
      </c>
      <c r="G1032">
        <f t="shared" ca="1" si="66"/>
        <v>-6.0602604322001499E-2</v>
      </c>
      <c r="H1032" t="str">
        <f t="shared" ca="1" si="67"/>
        <v>underprived</v>
      </c>
    </row>
    <row r="1033" spans="1:8" x14ac:dyDescent="0.3">
      <c r="A1033" t="s">
        <v>1320</v>
      </c>
      <c r="B1033" t="s">
        <v>1321</v>
      </c>
      <c r="C1033">
        <v>99</v>
      </c>
      <c r="D1033">
        <v>33.17</v>
      </c>
      <c r="E1033">
        <f t="shared" ca="1" si="64"/>
        <v>92.406102564238083</v>
      </c>
      <c r="F1033">
        <f t="shared" ca="1" si="65"/>
        <v>6.5938974357619173</v>
      </c>
      <c r="G1033">
        <f t="shared" ca="1" si="66"/>
        <v>7.1357813529447672E-2</v>
      </c>
      <c r="H1033" t="str">
        <f t="shared" ca="1" si="67"/>
        <v>overpriced</v>
      </c>
    </row>
    <row r="1034" spans="1:8" x14ac:dyDescent="0.3">
      <c r="A1034" t="s">
        <v>1322</v>
      </c>
      <c r="B1034" t="s">
        <v>526</v>
      </c>
      <c r="C1034">
        <v>52.99</v>
      </c>
      <c r="D1034">
        <v>15.12</v>
      </c>
      <c r="E1034">
        <f t="shared" ca="1" si="64"/>
        <v>52.160960534427652</v>
      </c>
      <c r="F1034">
        <f t="shared" ca="1" si="65"/>
        <v>0.82903946557235031</v>
      </c>
      <c r="G1034">
        <f t="shared" ca="1" si="66"/>
        <v>1.5893868845171317E-2</v>
      </c>
      <c r="H1034" t="str">
        <f t="shared" ca="1" si="67"/>
        <v>competitive</v>
      </c>
    </row>
    <row r="1035" spans="1:8" x14ac:dyDescent="0.3">
      <c r="A1035" t="s">
        <v>1323</v>
      </c>
      <c r="B1035" t="s">
        <v>339</v>
      </c>
      <c r="C1035">
        <v>31.9</v>
      </c>
      <c r="D1035">
        <v>16.79</v>
      </c>
      <c r="E1035">
        <f t="shared" ca="1" si="64"/>
        <v>31.903450293133879</v>
      </c>
      <c r="F1035">
        <f t="shared" ca="1" si="65"/>
        <v>-3.4502931338806775E-3</v>
      </c>
      <c r="G1035">
        <f t="shared" ca="1" si="66"/>
        <v>-1.0814796212255558E-4</v>
      </c>
      <c r="H1035" t="str">
        <f t="shared" ca="1" si="67"/>
        <v>competitive</v>
      </c>
    </row>
    <row r="1036" spans="1:8" x14ac:dyDescent="0.3">
      <c r="A1036" t="s">
        <v>389</v>
      </c>
      <c r="B1036" t="s">
        <v>390</v>
      </c>
      <c r="C1036">
        <v>39.99</v>
      </c>
      <c r="D1036">
        <v>16.95</v>
      </c>
      <c r="E1036">
        <f t="shared" ca="1" si="64"/>
        <v>43.034117892079173</v>
      </c>
      <c r="F1036">
        <f t="shared" ca="1" si="65"/>
        <v>-3.0441178920791714</v>
      </c>
      <c r="G1036">
        <f t="shared" ca="1" si="66"/>
        <v>-7.073731358252075E-2</v>
      </c>
      <c r="H1036" t="str">
        <f t="shared" ca="1" si="67"/>
        <v>underprived</v>
      </c>
    </row>
    <row r="1037" spans="1:8" x14ac:dyDescent="0.3">
      <c r="A1037" t="s">
        <v>1324</v>
      </c>
      <c r="B1037" t="s">
        <v>1325</v>
      </c>
      <c r="C1037">
        <v>16.989999999999998</v>
      </c>
      <c r="D1037">
        <v>15.11</v>
      </c>
      <c r="E1037">
        <f t="shared" ca="1" si="64"/>
        <v>16.525050903300126</v>
      </c>
      <c r="F1037">
        <f t="shared" ca="1" si="65"/>
        <v>0.46494909669987194</v>
      </c>
      <c r="G1037">
        <f t="shared" ca="1" si="66"/>
        <v>2.8136016005071398E-2</v>
      </c>
      <c r="H1037" t="str">
        <f t="shared" ca="1" si="67"/>
        <v>competitive</v>
      </c>
    </row>
    <row r="1038" spans="1:8" x14ac:dyDescent="0.3">
      <c r="A1038" t="s">
        <v>1326</v>
      </c>
      <c r="B1038" t="s">
        <v>1066</v>
      </c>
      <c r="C1038">
        <v>134.9</v>
      </c>
      <c r="D1038">
        <v>27.89</v>
      </c>
      <c r="E1038">
        <f t="shared" ca="1" si="64"/>
        <v>130.3579781232956</v>
      </c>
      <c r="F1038">
        <f t="shared" ca="1" si="65"/>
        <v>4.5420218767044105</v>
      </c>
      <c r="G1038">
        <f t="shared" ca="1" si="66"/>
        <v>3.4842684292084224E-2</v>
      </c>
      <c r="H1038" t="str">
        <f t="shared" ca="1" si="67"/>
        <v>competitive</v>
      </c>
    </row>
    <row r="1039" spans="1:8" x14ac:dyDescent="0.3">
      <c r="A1039" t="s">
        <v>1327</v>
      </c>
      <c r="B1039" t="s">
        <v>69</v>
      </c>
      <c r="C1039">
        <v>12.77</v>
      </c>
      <c r="D1039">
        <v>7.78</v>
      </c>
      <c r="E1039">
        <f t="shared" ca="1" si="64"/>
        <v>13.986108428661927</v>
      </c>
      <c r="F1039">
        <f t="shared" ca="1" si="65"/>
        <v>-1.2161084286619275</v>
      </c>
      <c r="G1039">
        <f t="shared" ca="1" si="66"/>
        <v>-8.6951165498598562E-2</v>
      </c>
      <c r="H1039" t="str">
        <f t="shared" ca="1" si="67"/>
        <v>underprived</v>
      </c>
    </row>
    <row r="1040" spans="1:8" x14ac:dyDescent="0.3">
      <c r="A1040" t="s">
        <v>1328</v>
      </c>
      <c r="B1040" t="s">
        <v>1329</v>
      </c>
      <c r="C1040">
        <v>180</v>
      </c>
      <c r="D1040">
        <v>22.34</v>
      </c>
      <c r="E1040">
        <f t="shared" ca="1" si="64"/>
        <v>194.79986966858434</v>
      </c>
      <c r="F1040">
        <f t="shared" ca="1" si="65"/>
        <v>-14.799869668584336</v>
      </c>
      <c r="G1040">
        <f t="shared" ca="1" si="66"/>
        <v>-7.5974741121560066E-2</v>
      </c>
      <c r="H1040" t="str">
        <f t="shared" ca="1" si="67"/>
        <v>underprived</v>
      </c>
    </row>
    <row r="1041" spans="1:8" x14ac:dyDescent="0.3">
      <c r="A1041" t="s">
        <v>1330</v>
      </c>
      <c r="B1041" t="s">
        <v>7</v>
      </c>
      <c r="C1041">
        <v>45.9</v>
      </c>
      <c r="D1041">
        <v>31.95</v>
      </c>
      <c r="E1041">
        <f t="shared" ca="1" si="64"/>
        <v>45.270976585796362</v>
      </c>
      <c r="F1041">
        <f t="shared" ca="1" si="65"/>
        <v>0.62902341420363683</v>
      </c>
      <c r="G1041">
        <f t="shared" ca="1" si="66"/>
        <v>1.3894628780793545E-2</v>
      </c>
      <c r="H1041" t="str">
        <f t="shared" ca="1" si="67"/>
        <v>competitive</v>
      </c>
    </row>
    <row r="1042" spans="1:8" x14ac:dyDescent="0.3">
      <c r="A1042" t="s">
        <v>1331</v>
      </c>
      <c r="B1042" t="s">
        <v>229</v>
      </c>
      <c r="C1042">
        <v>79</v>
      </c>
      <c r="D1042">
        <v>13.57</v>
      </c>
      <c r="E1042">
        <f t="shared" ca="1" si="64"/>
        <v>80.178779224403669</v>
      </c>
      <c r="F1042">
        <f t="shared" ca="1" si="65"/>
        <v>-1.1787792244036694</v>
      </c>
      <c r="G1042">
        <f t="shared" ca="1" si="66"/>
        <v>-1.4701885409161848E-2</v>
      </c>
      <c r="H1042" t="str">
        <f t="shared" ca="1" si="67"/>
        <v>competitive</v>
      </c>
    </row>
    <row r="1043" spans="1:8" x14ac:dyDescent="0.3">
      <c r="A1043" t="s">
        <v>1332</v>
      </c>
      <c r="B1043" t="s">
        <v>674</v>
      </c>
      <c r="C1043">
        <v>46.4</v>
      </c>
      <c r="D1043">
        <v>16.11</v>
      </c>
      <c r="E1043">
        <f t="shared" ca="1" si="64"/>
        <v>44.57856888692536</v>
      </c>
      <c r="F1043">
        <f t="shared" ca="1" si="65"/>
        <v>1.8214311130746381</v>
      </c>
      <c r="G1043">
        <f t="shared" ca="1" si="66"/>
        <v>4.0858896069426165E-2</v>
      </c>
      <c r="H1043" t="str">
        <f t="shared" ca="1" si="67"/>
        <v>competitive</v>
      </c>
    </row>
    <row r="1044" spans="1:8" x14ac:dyDescent="0.3">
      <c r="A1044" t="s">
        <v>1333</v>
      </c>
      <c r="B1044" t="s">
        <v>973</v>
      </c>
      <c r="C1044">
        <v>74.900000000000006</v>
      </c>
      <c r="D1044">
        <v>16.96</v>
      </c>
      <c r="E1044">
        <f t="shared" ca="1" si="64"/>
        <v>70.117040953528559</v>
      </c>
      <c r="F1044">
        <f t="shared" ca="1" si="65"/>
        <v>4.7829590464714471</v>
      </c>
      <c r="G1044">
        <f t="shared" ca="1" si="66"/>
        <v>6.8213931755070026E-2</v>
      </c>
      <c r="H1044" t="str">
        <f t="shared" ca="1" si="67"/>
        <v>overpriced</v>
      </c>
    </row>
    <row r="1045" spans="1:8" x14ac:dyDescent="0.3">
      <c r="A1045" t="s">
        <v>1334</v>
      </c>
      <c r="B1045" t="s">
        <v>1335</v>
      </c>
      <c r="C1045">
        <v>169</v>
      </c>
      <c r="D1045">
        <v>16.89</v>
      </c>
      <c r="E1045">
        <f t="shared" ca="1" si="64"/>
        <v>155.07966911554254</v>
      </c>
      <c r="F1045">
        <f t="shared" ca="1" si="65"/>
        <v>13.920330884457456</v>
      </c>
      <c r="G1045">
        <f t="shared" ca="1" si="66"/>
        <v>8.9762448964770966E-2</v>
      </c>
      <c r="H1045" t="str">
        <f t="shared" ca="1" si="67"/>
        <v>overpriced</v>
      </c>
    </row>
    <row r="1046" spans="1:8" x14ac:dyDescent="0.3">
      <c r="A1046" t="s">
        <v>1336</v>
      </c>
      <c r="B1046" t="s">
        <v>747</v>
      </c>
      <c r="C1046">
        <v>79.900000000000006</v>
      </c>
      <c r="D1046">
        <v>17.760000000000002</v>
      </c>
      <c r="E1046">
        <f t="shared" ca="1" si="64"/>
        <v>86.851558091737203</v>
      </c>
      <c r="F1046">
        <f t="shared" ca="1" si="65"/>
        <v>-6.9515580917371977</v>
      </c>
      <c r="G1046">
        <f t="shared" ca="1" si="66"/>
        <v>-8.0039532329340538E-2</v>
      </c>
      <c r="H1046" t="str">
        <f t="shared" ca="1" si="67"/>
        <v>underprived</v>
      </c>
    </row>
    <row r="1047" spans="1:8" x14ac:dyDescent="0.3">
      <c r="A1047" t="s">
        <v>756</v>
      </c>
      <c r="B1047" t="s">
        <v>747</v>
      </c>
      <c r="C1047">
        <v>99.9</v>
      </c>
      <c r="D1047">
        <v>25.05</v>
      </c>
      <c r="E1047">
        <f t="shared" ca="1" si="64"/>
        <v>99.813968359046939</v>
      </c>
      <c r="F1047">
        <f t="shared" ca="1" si="65"/>
        <v>8.6031640953066812E-2</v>
      </c>
      <c r="G1047">
        <f t="shared" ca="1" si="66"/>
        <v>8.6191985317723399E-4</v>
      </c>
      <c r="H1047" t="str">
        <f t="shared" ca="1" si="67"/>
        <v>competitive</v>
      </c>
    </row>
    <row r="1048" spans="1:8" x14ac:dyDescent="0.3">
      <c r="A1048" t="s">
        <v>87</v>
      </c>
      <c r="B1048" t="s">
        <v>88</v>
      </c>
      <c r="C1048">
        <v>18.989999999999998</v>
      </c>
      <c r="D1048">
        <v>15.65</v>
      </c>
      <c r="E1048">
        <f t="shared" ca="1" si="64"/>
        <v>17.480499863467564</v>
      </c>
      <c r="F1048">
        <f t="shared" ca="1" si="65"/>
        <v>1.5095001365324343</v>
      </c>
      <c r="G1048">
        <f t="shared" ca="1" si="66"/>
        <v>8.6353373663366081E-2</v>
      </c>
      <c r="H1048" t="str">
        <f t="shared" ca="1" si="67"/>
        <v>overpriced</v>
      </c>
    </row>
    <row r="1049" spans="1:8" x14ac:dyDescent="0.3">
      <c r="A1049" t="s">
        <v>721</v>
      </c>
      <c r="B1049" t="s">
        <v>376</v>
      </c>
      <c r="C1049">
        <v>119.9</v>
      </c>
      <c r="D1049">
        <v>15.57</v>
      </c>
      <c r="E1049">
        <f t="shared" ca="1" si="64"/>
        <v>111.89400753670684</v>
      </c>
      <c r="F1049">
        <f t="shared" ca="1" si="65"/>
        <v>8.0059924632931683</v>
      </c>
      <c r="G1049">
        <f t="shared" ca="1" si="66"/>
        <v>7.154978751356994E-2</v>
      </c>
      <c r="H1049" t="str">
        <f t="shared" ca="1" si="67"/>
        <v>overpriced</v>
      </c>
    </row>
    <row r="1050" spans="1:8" x14ac:dyDescent="0.3">
      <c r="A1050" t="s">
        <v>1337</v>
      </c>
      <c r="B1050" t="s">
        <v>1170</v>
      </c>
      <c r="C1050">
        <v>35.99</v>
      </c>
      <c r="D1050">
        <v>19.59</v>
      </c>
      <c r="E1050">
        <f t="shared" ca="1" si="64"/>
        <v>36.304950757756281</v>
      </c>
      <c r="F1050">
        <f t="shared" ca="1" si="65"/>
        <v>-0.31495075775627868</v>
      </c>
      <c r="G1050">
        <f t="shared" ca="1" si="66"/>
        <v>-8.6751462591914356E-3</v>
      </c>
      <c r="H1050" t="str">
        <f t="shared" ca="1" si="67"/>
        <v>competitive</v>
      </c>
    </row>
    <row r="1051" spans="1:8" x14ac:dyDescent="0.3">
      <c r="A1051" t="s">
        <v>1338</v>
      </c>
      <c r="B1051" t="s">
        <v>919</v>
      </c>
      <c r="C1051">
        <v>379</v>
      </c>
      <c r="D1051">
        <v>29.99</v>
      </c>
      <c r="E1051">
        <f t="shared" ca="1" si="64"/>
        <v>373.1295258911926</v>
      </c>
      <c r="F1051">
        <f t="shared" ca="1" si="65"/>
        <v>5.8704741088074002</v>
      </c>
      <c r="G1051">
        <f t="shared" ca="1" si="66"/>
        <v>1.5733073105877113E-2</v>
      </c>
      <c r="H1051" t="str">
        <f t="shared" ca="1" si="67"/>
        <v>competitive</v>
      </c>
    </row>
    <row r="1052" spans="1:8" x14ac:dyDescent="0.3">
      <c r="A1052" t="s">
        <v>1339</v>
      </c>
      <c r="B1052" t="s">
        <v>1340</v>
      </c>
      <c r="C1052">
        <v>169.9</v>
      </c>
      <c r="D1052">
        <v>69.900000000000006</v>
      </c>
      <c r="E1052">
        <f t="shared" ca="1" si="64"/>
        <v>183.96191671191582</v>
      </c>
      <c r="F1052">
        <f t="shared" ca="1" si="65"/>
        <v>-14.061916711915813</v>
      </c>
      <c r="G1052">
        <f t="shared" ca="1" si="66"/>
        <v>-7.6439281364613962E-2</v>
      </c>
      <c r="H1052" t="str">
        <f t="shared" ca="1" si="67"/>
        <v>underprived</v>
      </c>
    </row>
    <row r="1053" spans="1:8" x14ac:dyDescent="0.3">
      <c r="A1053" t="s">
        <v>1341</v>
      </c>
      <c r="B1053" t="s">
        <v>747</v>
      </c>
      <c r="C1053">
        <v>184.9</v>
      </c>
      <c r="D1053">
        <v>16.399999999999999</v>
      </c>
      <c r="E1053">
        <f t="shared" ca="1" si="64"/>
        <v>188.40279951010993</v>
      </c>
      <c r="F1053">
        <f t="shared" ca="1" si="65"/>
        <v>-3.5027995101099236</v>
      </c>
      <c r="G1053">
        <f t="shared" ca="1" si="66"/>
        <v>-1.8592077820595011E-2</v>
      </c>
      <c r="H1053" t="str">
        <f t="shared" ca="1" si="67"/>
        <v>competitive</v>
      </c>
    </row>
    <row r="1054" spans="1:8" x14ac:dyDescent="0.3">
      <c r="A1054" t="s">
        <v>1342</v>
      </c>
      <c r="B1054" t="s">
        <v>957</v>
      </c>
      <c r="C1054">
        <v>38.99</v>
      </c>
      <c r="D1054">
        <v>8.7200000000000006</v>
      </c>
      <c r="E1054">
        <f t="shared" ca="1" si="64"/>
        <v>35.975397909668366</v>
      </c>
      <c r="F1054">
        <f t="shared" ca="1" si="65"/>
        <v>3.0146020903316355</v>
      </c>
      <c r="G1054">
        <f t="shared" ca="1" si="66"/>
        <v>8.3796212564516567E-2</v>
      </c>
      <c r="H1054" t="str">
        <f t="shared" ca="1" si="67"/>
        <v>overpriced</v>
      </c>
    </row>
    <row r="1055" spans="1:8" x14ac:dyDescent="0.3">
      <c r="A1055" t="s">
        <v>1343</v>
      </c>
      <c r="B1055" t="s">
        <v>1344</v>
      </c>
      <c r="C1055">
        <v>173.9</v>
      </c>
      <c r="D1055">
        <v>16.850000000000001</v>
      </c>
      <c r="E1055">
        <f t="shared" ca="1" si="64"/>
        <v>157.67646084212507</v>
      </c>
      <c r="F1055">
        <f t="shared" ca="1" si="65"/>
        <v>16.223539157874939</v>
      </c>
      <c r="G1055">
        <f t="shared" ca="1" si="66"/>
        <v>0.10289131980276307</v>
      </c>
      <c r="H1055" t="str">
        <f t="shared" ca="1" si="67"/>
        <v>overpriced</v>
      </c>
    </row>
    <row r="1056" spans="1:8" x14ac:dyDescent="0.3">
      <c r="A1056" t="s">
        <v>1345</v>
      </c>
      <c r="B1056" t="s">
        <v>1346</v>
      </c>
      <c r="C1056">
        <v>41.9</v>
      </c>
      <c r="D1056">
        <v>16.79</v>
      </c>
      <c r="E1056">
        <f t="shared" ca="1" si="64"/>
        <v>43.007757868131989</v>
      </c>
      <c r="F1056">
        <f t="shared" ca="1" si="65"/>
        <v>-1.1077578681319906</v>
      </c>
      <c r="G1056">
        <f t="shared" ca="1" si="66"/>
        <v>-2.5757163894210355E-2</v>
      </c>
      <c r="H1056" t="str">
        <f t="shared" ca="1" si="67"/>
        <v>competitive</v>
      </c>
    </row>
    <row r="1057" spans="1:8" x14ac:dyDescent="0.3">
      <c r="A1057" t="s">
        <v>686</v>
      </c>
      <c r="B1057" t="s">
        <v>489</v>
      </c>
      <c r="C1057">
        <v>25.9</v>
      </c>
      <c r="D1057">
        <v>16.79</v>
      </c>
      <c r="E1057">
        <f t="shared" ca="1" si="64"/>
        <v>27.754140785593147</v>
      </c>
      <c r="F1057">
        <f t="shared" ca="1" si="65"/>
        <v>-1.8541407855931489</v>
      </c>
      <c r="G1057">
        <f t="shared" ca="1" si="66"/>
        <v>-6.6805915553891398E-2</v>
      </c>
      <c r="H1057" t="str">
        <f t="shared" ca="1" si="67"/>
        <v>underprived</v>
      </c>
    </row>
    <row r="1058" spans="1:8" x14ac:dyDescent="0.3">
      <c r="A1058" t="s">
        <v>281</v>
      </c>
      <c r="B1058" t="s">
        <v>282</v>
      </c>
      <c r="C1058">
        <v>109.9</v>
      </c>
      <c r="D1058">
        <v>15.52</v>
      </c>
      <c r="E1058">
        <f t="shared" ca="1" si="64"/>
        <v>108.98489718777107</v>
      </c>
      <c r="F1058">
        <f t="shared" ca="1" si="65"/>
        <v>0.91510281222893752</v>
      </c>
      <c r="G1058">
        <f t="shared" ca="1" si="66"/>
        <v>8.3966020599377054E-3</v>
      </c>
      <c r="H1058" t="str">
        <f t="shared" ca="1" si="67"/>
        <v>competitive</v>
      </c>
    </row>
    <row r="1059" spans="1:8" x14ac:dyDescent="0.3">
      <c r="A1059" t="s">
        <v>1347</v>
      </c>
      <c r="B1059" t="s">
        <v>768</v>
      </c>
      <c r="C1059">
        <v>18.899999999999999</v>
      </c>
      <c r="D1059">
        <v>7.78</v>
      </c>
      <c r="E1059">
        <f t="shared" ca="1" si="64"/>
        <v>18.985164965926817</v>
      </c>
      <c r="F1059">
        <f t="shared" ca="1" si="65"/>
        <v>-8.5164965926818326E-2</v>
      </c>
      <c r="G1059">
        <f t="shared" ca="1" si="66"/>
        <v>-4.4858691551885998E-3</v>
      </c>
      <c r="H1059" t="str">
        <f t="shared" ca="1" si="67"/>
        <v>competitive</v>
      </c>
    </row>
    <row r="1060" spans="1:8" x14ac:dyDescent="0.3">
      <c r="A1060" t="s">
        <v>238</v>
      </c>
      <c r="B1060" t="s">
        <v>239</v>
      </c>
      <c r="C1060">
        <v>149</v>
      </c>
      <c r="D1060">
        <v>23.84</v>
      </c>
      <c r="E1060">
        <f t="shared" ca="1" si="64"/>
        <v>156.98382361660558</v>
      </c>
      <c r="F1060">
        <f t="shared" ca="1" si="65"/>
        <v>-7.9838236166055765</v>
      </c>
      <c r="G1060">
        <f t="shared" ca="1" si="66"/>
        <v>-5.0857619802305902E-2</v>
      </c>
      <c r="H1060" t="str">
        <f t="shared" ca="1" si="67"/>
        <v>underprived</v>
      </c>
    </row>
    <row r="1061" spans="1:8" x14ac:dyDescent="0.3">
      <c r="A1061" t="s">
        <v>1348</v>
      </c>
      <c r="B1061" t="s">
        <v>378</v>
      </c>
      <c r="C1061">
        <v>257.13</v>
      </c>
      <c r="D1061">
        <v>14.14</v>
      </c>
      <c r="E1061">
        <f t="shared" ca="1" si="64"/>
        <v>249.37453736537771</v>
      </c>
      <c r="F1061">
        <f t="shared" ca="1" si="65"/>
        <v>7.7554626346222904</v>
      </c>
      <c r="G1061">
        <f t="shared" ca="1" si="66"/>
        <v>3.109965723268358E-2</v>
      </c>
      <c r="H1061" t="str">
        <f t="shared" ca="1" si="67"/>
        <v>competitive</v>
      </c>
    </row>
    <row r="1062" spans="1:8" x14ac:dyDescent="0.3">
      <c r="A1062" t="s">
        <v>548</v>
      </c>
      <c r="B1062" t="s">
        <v>549</v>
      </c>
      <c r="C1062">
        <v>139.99</v>
      </c>
      <c r="D1062">
        <v>14.37</v>
      </c>
      <c r="E1062">
        <f t="shared" ca="1" si="64"/>
        <v>137.17535992482487</v>
      </c>
      <c r="F1062">
        <f t="shared" ca="1" si="65"/>
        <v>2.8146400751751344</v>
      </c>
      <c r="G1062">
        <f t="shared" ca="1" si="66"/>
        <v>2.0518554328690073E-2</v>
      </c>
      <c r="H1062" t="str">
        <f t="shared" ca="1" si="67"/>
        <v>competitive</v>
      </c>
    </row>
    <row r="1063" spans="1:8" x14ac:dyDescent="0.3">
      <c r="A1063" t="s">
        <v>1349</v>
      </c>
      <c r="B1063" t="s">
        <v>322</v>
      </c>
      <c r="C1063">
        <v>104.9</v>
      </c>
      <c r="D1063">
        <v>12.07</v>
      </c>
      <c r="E1063">
        <f t="shared" ca="1" si="64"/>
        <v>113.87432355480365</v>
      </c>
      <c r="F1063">
        <f t="shared" ca="1" si="65"/>
        <v>-8.9743235548036466</v>
      </c>
      <c r="G1063">
        <f t="shared" ca="1" si="66"/>
        <v>-7.8809017473413345E-2</v>
      </c>
      <c r="H1063" t="str">
        <f t="shared" ca="1" si="67"/>
        <v>underprived</v>
      </c>
    </row>
    <row r="1064" spans="1:8" x14ac:dyDescent="0.3">
      <c r="A1064" t="s">
        <v>1350</v>
      </c>
      <c r="B1064" t="s">
        <v>145</v>
      </c>
      <c r="C1064">
        <v>49.9</v>
      </c>
      <c r="D1064">
        <v>17.63</v>
      </c>
      <c r="E1064">
        <f t="shared" ca="1" si="64"/>
        <v>45.956636513160028</v>
      </c>
      <c r="F1064">
        <f t="shared" ca="1" si="65"/>
        <v>3.9433634868399707</v>
      </c>
      <c r="G1064">
        <f t="shared" ca="1" si="66"/>
        <v>8.5806181349036698E-2</v>
      </c>
      <c r="H1064" t="str">
        <f t="shared" ca="1" si="67"/>
        <v>overpriced</v>
      </c>
    </row>
    <row r="1065" spans="1:8" x14ac:dyDescent="0.3">
      <c r="A1065" t="s">
        <v>1351</v>
      </c>
      <c r="B1065" t="s">
        <v>1352</v>
      </c>
      <c r="C1065">
        <v>49.8</v>
      </c>
      <c r="D1065">
        <v>16.79</v>
      </c>
      <c r="E1065">
        <f t="shared" ca="1" si="64"/>
        <v>54.124434109914638</v>
      </c>
      <c r="F1065">
        <f t="shared" ca="1" si="65"/>
        <v>-4.3244341099146411</v>
      </c>
      <c r="G1065">
        <f t="shared" ca="1" si="66"/>
        <v>-7.9898001356146858E-2</v>
      </c>
      <c r="H1065" t="str">
        <f t="shared" ca="1" si="67"/>
        <v>underprived</v>
      </c>
    </row>
    <row r="1066" spans="1:8" x14ac:dyDescent="0.3">
      <c r="A1066" t="s">
        <v>1353</v>
      </c>
      <c r="B1066" t="s">
        <v>364</v>
      </c>
      <c r="C1066">
        <v>139</v>
      </c>
      <c r="D1066">
        <v>40.479999999999997</v>
      </c>
      <c r="E1066">
        <f t="shared" ca="1" si="64"/>
        <v>139.2008671111129</v>
      </c>
      <c r="F1066">
        <f t="shared" ca="1" si="65"/>
        <v>-0.20086711111289901</v>
      </c>
      <c r="G1066">
        <f t="shared" ca="1" si="66"/>
        <v>-1.4430018668817838E-3</v>
      </c>
      <c r="H1066" t="str">
        <f t="shared" ca="1" si="67"/>
        <v>competitive</v>
      </c>
    </row>
    <row r="1067" spans="1:8" x14ac:dyDescent="0.3">
      <c r="A1067" t="s">
        <v>1354</v>
      </c>
      <c r="B1067" t="s">
        <v>852</v>
      </c>
      <c r="C1067">
        <v>59</v>
      </c>
      <c r="D1067">
        <v>11.91</v>
      </c>
      <c r="E1067">
        <f t="shared" ca="1" si="64"/>
        <v>55.233901555320379</v>
      </c>
      <c r="F1067">
        <f t="shared" ca="1" si="65"/>
        <v>3.7660984446796206</v>
      </c>
      <c r="G1067">
        <f t="shared" ca="1" si="66"/>
        <v>6.8184544973844116E-2</v>
      </c>
      <c r="H1067" t="str">
        <f t="shared" ca="1" si="67"/>
        <v>overpriced</v>
      </c>
    </row>
    <row r="1068" spans="1:8" x14ac:dyDescent="0.3">
      <c r="A1068" t="s">
        <v>1355</v>
      </c>
      <c r="B1068" t="s">
        <v>1162</v>
      </c>
      <c r="C1068">
        <v>49.9</v>
      </c>
      <c r="D1068">
        <v>15.1</v>
      </c>
      <c r="E1068">
        <f t="shared" ca="1" si="64"/>
        <v>47.906293940426046</v>
      </c>
      <c r="F1068">
        <f t="shared" ca="1" si="65"/>
        <v>1.9937060595739524</v>
      </c>
      <c r="G1068">
        <f t="shared" ca="1" si="66"/>
        <v>4.1616787598999602E-2</v>
      </c>
      <c r="H1068" t="str">
        <f t="shared" ca="1" si="67"/>
        <v>competitive</v>
      </c>
    </row>
    <row r="1069" spans="1:8" x14ac:dyDescent="0.3">
      <c r="A1069" t="s">
        <v>1356</v>
      </c>
      <c r="B1069" t="s">
        <v>1033</v>
      </c>
      <c r="C1069">
        <v>59.9</v>
      </c>
      <c r="D1069">
        <v>18.3</v>
      </c>
      <c r="E1069">
        <f t="shared" ca="1" si="64"/>
        <v>63.406069381300192</v>
      </c>
      <c r="F1069">
        <f t="shared" ca="1" si="65"/>
        <v>-3.5060693813001933</v>
      </c>
      <c r="G1069">
        <f t="shared" ca="1" si="66"/>
        <v>-5.5295485361440938E-2</v>
      </c>
      <c r="H1069" t="str">
        <f t="shared" ca="1" si="67"/>
        <v>underprived</v>
      </c>
    </row>
    <row r="1070" spans="1:8" x14ac:dyDescent="0.3">
      <c r="A1070" t="s">
        <v>734</v>
      </c>
      <c r="B1070" t="s">
        <v>31</v>
      </c>
      <c r="C1070">
        <v>53.9</v>
      </c>
      <c r="D1070">
        <v>14.47</v>
      </c>
      <c r="E1070">
        <f t="shared" ca="1" si="64"/>
        <v>56.03860618916346</v>
      </c>
      <c r="F1070">
        <f t="shared" ca="1" si="65"/>
        <v>-2.1386061891634611</v>
      </c>
      <c r="G1070">
        <f t="shared" ca="1" si="66"/>
        <v>-3.8163086746740266E-2</v>
      </c>
      <c r="H1070" t="str">
        <f t="shared" ca="1" si="67"/>
        <v>competitive</v>
      </c>
    </row>
    <row r="1071" spans="1:8" x14ac:dyDescent="0.3">
      <c r="A1071" t="s">
        <v>1357</v>
      </c>
      <c r="B1071" t="s">
        <v>1358</v>
      </c>
      <c r="C1071">
        <v>104.9</v>
      </c>
      <c r="D1071">
        <v>34.270000000000003</v>
      </c>
      <c r="E1071">
        <f t="shared" ca="1" si="64"/>
        <v>104.7473598589507</v>
      </c>
      <c r="F1071">
        <f t="shared" ca="1" si="65"/>
        <v>0.15264014104930368</v>
      </c>
      <c r="G1071">
        <f t="shared" ca="1" si="66"/>
        <v>1.4572218455419191E-3</v>
      </c>
      <c r="H1071" t="str">
        <f t="shared" ca="1" si="67"/>
        <v>competitive</v>
      </c>
    </row>
    <row r="1072" spans="1:8" x14ac:dyDescent="0.3">
      <c r="A1072" t="s">
        <v>1359</v>
      </c>
      <c r="B1072" t="s">
        <v>1360</v>
      </c>
      <c r="C1072">
        <v>154.91</v>
      </c>
      <c r="D1072">
        <v>16.18</v>
      </c>
      <c r="E1072">
        <f t="shared" ca="1" si="64"/>
        <v>141.3277150336219</v>
      </c>
      <c r="F1072">
        <f t="shared" ca="1" si="65"/>
        <v>13.582284966378097</v>
      </c>
      <c r="G1072">
        <f t="shared" ca="1" si="66"/>
        <v>9.6104893248623369E-2</v>
      </c>
      <c r="H1072" t="str">
        <f t="shared" ca="1" si="67"/>
        <v>overpriced</v>
      </c>
    </row>
    <row r="1073" spans="1:8" x14ac:dyDescent="0.3">
      <c r="A1073" t="s">
        <v>1361</v>
      </c>
      <c r="B1073" t="s">
        <v>273</v>
      </c>
      <c r="C1073">
        <v>60.5</v>
      </c>
      <c r="D1073">
        <v>11.86</v>
      </c>
      <c r="E1073">
        <f t="shared" ca="1" si="64"/>
        <v>60.530337854606941</v>
      </c>
      <c r="F1073">
        <f t="shared" ca="1" si="65"/>
        <v>-3.033785460694105E-2</v>
      </c>
      <c r="G1073">
        <f t="shared" ca="1" si="66"/>
        <v>-5.012008140415831E-4</v>
      </c>
      <c r="H1073" t="str">
        <f t="shared" ca="1" si="67"/>
        <v>competitive</v>
      </c>
    </row>
    <row r="1074" spans="1:8" x14ac:dyDescent="0.3">
      <c r="A1074" t="s">
        <v>1361</v>
      </c>
      <c r="B1074" t="s">
        <v>273</v>
      </c>
      <c r="C1074">
        <v>60.5</v>
      </c>
      <c r="D1074">
        <v>11.86</v>
      </c>
      <c r="E1074">
        <f t="shared" ca="1" si="64"/>
        <v>59.964577456696311</v>
      </c>
      <c r="F1074">
        <f t="shared" ca="1" si="65"/>
        <v>0.53542254330368877</v>
      </c>
      <c r="G1074">
        <f t="shared" ca="1" si="66"/>
        <v>8.9289805083734072E-3</v>
      </c>
      <c r="H1074" t="str">
        <f t="shared" ca="1" si="67"/>
        <v>competitive</v>
      </c>
    </row>
    <row r="1075" spans="1:8" x14ac:dyDescent="0.3">
      <c r="A1075" t="s">
        <v>818</v>
      </c>
      <c r="B1075" t="s">
        <v>229</v>
      </c>
      <c r="C1075">
        <v>129</v>
      </c>
      <c r="D1075">
        <v>13.92</v>
      </c>
      <c r="E1075">
        <f t="shared" ca="1" si="64"/>
        <v>126.75842268662976</v>
      </c>
      <c r="F1075">
        <f t="shared" ca="1" si="65"/>
        <v>2.241577313370243</v>
      </c>
      <c r="G1075">
        <f t="shared" ca="1" si="66"/>
        <v>1.7683853000536591E-2</v>
      </c>
      <c r="H1075" t="str">
        <f t="shared" ca="1" si="67"/>
        <v>competitive</v>
      </c>
    </row>
    <row r="1076" spans="1:8" x14ac:dyDescent="0.3">
      <c r="A1076" t="s">
        <v>1362</v>
      </c>
      <c r="B1076" t="s">
        <v>1363</v>
      </c>
      <c r="C1076">
        <v>329</v>
      </c>
      <c r="D1076">
        <v>54.12</v>
      </c>
      <c r="E1076">
        <f t="shared" ca="1" si="64"/>
        <v>301.53827871118386</v>
      </c>
      <c r="F1076">
        <f t="shared" ca="1" si="65"/>
        <v>27.461721288816136</v>
      </c>
      <c r="G1076">
        <f t="shared" ca="1" si="66"/>
        <v>9.1072090104749939E-2</v>
      </c>
      <c r="H1076" t="str">
        <f t="shared" ca="1" si="67"/>
        <v>overpriced</v>
      </c>
    </row>
    <row r="1077" spans="1:8" x14ac:dyDescent="0.3">
      <c r="A1077" t="s">
        <v>1364</v>
      </c>
      <c r="B1077" t="s">
        <v>538</v>
      </c>
      <c r="C1077">
        <v>124.9</v>
      </c>
      <c r="D1077">
        <v>17.12</v>
      </c>
      <c r="E1077">
        <f t="shared" ca="1" si="64"/>
        <v>130.74269852459665</v>
      </c>
      <c r="F1077">
        <f t="shared" ca="1" si="65"/>
        <v>-5.8426985245966421</v>
      </c>
      <c r="G1077">
        <f t="shared" ca="1" si="66"/>
        <v>-4.4688526323307103E-2</v>
      </c>
      <c r="H1077" t="str">
        <f t="shared" ca="1" si="67"/>
        <v>competitive</v>
      </c>
    </row>
    <row r="1078" spans="1:8" x14ac:dyDescent="0.3">
      <c r="A1078" t="s">
        <v>1365</v>
      </c>
      <c r="B1078" t="s">
        <v>227</v>
      </c>
      <c r="C1078">
        <v>119.9</v>
      </c>
      <c r="D1078">
        <v>18.41</v>
      </c>
      <c r="E1078">
        <f t="shared" ca="1" si="64"/>
        <v>125.16179556435077</v>
      </c>
      <c r="F1078">
        <f t="shared" ca="1" si="65"/>
        <v>-5.2617955643507628</v>
      </c>
      <c r="G1078">
        <f t="shared" ca="1" si="66"/>
        <v>-4.2039949495974269E-2</v>
      </c>
      <c r="H1078" t="str">
        <f t="shared" ca="1" si="67"/>
        <v>competitive</v>
      </c>
    </row>
    <row r="1079" spans="1:8" x14ac:dyDescent="0.3">
      <c r="A1079" t="s">
        <v>1201</v>
      </c>
      <c r="B1079" t="s">
        <v>661</v>
      </c>
      <c r="C1079">
        <v>35.9</v>
      </c>
      <c r="D1079">
        <v>16.11</v>
      </c>
      <c r="E1079">
        <f t="shared" ca="1" si="64"/>
        <v>35.077768578908938</v>
      </c>
      <c r="F1079">
        <f t="shared" ca="1" si="65"/>
        <v>0.82223142109106107</v>
      </c>
      <c r="G1079">
        <f t="shared" ca="1" si="66"/>
        <v>2.3440243048568395E-2</v>
      </c>
      <c r="H1079" t="str">
        <f t="shared" ca="1" si="67"/>
        <v>competitive</v>
      </c>
    </row>
    <row r="1080" spans="1:8" x14ac:dyDescent="0.3">
      <c r="A1080" t="s">
        <v>1366</v>
      </c>
      <c r="B1080" t="s">
        <v>184</v>
      </c>
      <c r="C1080">
        <v>67.900000000000006</v>
      </c>
      <c r="D1080">
        <v>24.09</v>
      </c>
      <c r="E1080">
        <f t="shared" ca="1" si="64"/>
        <v>69.500944061869916</v>
      </c>
      <c r="F1080">
        <f t="shared" ca="1" si="65"/>
        <v>-1.6009440618699102</v>
      </c>
      <c r="G1080">
        <f t="shared" ca="1" si="66"/>
        <v>-2.303485346105149E-2</v>
      </c>
      <c r="H1080" t="str">
        <f t="shared" ca="1" si="67"/>
        <v>competitive</v>
      </c>
    </row>
    <row r="1081" spans="1:8" x14ac:dyDescent="0.3">
      <c r="A1081" t="s">
        <v>1367</v>
      </c>
      <c r="B1081" t="s">
        <v>736</v>
      </c>
      <c r="C1081">
        <v>58</v>
      </c>
      <c r="D1081">
        <v>31.12</v>
      </c>
      <c r="E1081">
        <f t="shared" ca="1" si="64"/>
        <v>58.164892232252186</v>
      </c>
      <c r="F1081">
        <f t="shared" ca="1" si="65"/>
        <v>-0.16489223225218552</v>
      </c>
      <c r="G1081">
        <f t="shared" ca="1" si="66"/>
        <v>-2.8349099589795763E-3</v>
      </c>
      <c r="H1081" t="str">
        <f t="shared" ca="1" si="67"/>
        <v>competitive</v>
      </c>
    </row>
    <row r="1082" spans="1:8" x14ac:dyDescent="0.3">
      <c r="A1082" t="s">
        <v>1368</v>
      </c>
      <c r="B1082" t="s">
        <v>1369</v>
      </c>
      <c r="C1082">
        <v>65</v>
      </c>
      <c r="D1082">
        <v>9.33</v>
      </c>
      <c r="E1082">
        <f t="shared" ca="1" si="64"/>
        <v>68.61235264346584</v>
      </c>
      <c r="F1082">
        <f t="shared" ca="1" si="65"/>
        <v>-3.6123526434658402</v>
      </c>
      <c r="G1082">
        <f t="shared" ca="1" si="66"/>
        <v>-5.2648721466190027E-2</v>
      </c>
      <c r="H1082" t="str">
        <f t="shared" ca="1" si="67"/>
        <v>underprived</v>
      </c>
    </row>
    <row r="1083" spans="1:8" x14ac:dyDescent="0.3">
      <c r="A1083" t="s">
        <v>1370</v>
      </c>
      <c r="B1083" t="s">
        <v>99</v>
      </c>
      <c r="C1083">
        <v>39.99</v>
      </c>
      <c r="D1083">
        <v>11.85</v>
      </c>
      <c r="E1083">
        <f t="shared" ca="1" si="64"/>
        <v>43.181901255687315</v>
      </c>
      <c r="F1083">
        <f t="shared" ca="1" si="65"/>
        <v>-3.1919012556873128</v>
      </c>
      <c r="G1083">
        <f t="shared" ca="1" si="66"/>
        <v>-7.3917571085801145E-2</v>
      </c>
      <c r="H1083" t="str">
        <f t="shared" ca="1" si="67"/>
        <v>underprived</v>
      </c>
    </row>
    <row r="1084" spans="1:8" x14ac:dyDescent="0.3">
      <c r="A1084" t="s">
        <v>542</v>
      </c>
      <c r="B1084" t="s">
        <v>438</v>
      </c>
      <c r="C1084">
        <v>230</v>
      </c>
      <c r="D1084">
        <v>75.010000000000005</v>
      </c>
      <c r="E1084">
        <f t="shared" ca="1" si="64"/>
        <v>243.72196611753361</v>
      </c>
      <c r="F1084">
        <f t="shared" ca="1" si="65"/>
        <v>-13.721966117533611</v>
      </c>
      <c r="G1084">
        <f t="shared" ca="1" si="66"/>
        <v>-5.6301720916350509E-2</v>
      </c>
      <c r="H1084" t="str">
        <f t="shared" ca="1" si="67"/>
        <v>underprived</v>
      </c>
    </row>
    <row r="1085" spans="1:8" x14ac:dyDescent="0.3">
      <c r="A1085" t="s">
        <v>1371</v>
      </c>
      <c r="B1085" t="s">
        <v>329</v>
      </c>
      <c r="C1085">
        <v>69.900000000000006</v>
      </c>
      <c r="D1085">
        <v>50.15</v>
      </c>
      <c r="E1085">
        <f t="shared" ca="1" si="64"/>
        <v>63.902412862012817</v>
      </c>
      <c r="F1085">
        <f t="shared" ca="1" si="65"/>
        <v>5.997587137987189</v>
      </c>
      <c r="G1085">
        <f t="shared" ca="1" si="66"/>
        <v>9.3855409668771553E-2</v>
      </c>
      <c r="H1085" t="str">
        <f t="shared" ca="1" si="67"/>
        <v>overpriced</v>
      </c>
    </row>
    <row r="1086" spans="1:8" x14ac:dyDescent="0.3">
      <c r="A1086" t="s">
        <v>1372</v>
      </c>
      <c r="B1086" t="s">
        <v>1373</v>
      </c>
      <c r="C1086">
        <v>2649.99</v>
      </c>
      <c r="D1086">
        <v>134.16999999999999</v>
      </c>
      <c r="E1086">
        <f t="shared" ca="1" si="64"/>
        <v>2912.9370362775594</v>
      </c>
      <c r="F1086">
        <f t="shared" ca="1" si="65"/>
        <v>-262.94703627755962</v>
      </c>
      <c r="G1086">
        <f t="shared" ca="1" si="66"/>
        <v>-9.0268698912071052E-2</v>
      </c>
      <c r="H1086" t="str">
        <f t="shared" ca="1" si="67"/>
        <v>underprived</v>
      </c>
    </row>
    <row r="1087" spans="1:8" x14ac:dyDescent="0.3">
      <c r="A1087" t="s">
        <v>1374</v>
      </c>
      <c r="B1087" t="s">
        <v>1375</v>
      </c>
      <c r="C1087">
        <v>89</v>
      </c>
      <c r="D1087">
        <v>15.37</v>
      </c>
      <c r="E1087">
        <f t="shared" ca="1" si="64"/>
        <v>84.022522843520107</v>
      </c>
      <c r="F1087">
        <f t="shared" ca="1" si="65"/>
        <v>4.9774771564798925</v>
      </c>
      <c r="G1087">
        <f t="shared" ca="1" si="66"/>
        <v>5.9239796521579451E-2</v>
      </c>
      <c r="H1087" t="str">
        <f t="shared" ca="1" si="67"/>
        <v>overpriced</v>
      </c>
    </row>
    <row r="1088" spans="1:8" x14ac:dyDescent="0.3">
      <c r="A1088" t="s">
        <v>1376</v>
      </c>
      <c r="B1088" t="s">
        <v>948</v>
      </c>
      <c r="C1088">
        <v>99.9</v>
      </c>
      <c r="D1088">
        <v>23.57</v>
      </c>
      <c r="E1088">
        <f t="shared" ca="1" si="64"/>
        <v>94.562827747422077</v>
      </c>
      <c r="F1088">
        <f t="shared" ca="1" si="65"/>
        <v>5.337172252577929</v>
      </c>
      <c r="G1088">
        <f t="shared" ca="1" si="66"/>
        <v>5.6440489140548444E-2</v>
      </c>
      <c r="H1088" t="str">
        <f t="shared" ca="1" si="67"/>
        <v>overpriced</v>
      </c>
    </row>
    <row r="1089" spans="1:8" x14ac:dyDescent="0.3">
      <c r="A1089" t="s">
        <v>98</v>
      </c>
      <c r="B1089" t="s">
        <v>99</v>
      </c>
      <c r="C1089">
        <v>29.99</v>
      </c>
      <c r="D1089">
        <v>7.78</v>
      </c>
      <c r="E1089">
        <f t="shared" ca="1" si="64"/>
        <v>31.259226357818392</v>
      </c>
      <c r="F1089">
        <f t="shared" ca="1" si="65"/>
        <v>-1.2692263578183933</v>
      </c>
      <c r="G1089">
        <f t="shared" ca="1" si="66"/>
        <v>-4.0603255604914908E-2</v>
      </c>
      <c r="H1089" t="str">
        <f t="shared" ca="1" si="67"/>
        <v>competitive</v>
      </c>
    </row>
    <row r="1090" spans="1:8" x14ac:dyDescent="0.3">
      <c r="A1090" t="s">
        <v>1377</v>
      </c>
      <c r="B1090" t="s">
        <v>1040</v>
      </c>
      <c r="C1090">
        <v>59.9</v>
      </c>
      <c r="D1090">
        <v>16.18</v>
      </c>
      <c r="E1090">
        <f t="shared" ca="1" si="64"/>
        <v>56.28030647927519</v>
      </c>
      <c r="F1090">
        <f t="shared" ca="1" si="65"/>
        <v>3.6196935207248089</v>
      </c>
      <c r="G1090">
        <f t="shared" ca="1" si="66"/>
        <v>6.4315455035017163E-2</v>
      </c>
      <c r="H1090" t="str">
        <f t="shared" ca="1" si="67"/>
        <v>overpriced</v>
      </c>
    </row>
    <row r="1091" spans="1:8" x14ac:dyDescent="0.3">
      <c r="A1091" t="s">
        <v>1378</v>
      </c>
      <c r="B1091" t="s">
        <v>1379</v>
      </c>
      <c r="C1091">
        <v>58.9</v>
      </c>
      <c r="D1091">
        <v>22.73</v>
      </c>
      <c r="E1091">
        <f t="shared" ref="E1091:E1154" ca="1" si="68">C1091*(1+RAND()*0.2-0.1)</f>
        <v>57.591497123006711</v>
      </c>
      <c r="F1091">
        <f t="shared" ref="F1091:F1154" ca="1" si="69">C1091-E1091</f>
        <v>1.3085028769932876</v>
      </c>
      <c r="G1091">
        <f t="shared" ref="G1091:G1154" ca="1" si="70">(C1091-E1091)/E1091</f>
        <v>2.2720417810957818E-2</v>
      </c>
      <c r="H1091" t="str">
        <f t="shared" ref="H1091:H1154" ca="1" si="71">IF(E1091="","competitive",IF(ABS(C1091-E1091)/E1091&lt;=0.05,"competitive",IF(C1091&gt;E1091,"overpriced","underprived")))</f>
        <v>competitive</v>
      </c>
    </row>
    <row r="1092" spans="1:8" x14ac:dyDescent="0.3">
      <c r="A1092" t="s">
        <v>1380</v>
      </c>
      <c r="B1092" t="s">
        <v>657</v>
      </c>
      <c r="C1092">
        <v>84.9</v>
      </c>
      <c r="D1092">
        <v>17.84</v>
      </c>
      <c r="E1092">
        <f t="shared" ca="1" si="68"/>
        <v>77.443153901593973</v>
      </c>
      <c r="F1092">
        <f t="shared" ca="1" si="69"/>
        <v>7.4568460984060323</v>
      </c>
      <c r="G1092">
        <f t="shared" ca="1" si="70"/>
        <v>9.6287996068462695E-2</v>
      </c>
      <c r="H1092" t="str">
        <f t="shared" ca="1" si="71"/>
        <v>overpriced</v>
      </c>
    </row>
    <row r="1093" spans="1:8" x14ac:dyDescent="0.3">
      <c r="A1093" t="s">
        <v>1381</v>
      </c>
      <c r="B1093" t="s">
        <v>1382</v>
      </c>
      <c r="C1093">
        <v>199</v>
      </c>
      <c r="D1093">
        <v>8.65</v>
      </c>
      <c r="E1093">
        <f t="shared" ca="1" si="68"/>
        <v>195.17100402611112</v>
      </c>
      <c r="F1093">
        <f t="shared" ca="1" si="69"/>
        <v>3.8289959738888797</v>
      </c>
      <c r="G1093">
        <f t="shared" ca="1" si="70"/>
        <v>1.9618672317618525E-2</v>
      </c>
      <c r="H1093" t="str">
        <f t="shared" ca="1" si="71"/>
        <v>competitive</v>
      </c>
    </row>
    <row r="1094" spans="1:8" x14ac:dyDescent="0.3">
      <c r="A1094" t="s">
        <v>1044</v>
      </c>
      <c r="B1094" t="s">
        <v>1045</v>
      </c>
      <c r="C1094">
        <v>70.900000000000006</v>
      </c>
      <c r="D1094">
        <v>15.25</v>
      </c>
      <c r="E1094">
        <f t="shared" ca="1" si="68"/>
        <v>65.858323508944267</v>
      </c>
      <c r="F1094">
        <f t="shared" ca="1" si="69"/>
        <v>5.041676491055739</v>
      </c>
      <c r="G1094">
        <f t="shared" ca="1" si="70"/>
        <v>7.6553368237061561E-2</v>
      </c>
      <c r="H1094" t="str">
        <f t="shared" ca="1" si="71"/>
        <v>overpriced</v>
      </c>
    </row>
    <row r="1095" spans="1:8" x14ac:dyDescent="0.3">
      <c r="A1095" t="s">
        <v>1383</v>
      </c>
      <c r="B1095" t="s">
        <v>799</v>
      </c>
      <c r="C1095">
        <v>64.5</v>
      </c>
      <c r="D1095">
        <v>19.64</v>
      </c>
      <c r="E1095">
        <f t="shared" ca="1" si="68"/>
        <v>63.797082316020365</v>
      </c>
      <c r="F1095">
        <f t="shared" ca="1" si="69"/>
        <v>0.70291768397963494</v>
      </c>
      <c r="G1095">
        <f t="shared" ca="1" si="70"/>
        <v>1.1018022430833364E-2</v>
      </c>
      <c r="H1095" t="str">
        <f t="shared" ca="1" si="71"/>
        <v>competitive</v>
      </c>
    </row>
    <row r="1096" spans="1:8" x14ac:dyDescent="0.3">
      <c r="A1096" t="s">
        <v>1384</v>
      </c>
      <c r="B1096" t="s">
        <v>1281</v>
      </c>
      <c r="C1096">
        <v>39.9</v>
      </c>
      <c r="D1096">
        <v>17.63</v>
      </c>
      <c r="E1096">
        <f t="shared" ca="1" si="68"/>
        <v>37.287824960596254</v>
      </c>
      <c r="F1096">
        <f t="shared" ca="1" si="69"/>
        <v>2.6121750394037448</v>
      </c>
      <c r="G1096">
        <f t="shared" ca="1" si="70"/>
        <v>7.0054368742723652E-2</v>
      </c>
      <c r="H1096" t="str">
        <f t="shared" ca="1" si="71"/>
        <v>overpriced</v>
      </c>
    </row>
    <row r="1097" spans="1:8" x14ac:dyDescent="0.3">
      <c r="A1097" t="s">
        <v>1385</v>
      </c>
      <c r="B1097" t="s">
        <v>1035</v>
      </c>
      <c r="C1097">
        <v>467</v>
      </c>
      <c r="D1097">
        <v>18.02</v>
      </c>
      <c r="E1097">
        <f t="shared" ca="1" si="68"/>
        <v>423.49530157666987</v>
      </c>
      <c r="F1097">
        <f t="shared" ca="1" si="69"/>
        <v>43.504698423330126</v>
      </c>
      <c r="G1097">
        <f t="shared" ca="1" si="70"/>
        <v>0.10272770031063498</v>
      </c>
      <c r="H1097" t="str">
        <f t="shared" ca="1" si="71"/>
        <v>overpriced</v>
      </c>
    </row>
    <row r="1098" spans="1:8" x14ac:dyDescent="0.3">
      <c r="A1098" t="s">
        <v>1386</v>
      </c>
      <c r="B1098" t="s">
        <v>111</v>
      </c>
      <c r="C1098">
        <v>260</v>
      </c>
      <c r="D1098">
        <v>37.119999999999997</v>
      </c>
      <c r="E1098">
        <f t="shared" ca="1" si="68"/>
        <v>246.60862301575622</v>
      </c>
      <c r="F1098">
        <f t="shared" ca="1" si="69"/>
        <v>13.391376984243777</v>
      </c>
      <c r="G1098">
        <f t="shared" ca="1" si="70"/>
        <v>5.430214410381011E-2</v>
      </c>
      <c r="H1098" t="str">
        <f t="shared" ca="1" si="71"/>
        <v>overpriced</v>
      </c>
    </row>
    <row r="1099" spans="1:8" x14ac:dyDescent="0.3">
      <c r="A1099" t="s">
        <v>548</v>
      </c>
      <c r="B1099" t="s">
        <v>549</v>
      </c>
      <c r="C1099">
        <v>99.99</v>
      </c>
      <c r="D1099">
        <v>15.01</v>
      </c>
      <c r="E1099">
        <f t="shared" ca="1" si="68"/>
        <v>90.29757287352578</v>
      </c>
      <c r="F1099">
        <f t="shared" ca="1" si="69"/>
        <v>9.6924271264742146</v>
      </c>
      <c r="G1099">
        <f t="shared" ca="1" si="70"/>
        <v>0.10733873367836583</v>
      </c>
      <c r="H1099" t="str">
        <f t="shared" ca="1" si="71"/>
        <v>overpriced</v>
      </c>
    </row>
    <row r="1100" spans="1:8" x14ac:dyDescent="0.3">
      <c r="A1100" t="s">
        <v>1387</v>
      </c>
      <c r="B1100" t="s">
        <v>211</v>
      </c>
      <c r="C1100">
        <v>57.9</v>
      </c>
      <c r="D1100">
        <v>16.170000000000002</v>
      </c>
      <c r="E1100">
        <f t="shared" ca="1" si="68"/>
        <v>58.244221883932255</v>
      </c>
      <c r="F1100">
        <f t="shared" ca="1" si="69"/>
        <v>-0.34422188393225639</v>
      </c>
      <c r="G1100">
        <f t="shared" ca="1" si="70"/>
        <v>-5.9099748060539607E-3</v>
      </c>
      <c r="H1100" t="str">
        <f t="shared" ca="1" si="71"/>
        <v>competitive</v>
      </c>
    </row>
    <row r="1101" spans="1:8" x14ac:dyDescent="0.3">
      <c r="A1101" t="s">
        <v>1388</v>
      </c>
      <c r="B1101" t="s">
        <v>1389</v>
      </c>
      <c r="C1101">
        <v>49.99</v>
      </c>
      <c r="D1101">
        <v>11.73</v>
      </c>
      <c r="E1101">
        <f t="shared" ca="1" si="68"/>
        <v>49.036178592489151</v>
      </c>
      <c r="F1101">
        <f t="shared" ca="1" si="69"/>
        <v>0.95382140751085132</v>
      </c>
      <c r="G1101">
        <f t="shared" ca="1" si="70"/>
        <v>1.9451381304352859E-2</v>
      </c>
      <c r="H1101" t="str">
        <f t="shared" ca="1" si="71"/>
        <v>competitive</v>
      </c>
    </row>
    <row r="1102" spans="1:8" x14ac:dyDescent="0.3">
      <c r="A1102" t="s">
        <v>1390</v>
      </c>
      <c r="B1102" t="s">
        <v>1391</v>
      </c>
      <c r="C1102">
        <v>118.13</v>
      </c>
      <c r="D1102">
        <v>17.02</v>
      </c>
      <c r="E1102">
        <f t="shared" ca="1" si="68"/>
        <v>109.85924522623898</v>
      </c>
      <c r="F1102">
        <f t="shared" ca="1" si="69"/>
        <v>8.2707547737610128</v>
      </c>
      <c r="G1102">
        <f t="shared" ca="1" si="70"/>
        <v>7.5285013625649877E-2</v>
      </c>
      <c r="H1102" t="str">
        <f t="shared" ca="1" si="71"/>
        <v>overpriced</v>
      </c>
    </row>
    <row r="1103" spans="1:8" x14ac:dyDescent="0.3">
      <c r="A1103" t="s">
        <v>1392</v>
      </c>
      <c r="B1103" t="s">
        <v>45</v>
      </c>
      <c r="C1103">
        <v>20.99</v>
      </c>
      <c r="D1103">
        <v>15.1</v>
      </c>
      <c r="E1103">
        <f t="shared" ca="1" si="68"/>
        <v>20.499200753718025</v>
      </c>
      <c r="F1103">
        <f t="shared" ca="1" si="69"/>
        <v>0.49079924628197347</v>
      </c>
      <c r="G1103">
        <f t="shared" ca="1" si="70"/>
        <v>2.3942360103622828E-2</v>
      </c>
      <c r="H1103" t="str">
        <f t="shared" ca="1" si="71"/>
        <v>competitive</v>
      </c>
    </row>
    <row r="1104" spans="1:8" x14ac:dyDescent="0.3">
      <c r="A1104" t="s">
        <v>28</v>
      </c>
      <c r="B1104" t="s">
        <v>29</v>
      </c>
      <c r="C1104">
        <v>89.9</v>
      </c>
      <c r="D1104">
        <v>15.38</v>
      </c>
      <c r="E1104">
        <f t="shared" ca="1" si="68"/>
        <v>86.590170083049841</v>
      </c>
      <c r="F1104">
        <f t="shared" ca="1" si="69"/>
        <v>3.3098299169501644</v>
      </c>
      <c r="G1104">
        <f t="shared" ca="1" si="70"/>
        <v>3.8224083793525987E-2</v>
      </c>
      <c r="H1104" t="str">
        <f t="shared" ca="1" si="71"/>
        <v>competitive</v>
      </c>
    </row>
    <row r="1105" spans="1:8" x14ac:dyDescent="0.3">
      <c r="A1105" t="s">
        <v>1393</v>
      </c>
      <c r="B1105" t="s">
        <v>350</v>
      </c>
      <c r="C1105">
        <v>15.99</v>
      </c>
      <c r="D1105">
        <v>7.39</v>
      </c>
      <c r="E1105">
        <f t="shared" ca="1" si="68"/>
        <v>16.981636589969632</v>
      </c>
      <c r="F1105">
        <f t="shared" ca="1" si="69"/>
        <v>-0.991636589969632</v>
      </c>
      <c r="G1105">
        <f t="shared" ca="1" si="70"/>
        <v>-5.8394642042649277E-2</v>
      </c>
      <c r="H1105" t="str">
        <f t="shared" ca="1" si="71"/>
        <v>underprived</v>
      </c>
    </row>
    <row r="1106" spans="1:8" x14ac:dyDescent="0.3">
      <c r="A1106" t="s">
        <v>982</v>
      </c>
      <c r="B1106" t="s">
        <v>983</v>
      </c>
      <c r="C1106">
        <v>12.88</v>
      </c>
      <c r="D1106">
        <v>7.87</v>
      </c>
      <c r="E1106">
        <f t="shared" ca="1" si="68"/>
        <v>12.326435275474321</v>
      </c>
      <c r="F1106">
        <f t="shared" ca="1" si="69"/>
        <v>0.55356472452568006</v>
      </c>
      <c r="G1106">
        <f t="shared" ca="1" si="70"/>
        <v>4.4908743862639468E-2</v>
      </c>
      <c r="H1106" t="str">
        <f t="shared" ca="1" si="71"/>
        <v>competitive</v>
      </c>
    </row>
    <row r="1107" spans="1:8" x14ac:dyDescent="0.3">
      <c r="A1107" t="s">
        <v>1394</v>
      </c>
      <c r="B1107" t="s">
        <v>1395</v>
      </c>
      <c r="C1107">
        <v>74.900000000000006</v>
      </c>
      <c r="D1107">
        <v>25.04</v>
      </c>
      <c r="E1107">
        <f t="shared" ca="1" si="68"/>
        <v>70.317909873294496</v>
      </c>
      <c r="F1107">
        <f t="shared" ca="1" si="69"/>
        <v>4.5820901267055092</v>
      </c>
      <c r="G1107">
        <f t="shared" ca="1" si="70"/>
        <v>6.5162490394864631E-2</v>
      </c>
      <c r="H1107" t="str">
        <f t="shared" ca="1" si="71"/>
        <v>overpriced</v>
      </c>
    </row>
    <row r="1108" spans="1:8" x14ac:dyDescent="0.3">
      <c r="A1108" t="s">
        <v>1396</v>
      </c>
      <c r="B1108" t="s">
        <v>823</v>
      </c>
      <c r="C1108">
        <v>12.97</v>
      </c>
      <c r="D1108">
        <v>14.1</v>
      </c>
      <c r="E1108">
        <f t="shared" ca="1" si="68"/>
        <v>12.716400078366444</v>
      </c>
      <c r="F1108">
        <f t="shared" ca="1" si="69"/>
        <v>0.25359992163355649</v>
      </c>
      <c r="G1108">
        <f t="shared" ca="1" si="70"/>
        <v>1.9942744807548873E-2</v>
      </c>
      <c r="H1108" t="str">
        <f t="shared" ca="1" si="71"/>
        <v>competitive</v>
      </c>
    </row>
    <row r="1109" spans="1:8" x14ac:dyDescent="0.3">
      <c r="A1109" t="s">
        <v>1397</v>
      </c>
      <c r="B1109" t="s">
        <v>1369</v>
      </c>
      <c r="C1109">
        <v>48.9</v>
      </c>
      <c r="D1109">
        <v>17.600000000000001</v>
      </c>
      <c r="E1109">
        <f t="shared" ca="1" si="68"/>
        <v>45.300094899532269</v>
      </c>
      <c r="F1109">
        <f t="shared" ca="1" si="69"/>
        <v>3.5999051004677298</v>
      </c>
      <c r="G1109">
        <f t="shared" ca="1" si="70"/>
        <v>7.9467937284716364E-2</v>
      </c>
      <c r="H1109" t="str">
        <f t="shared" ca="1" si="71"/>
        <v>overpriced</v>
      </c>
    </row>
    <row r="1110" spans="1:8" x14ac:dyDescent="0.3">
      <c r="A1110" t="s">
        <v>1398</v>
      </c>
      <c r="B1110" t="s">
        <v>1399</v>
      </c>
      <c r="C1110">
        <v>104.9</v>
      </c>
      <c r="D1110">
        <v>16.98</v>
      </c>
      <c r="E1110">
        <f t="shared" ca="1" si="68"/>
        <v>114.61311923110247</v>
      </c>
      <c r="F1110">
        <f t="shared" ca="1" si="69"/>
        <v>-9.7131192311024677</v>
      </c>
      <c r="G1110">
        <f t="shared" ca="1" si="70"/>
        <v>-8.4747010606327042E-2</v>
      </c>
      <c r="H1110" t="str">
        <f t="shared" ca="1" si="71"/>
        <v>underprived</v>
      </c>
    </row>
    <row r="1111" spans="1:8" x14ac:dyDescent="0.3">
      <c r="A1111" t="s">
        <v>1400</v>
      </c>
      <c r="B1111" t="s">
        <v>640</v>
      </c>
      <c r="C1111">
        <v>71.3</v>
      </c>
      <c r="D1111">
        <v>11.15</v>
      </c>
      <c r="E1111">
        <f t="shared" ca="1" si="68"/>
        <v>72.506238731404054</v>
      </c>
      <c r="F1111">
        <f t="shared" ca="1" si="69"/>
        <v>-1.2062387314040564</v>
      </c>
      <c r="G1111">
        <f t="shared" ca="1" si="70"/>
        <v>-1.6636344023753746E-2</v>
      </c>
      <c r="H1111" t="str">
        <f t="shared" ca="1" si="71"/>
        <v>competitive</v>
      </c>
    </row>
    <row r="1112" spans="1:8" x14ac:dyDescent="0.3">
      <c r="A1112" t="s">
        <v>1401</v>
      </c>
      <c r="B1112" t="s">
        <v>909</v>
      </c>
      <c r="C1112">
        <v>69.5</v>
      </c>
      <c r="D1112">
        <v>18.59</v>
      </c>
      <c r="E1112">
        <f t="shared" ca="1" si="68"/>
        <v>72.848836345222381</v>
      </c>
      <c r="F1112">
        <f t="shared" ca="1" si="69"/>
        <v>-3.3488363452223808</v>
      </c>
      <c r="G1112">
        <f t="shared" ca="1" si="70"/>
        <v>-4.5969661469300961E-2</v>
      </c>
      <c r="H1112" t="str">
        <f t="shared" ca="1" si="71"/>
        <v>competitive</v>
      </c>
    </row>
    <row r="1113" spans="1:8" x14ac:dyDescent="0.3">
      <c r="A1113" t="s">
        <v>1402</v>
      </c>
      <c r="B1113" t="s">
        <v>190</v>
      </c>
      <c r="C1113">
        <v>235</v>
      </c>
      <c r="D1113">
        <v>22.1</v>
      </c>
      <c r="E1113">
        <f t="shared" ca="1" si="68"/>
        <v>247.89973808702015</v>
      </c>
      <c r="F1113">
        <f t="shared" ca="1" si="69"/>
        <v>-12.899738087020154</v>
      </c>
      <c r="G1113">
        <f t="shared" ca="1" si="70"/>
        <v>-5.203611018940231E-2</v>
      </c>
      <c r="H1113" t="str">
        <f t="shared" ca="1" si="71"/>
        <v>underprived</v>
      </c>
    </row>
    <row r="1114" spans="1:8" x14ac:dyDescent="0.3">
      <c r="A1114" t="s">
        <v>78</v>
      </c>
      <c r="B1114" t="s">
        <v>79</v>
      </c>
      <c r="C1114">
        <v>99.99</v>
      </c>
      <c r="D1114">
        <v>11.9</v>
      </c>
      <c r="E1114">
        <f t="shared" ca="1" si="68"/>
        <v>93.672755803243533</v>
      </c>
      <c r="F1114">
        <f t="shared" ca="1" si="69"/>
        <v>6.3172441967564623</v>
      </c>
      <c r="G1114">
        <f t="shared" ca="1" si="70"/>
        <v>6.743950407550324E-2</v>
      </c>
      <c r="H1114" t="str">
        <f t="shared" ca="1" si="71"/>
        <v>overpriced</v>
      </c>
    </row>
    <row r="1115" spans="1:8" x14ac:dyDescent="0.3">
      <c r="A1115" t="s">
        <v>1403</v>
      </c>
      <c r="B1115" t="s">
        <v>71</v>
      </c>
      <c r="C1115">
        <v>13.65</v>
      </c>
      <c r="D1115">
        <v>11.85</v>
      </c>
      <c r="E1115">
        <f t="shared" ca="1" si="68"/>
        <v>14.460491974704931</v>
      </c>
      <c r="F1115">
        <f t="shared" ca="1" si="69"/>
        <v>-0.81049197470493084</v>
      </c>
      <c r="G1115">
        <f t="shared" ca="1" si="70"/>
        <v>-5.604871370370295E-2</v>
      </c>
      <c r="H1115" t="str">
        <f t="shared" ca="1" si="71"/>
        <v>underprived</v>
      </c>
    </row>
    <row r="1116" spans="1:8" x14ac:dyDescent="0.3">
      <c r="A1116" t="s">
        <v>1404</v>
      </c>
      <c r="B1116" t="s">
        <v>483</v>
      </c>
      <c r="C1116">
        <v>125</v>
      </c>
      <c r="D1116">
        <v>16.5</v>
      </c>
      <c r="E1116">
        <f t="shared" ca="1" si="68"/>
        <v>135.59517850566593</v>
      </c>
      <c r="F1116">
        <f t="shared" ca="1" si="69"/>
        <v>-10.595178505665928</v>
      </c>
      <c r="G1116">
        <f t="shared" ca="1" si="70"/>
        <v>-7.8138313046456895E-2</v>
      </c>
      <c r="H1116" t="str">
        <f t="shared" ca="1" si="71"/>
        <v>underprived</v>
      </c>
    </row>
    <row r="1117" spans="1:8" x14ac:dyDescent="0.3">
      <c r="A1117" t="s">
        <v>1405</v>
      </c>
      <c r="B1117" t="s">
        <v>1373</v>
      </c>
      <c r="C1117">
        <v>25.99</v>
      </c>
      <c r="D1117">
        <v>15.1</v>
      </c>
      <c r="E1117">
        <f t="shared" ca="1" si="68"/>
        <v>26.094241833268345</v>
      </c>
      <c r="F1117">
        <f t="shared" ca="1" si="69"/>
        <v>-0.1042418332683468</v>
      </c>
      <c r="G1117">
        <f t="shared" ca="1" si="70"/>
        <v>-3.9948213071071374E-3</v>
      </c>
      <c r="H1117" t="str">
        <f t="shared" ca="1" si="71"/>
        <v>competitive</v>
      </c>
    </row>
    <row r="1118" spans="1:8" x14ac:dyDescent="0.3">
      <c r="A1118" t="s">
        <v>1406</v>
      </c>
      <c r="B1118" t="s">
        <v>1407</v>
      </c>
      <c r="C1118">
        <v>99.87</v>
      </c>
      <c r="D1118">
        <v>17.14</v>
      </c>
      <c r="E1118">
        <f t="shared" ca="1" si="68"/>
        <v>95.419945266634983</v>
      </c>
      <c r="F1118">
        <f t="shared" ca="1" si="69"/>
        <v>4.4500547333650218</v>
      </c>
      <c r="G1118">
        <f t="shared" ca="1" si="70"/>
        <v>4.6636525738199625E-2</v>
      </c>
      <c r="H1118" t="str">
        <f t="shared" ca="1" si="71"/>
        <v>competitive</v>
      </c>
    </row>
    <row r="1119" spans="1:8" x14ac:dyDescent="0.3">
      <c r="A1119" t="s">
        <v>1408</v>
      </c>
      <c r="B1119" t="s">
        <v>223</v>
      </c>
      <c r="C1119">
        <v>110.32</v>
      </c>
      <c r="D1119">
        <v>15.87</v>
      </c>
      <c r="E1119">
        <f t="shared" ca="1" si="68"/>
        <v>117.09336095642065</v>
      </c>
      <c r="F1119">
        <f t="shared" ca="1" si="69"/>
        <v>-6.7733609564206603</v>
      </c>
      <c r="G1119">
        <f t="shared" ca="1" si="70"/>
        <v>-5.7845815519306371E-2</v>
      </c>
      <c r="H1119" t="str">
        <f t="shared" ca="1" si="71"/>
        <v>underprived</v>
      </c>
    </row>
    <row r="1120" spans="1:8" x14ac:dyDescent="0.3">
      <c r="A1120" t="s">
        <v>1408</v>
      </c>
      <c r="B1120" t="s">
        <v>223</v>
      </c>
      <c r="C1120">
        <v>110.32</v>
      </c>
      <c r="D1120">
        <v>15.87</v>
      </c>
      <c r="E1120">
        <f t="shared" ca="1" si="68"/>
        <v>101.59137250561555</v>
      </c>
      <c r="F1120">
        <f t="shared" ca="1" si="69"/>
        <v>8.7286274943844404</v>
      </c>
      <c r="G1120">
        <f t="shared" ca="1" si="70"/>
        <v>8.5918983857629819E-2</v>
      </c>
      <c r="H1120" t="str">
        <f t="shared" ca="1" si="71"/>
        <v>overpriced</v>
      </c>
    </row>
    <row r="1121" spans="1:8" x14ac:dyDescent="0.3">
      <c r="A1121" t="s">
        <v>1409</v>
      </c>
      <c r="B1121" t="s">
        <v>1410</v>
      </c>
      <c r="C1121">
        <v>29.9</v>
      </c>
      <c r="D1121">
        <v>18.309999999999999</v>
      </c>
      <c r="E1121">
        <f t="shared" ca="1" si="68"/>
        <v>29.35767174509391</v>
      </c>
      <c r="F1121">
        <f t="shared" ca="1" si="69"/>
        <v>0.5423282549060886</v>
      </c>
      <c r="G1121">
        <f t="shared" ca="1" si="70"/>
        <v>1.8473135731436861E-2</v>
      </c>
      <c r="H1121" t="str">
        <f t="shared" ca="1" si="71"/>
        <v>competitive</v>
      </c>
    </row>
    <row r="1122" spans="1:8" x14ac:dyDescent="0.3">
      <c r="A1122" t="s">
        <v>1411</v>
      </c>
      <c r="B1122" t="s">
        <v>1412</v>
      </c>
      <c r="C1122">
        <v>379</v>
      </c>
      <c r="D1122">
        <v>63.63</v>
      </c>
      <c r="E1122">
        <f t="shared" ca="1" si="68"/>
        <v>415.61746666165664</v>
      </c>
      <c r="F1122">
        <f t="shared" ca="1" si="69"/>
        <v>-36.617466661656636</v>
      </c>
      <c r="G1122">
        <f t="shared" ca="1" si="70"/>
        <v>-8.8103772336079328E-2</v>
      </c>
      <c r="H1122" t="str">
        <f t="shared" ca="1" si="71"/>
        <v>underprived</v>
      </c>
    </row>
    <row r="1123" spans="1:8" x14ac:dyDescent="0.3">
      <c r="A1123" t="s">
        <v>1413</v>
      </c>
      <c r="B1123" t="s">
        <v>1414</v>
      </c>
      <c r="C1123">
        <v>99.99</v>
      </c>
      <c r="D1123">
        <v>11.72</v>
      </c>
      <c r="E1123">
        <f t="shared" ca="1" si="68"/>
        <v>94.420143761591177</v>
      </c>
      <c r="F1123">
        <f t="shared" ca="1" si="69"/>
        <v>5.5698562384088177</v>
      </c>
      <c r="G1123">
        <f t="shared" ca="1" si="70"/>
        <v>5.8990126645777879E-2</v>
      </c>
      <c r="H1123" t="str">
        <f t="shared" ca="1" si="71"/>
        <v>overpriced</v>
      </c>
    </row>
    <row r="1124" spans="1:8" x14ac:dyDescent="0.3">
      <c r="A1124" t="s">
        <v>1415</v>
      </c>
      <c r="B1124" t="s">
        <v>1416</v>
      </c>
      <c r="C1124">
        <v>1350</v>
      </c>
      <c r="D1124">
        <v>294.76</v>
      </c>
      <c r="E1124">
        <f t="shared" ca="1" si="68"/>
        <v>1219.1754772556876</v>
      </c>
      <c r="F1124">
        <f t="shared" ca="1" si="69"/>
        <v>130.82452274431239</v>
      </c>
      <c r="G1124">
        <f t="shared" ca="1" si="70"/>
        <v>0.10730573669246764</v>
      </c>
      <c r="H1124" t="str">
        <f t="shared" ca="1" si="71"/>
        <v>overpriced</v>
      </c>
    </row>
    <row r="1125" spans="1:8" x14ac:dyDescent="0.3">
      <c r="A1125" t="s">
        <v>1417</v>
      </c>
      <c r="B1125" t="s">
        <v>1242</v>
      </c>
      <c r="C1125">
        <v>176.99</v>
      </c>
      <c r="D1125">
        <v>21.73</v>
      </c>
      <c r="E1125">
        <f t="shared" ca="1" si="68"/>
        <v>160.04636311281737</v>
      </c>
      <c r="F1125">
        <f t="shared" ca="1" si="69"/>
        <v>16.943636887182635</v>
      </c>
      <c r="G1125">
        <f t="shared" ca="1" si="70"/>
        <v>0.10586705350648294</v>
      </c>
      <c r="H1125" t="str">
        <f t="shared" ca="1" si="71"/>
        <v>overpriced</v>
      </c>
    </row>
    <row r="1126" spans="1:8" x14ac:dyDescent="0.3">
      <c r="A1126" t="s">
        <v>1003</v>
      </c>
      <c r="B1126" t="s">
        <v>1004</v>
      </c>
      <c r="C1126">
        <v>69.900000000000006</v>
      </c>
      <c r="D1126">
        <v>17.739999999999998</v>
      </c>
      <c r="E1126">
        <f t="shared" ca="1" si="68"/>
        <v>68.898942864778476</v>
      </c>
      <c r="F1126">
        <f t="shared" ca="1" si="69"/>
        <v>1.0010571352215294</v>
      </c>
      <c r="G1126">
        <f t="shared" ca="1" si="70"/>
        <v>1.4529354059701769E-2</v>
      </c>
      <c r="H1126" t="str">
        <f t="shared" ca="1" si="71"/>
        <v>competitive</v>
      </c>
    </row>
    <row r="1127" spans="1:8" x14ac:dyDescent="0.3">
      <c r="A1127" t="s">
        <v>1418</v>
      </c>
      <c r="B1127" t="s">
        <v>1419</v>
      </c>
      <c r="C1127">
        <v>34.99</v>
      </c>
      <c r="D1127">
        <v>15.23</v>
      </c>
      <c r="E1127">
        <f t="shared" ca="1" si="68"/>
        <v>32.896628271130304</v>
      </c>
      <c r="F1127">
        <f t="shared" ca="1" si="69"/>
        <v>2.0933717288696982</v>
      </c>
      <c r="G1127">
        <f t="shared" ca="1" si="70"/>
        <v>6.3634841589732677E-2</v>
      </c>
      <c r="H1127" t="str">
        <f t="shared" ca="1" si="71"/>
        <v>overpriced</v>
      </c>
    </row>
    <row r="1128" spans="1:8" x14ac:dyDescent="0.3">
      <c r="A1128" t="s">
        <v>1420</v>
      </c>
      <c r="B1128" t="s">
        <v>1033</v>
      </c>
      <c r="C1128">
        <v>69.900000000000006</v>
      </c>
      <c r="D1128">
        <v>16.25</v>
      </c>
      <c r="E1128">
        <f t="shared" ca="1" si="68"/>
        <v>68.000767114753245</v>
      </c>
      <c r="F1128">
        <f t="shared" ca="1" si="69"/>
        <v>1.8992328852467608</v>
      </c>
      <c r="G1128">
        <f t="shared" ca="1" si="70"/>
        <v>2.7929580294906834E-2</v>
      </c>
      <c r="H1128" t="str">
        <f t="shared" ca="1" si="71"/>
        <v>competitive</v>
      </c>
    </row>
    <row r="1129" spans="1:8" x14ac:dyDescent="0.3">
      <c r="A1129" t="s">
        <v>1421</v>
      </c>
      <c r="B1129" t="s">
        <v>747</v>
      </c>
      <c r="C1129">
        <v>29.9</v>
      </c>
      <c r="D1129">
        <v>8.27</v>
      </c>
      <c r="E1129">
        <f t="shared" ca="1" si="68"/>
        <v>27.373171305745025</v>
      </c>
      <c r="F1129">
        <f t="shared" ca="1" si="69"/>
        <v>2.5268286942549736</v>
      </c>
      <c r="G1129">
        <f t="shared" ca="1" si="70"/>
        <v>9.2310411023681718E-2</v>
      </c>
      <c r="H1129" t="str">
        <f t="shared" ca="1" si="71"/>
        <v>overpriced</v>
      </c>
    </row>
    <row r="1130" spans="1:8" x14ac:dyDescent="0.3">
      <c r="A1130" t="s">
        <v>1421</v>
      </c>
      <c r="B1130" t="s">
        <v>747</v>
      </c>
      <c r="C1130">
        <v>29.9</v>
      </c>
      <c r="D1130">
        <v>8.27</v>
      </c>
      <c r="E1130">
        <f t="shared" ca="1" si="68"/>
        <v>28.4900934472318</v>
      </c>
      <c r="F1130">
        <f t="shared" ca="1" si="69"/>
        <v>1.4099065527681987</v>
      </c>
      <c r="G1130">
        <f t="shared" ca="1" si="70"/>
        <v>4.9487607170526506E-2</v>
      </c>
      <c r="H1130" t="str">
        <f t="shared" ca="1" si="71"/>
        <v>competitive</v>
      </c>
    </row>
    <row r="1131" spans="1:8" x14ac:dyDescent="0.3">
      <c r="A1131" t="s">
        <v>1422</v>
      </c>
      <c r="B1131" t="s">
        <v>1423</v>
      </c>
      <c r="C1131">
        <v>30.49</v>
      </c>
      <c r="D1131">
        <v>18.23</v>
      </c>
      <c r="E1131">
        <f t="shared" ca="1" si="68"/>
        <v>32.246406555915755</v>
      </c>
      <c r="F1131">
        <f t="shared" ca="1" si="69"/>
        <v>-1.7564065559157562</v>
      </c>
      <c r="G1131">
        <f t="shared" ca="1" si="70"/>
        <v>-5.4468287896517115E-2</v>
      </c>
      <c r="H1131" t="str">
        <f t="shared" ca="1" si="71"/>
        <v>underprived</v>
      </c>
    </row>
    <row r="1132" spans="1:8" x14ac:dyDescent="0.3">
      <c r="A1132" t="s">
        <v>1422</v>
      </c>
      <c r="B1132" t="s">
        <v>1423</v>
      </c>
      <c r="C1132">
        <v>30.49</v>
      </c>
      <c r="D1132">
        <v>18.23</v>
      </c>
      <c r="E1132">
        <f t="shared" ca="1" si="68"/>
        <v>31.360666045122972</v>
      </c>
      <c r="F1132">
        <f t="shared" ca="1" si="69"/>
        <v>-0.87066604512297374</v>
      </c>
      <c r="G1132">
        <f t="shared" ca="1" si="70"/>
        <v>-2.7762995973051874E-2</v>
      </c>
      <c r="H1132" t="str">
        <f t="shared" ca="1" si="71"/>
        <v>competitive</v>
      </c>
    </row>
    <row r="1133" spans="1:8" x14ac:dyDescent="0.3">
      <c r="A1133" t="s">
        <v>1424</v>
      </c>
      <c r="B1133" t="s">
        <v>304</v>
      </c>
      <c r="C1133">
        <v>119.99</v>
      </c>
      <c r="D1133">
        <v>12.04</v>
      </c>
      <c r="E1133">
        <f t="shared" ca="1" si="68"/>
        <v>115.88619645486588</v>
      </c>
      <c r="F1133">
        <f t="shared" ca="1" si="69"/>
        <v>4.1038035451341131</v>
      </c>
      <c r="G1133">
        <f t="shared" ca="1" si="70"/>
        <v>3.5412358595550406E-2</v>
      </c>
      <c r="H1133" t="str">
        <f t="shared" ca="1" si="71"/>
        <v>competitive</v>
      </c>
    </row>
    <row r="1134" spans="1:8" x14ac:dyDescent="0.3">
      <c r="A1134" t="s">
        <v>1425</v>
      </c>
      <c r="B1134" t="s">
        <v>438</v>
      </c>
      <c r="C1134">
        <v>125</v>
      </c>
      <c r="D1134">
        <v>26.95</v>
      </c>
      <c r="E1134">
        <f t="shared" ca="1" si="68"/>
        <v>137.14875416985328</v>
      </c>
      <c r="F1134">
        <f t="shared" ca="1" si="69"/>
        <v>-12.148754169853277</v>
      </c>
      <c r="G1134">
        <f t="shared" ca="1" si="70"/>
        <v>-8.8580856919834125E-2</v>
      </c>
      <c r="H1134" t="str">
        <f t="shared" ca="1" si="71"/>
        <v>underprived</v>
      </c>
    </row>
    <row r="1135" spans="1:8" x14ac:dyDescent="0.3">
      <c r="A1135" t="s">
        <v>1425</v>
      </c>
      <c r="B1135" t="s">
        <v>438</v>
      </c>
      <c r="C1135">
        <v>125</v>
      </c>
      <c r="D1135">
        <v>26.95</v>
      </c>
      <c r="E1135">
        <f t="shared" ca="1" si="68"/>
        <v>132.12924862023723</v>
      </c>
      <c r="F1135">
        <f t="shared" ca="1" si="69"/>
        <v>-7.1292486202372345</v>
      </c>
      <c r="G1135">
        <f t="shared" ca="1" si="70"/>
        <v>-5.3956627277340782E-2</v>
      </c>
      <c r="H1135" t="str">
        <f t="shared" ca="1" si="71"/>
        <v>underprived</v>
      </c>
    </row>
    <row r="1136" spans="1:8" x14ac:dyDescent="0.3">
      <c r="A1136" t="s">
        <v>1425</v>
      </c>
      <c r="B1136" t="s">
        <v>438</v>
      </c>
      <c r="C1136">
        <v>125</v>
      </c>
      <c r="D1136">
        <v>26.95</v>
      </c>
      <c r="E1136">
        <f t="shared" ca="1" si="68"/>
        <v>120.12798181039543</v>
      </c>
      <c r="F1136">
        <f t="shared" ca="1" si="69"/>
        <v>4.8720181896045744</v>
      </c>
      <c r="G1136">
        <f t="shared" ca="1" si="70"/>
        <v>4.0556897037480805E-2</v>
      </c>
      <c r="H1136" t="str">
        <f t="shared" ca="1" si="71"/>
        <v>competitive</v>
      </c>
    </row>
    <row r="1137" spans="1:8" x14ac:dyDescent="0.3">
      <c r="A1137" t="s">
        <v>1425</v>
      </c>
      <c r="B1137" t="s">
        <v>438</v>
      </c>
      <c r="C1137">
        <v>125</v>
      </c>
      <c r="D1137">
        <v>26.95</v>
      </c>
      <c r="E1137">
        <f t="shared" ca="1" si="68"/>
        <v>120.51977864072943</v>
      </c>
      <c r="F1137">
        <f t="shared" ca="1" si="69"/>
        <v>4.4802213592705726</v>
      </c>
      <c r="G1137">
        <f t="shared" ca="1" si="70"/>
        <v>3.7174158547255171E-2</v>
      </c>
      <c r="H1137" t="str">
        <f t="shared" ca="1" si="71"/>
        <v>competitive</v>
      </c>
    </row>
    <row r="1138" spans="1:8" x14ac:dyDescent="0.3">
      <c r="A1138" t="s">
        <v>1425</v>
      </c>
      <c r="B1138" t="s">
        <v>438</v>
      </c>
      <c r="C1138">
        <v>125</v>
      </c>
      <c r="D1138">
        <v>26.95</v>
      </c>
      <c r="E1138">
        <f t="shared" ca="1" si="68"/>
        <v>123.35606577949103</v>
      </c>
      <c r="F1138">
        <f t="shared" ca="1" si="69"/>
        <v>1.6439342205089673</v>
      </c>
      <c r="G1138">
        <f t="shared" ca="1" si="70"/>
        <v>1.3326740036016008E-2</v>
      </c>
      <c r="H1138" t="str">
        <f t="shared" ca="1" si="71"/>
        <v>competitive</v>
      </c>
    </row>
    <row r="1139" spans="1:8" x14ac:dyDescent="0.3">
      <c r="A1139" t="s">
        <v>1426</v>
      </c>
      <c r="B1139" t="s">
        <v>649</v>
      </c>
      <c r="C1139">
        <v>259</v>
      </c>
      <c r="D1139">
        <v>39.58</v>
      </c>
      <c r="E1139">
        <f t="shared" ca="1" si="68"/>
        <v>251.13625006016989</v>
      </c>
      <c r="F1139">
        <f t="shared" ca="1" si="69"/>
        <v>7.8637499398301145</v>
      </c>
      <c r="G1139">
        <f t="shared" ca="1" si="70"/>
        <v>3.1312683604800315E-2</v>
      </c>
      <c r="H1139" t="str">
        <f t="shared" ca="1" si="71"/>
        <v>competitive</v>
      </c>
    </row>
    <row r="1140" spans="1:8" x14ac:dyDescent="0.3">
      <c r="A1140" t="s">
        <v>1427</v>
      </c>
      <c r="B1140" t="s">
        <v>1428</v>
      </c>
      <c r="C1140">
        <v>119.5</v>
      </c>
      <c r="D1140">
        <v>25.04</v>
      </c>
      <c r="E1140">
        <f t="shared" ca="1" si="68"/>
        <v>125.48613984474918</v>
      </c>
      <c r="F1140">
        <f t="shared" ca="1" si="69"/>
        <v>-5.9861398447491752</v>
      </c>
      <c r="G1140">
        <f t="shared" ca="1" si="70"/>
        <v>-4.7703593816458119E-2</v>
      </c>
      <c r="H1140" t="str">
        <f t="shared" ca="1" si="71"/>
        <v>competitive</v>
      </c>
    </row>
    <row r="1141" spans="1:8" x14ac:dyDescent="0.3">
      <c r="A1141" t="s">
        <v>1429</v>
      </c>
      <c r="B1141" t="s">
        <v>1430</v>
      </c>
      <c r="C1141">
        <v>89.99</v>
      </c>
      <c r="D1141">
        <v>22.5</v>
      </c>
      <c r="E1141">
        <f t="shared" ca="1" si="68"/>
        <v>88.572766936612595</v>
      </c>
      <c r="F1141">
        <f t="shared" ca="1" si="69"/>
        <v>1.4172330633873997</v>
      </c>
      <c r="G1141">
        <f t="shared" ca="1" si="70"/>
        <v>1.6000776676669111E-2</v>
      </c>
      <c r="H1141" t="str">
        <f t="shared" ca="1" si="71"/>
        <v>competitive</v>
      </c>
    </row>
    <row r="1142" spans="1:8" x14ac:dyDescent="0.3">
      <c r="A1142" t="s">
        <v>1431</v>
      </c>
      <c r="B1142" t="s">
        <v>622</v>
      </c>
      <c r="C1142">
        <v>205</v>
      </c>
      <c r="D1142">
        <v>26.27</v>
      </c>
      <c r="E1142">
        <f t="shared" ca="1" si="68"/>
        <v>187.14248076205925</v>
      </c>
      <c r="F1142">
        <f t="shared" ca="1" si="69"/>
        <v>17.85751923794075</v>
      </c>
      <c r="G1142">
        <f t="shared" ca="1" si="70"/>
        <v>9.5422050435708089E-2</v>
      </c>
      <c r="H1142" t="str">
        <f t="shared" ca="1" si="71"/>
        <v>overpriced</v>
      </c>
    </row>
    <row r="1143" spans="1:8" x14ac:dyDescent="0.3">
      <c r="A1143" t="s">
        <v>1432</v>
      </c>
      <c r="B1143" t="s">
        <v>1010</v>
      </c>
      <c r="C1143">
        <v>25</v>
      </c>
      <c r="D1143">
        <v>15.28</v>
      </c>
      <c r="E1143">
        <f t="shared" ca="1" si="68"/>
        <v>25.92706923148025</v>
      </c>
      <c r="F1143">
        <f t="shared" ca="1" si="69"/>
        <v>-0.92706923148024956</v>
      </c>
      <c r="G1143">
        <f t="shared" ca="1" si="70"/>
        <v>-3.5756807805897947E-2</v>
      </c>
      <c r="H1143" t="str">
        <f t="shared" ca="1" si="71"/>
        <v>competitive</v>
      </c>
    </row>
    <row r="1144" spans="1:8" x14ac:dyDescent="0.3">
      <c r="A1144" t="s">
        <v>1433</v>
      </c>
      <c r="B1144" t="s">
        <v>483</v>
      </c>
      <c r="C1144">
        <v>129.9</v>
      </c>
      <c r="D1144">
        <v>27.23</v>
      </c>
      <c r="E1144">
        <f t="shared" ca="1" si="68"/>
        <v>133.5066062540441</v>
      </c>
      <c r="F1144">
        <f t="shared" ca="1" si="69"/>
        <v>-3.6066062540440953</v>
      </c>
      <c r="G1144">
        <f t="shared" ca="1" si="70"/>
        <v>-2.7014440372944811E-2</v>
      </c>
      <c r="H1144" t="str">
        <f t="shared" ca="1" si="71"/>
        <v>competitive</v>
      </c>
    </row>
    <row r="1145" spans="1:8" x14ac:dyDescent="0.3">
      <c r="A1145" t="s">
        <v>463</v>
      </c>
      <c r="B1145" t="s">
        <v>942</v>
      </c>
      <c r="C1145">
        <v>47.65</v>
      </c>
      <c r="D1145">
        <v>7.39</v>
      </c>
      <c r="E1145">
        <f t="shared" ca="1" si="68"/>
        <v>45.499950357760113</v>
      </c>
      <c r="F1145">
        <f t="shared" ca="1" si="69"/>
        <v>2.1500496422398854</v>
      </c>
      <c r="G1145">
        <f t="shared" ca="1" si="70"/>
        <v>4.7253889846787266E-2</v>
      </c>
      <c r="H1145" t="str">
        <f t="shared" ca="1" si="71"/>
        <v>competitive</v>
      </c>
    </row>
    <row r="1146" spans="1:8" x14ac:dyDescent="0.3">
      <c r="A1146" t="s">
        <v>1434</v>
      </c>
      <c r="B1146" t="s">
        <v>654</v>
      </c>
      <c r="C1146">
        <v>42.99</v>
      </c>
      <c r="D1146">
        <v>15.23</v>
      </c>
      <c r="E1146">
        <f t="shared" ca="1" si="68"/>
        <v>40.964002583222609</v>
      </c>
      <c r="F1146">
        <f t="shared" ca="1" si="69"/>
        <v>2.0259974167773933</v>
      </c>
      <c r="G1146">
        <f t="shared" ca="1" si="70"/>
        <v>4.9457994556595636E-2</v>
      </c>
      <c r="H1146" t="str">
        <f t="shared" ca="1" si="71"/>
        <v>competitive</v>
      </c>
    </row>
    <row r="1147" spans="1:8" x14ac:dyDescent="0.3">
      <c r="A1147" t="s">
        <v>1435</v>
      </c>
      <c r="B1147" t="s">
        <v>173</v>
      </c>
      <c r="C1147">
        <v>35.9</v>
      </c>
      <c r="D1147">
        <v>15.11</v>
      </c>
      <c r="E1147">
        <f t="shared" ca="1" si="68"/>
        <v>36.192238803455339</v>
      </c>
      <c r="F1147">
        <f t="shared" ca="1" si="69"/>
        <v>-0.2922388034553407</v>
      </c>
      <c r="G1147">
        <f t="shared" ca="1" si="70"/>
        <v>-8.0746263043401482E-3</v>
      </c>
      <c r="H1147" t="str">
        <f t="shared" ca="1" si="71"/>
        <v>competitive</v>
      </c>
    </row>
    <row r="1148" spans="1:8" x14ac:dyDescent="0.3">
      <c r="A1148" t="s">
        <v>707</v>
      </c>
      <c r="B1148" t="s">
        <v>71</v>
      </c>
      <c r="C1148">
        <v>9</v>
      </c>
      <c r="D1148">
        <v>16.79</v>
      </c>
      <c r="E1148">
        <f t="shared" ca="1" si="68"/>
        <v>9.7470183588059491</v>
      </c>
      <c r="F1148">
        <f t="shared" ca="1" si="69"/>
        <v>-0.74701835880594913</v>
      </c>
      <c r="G1148">
        <f t="shared" ca="1" si="70"/>
        <v>-7.6640705014272906E-2</v>
      </c>
      <c r="H1148" t="str">
        <f t="shared" ca="1" si="71"/>
        <v>underprived</v>
      </c>
    </row>
    <row r="1149" spans="1:8" x14ac:dyDescent="0.3">
      <c r="A1149" t="s">
        <v>1436</v>
      </c>
      <c r="B1149" t="s">
        <v>1437</v>
      </c>
      <c r="C1149">
        <v>66.3</v>
      </c>
      <c r="D1149">
        <v>8.2899999999999991</v>
      </c>
      <c r="E1149">
        <f t="shared" ca="1" si="68"/>
        <v>63.948225084731533</v>
      </c>
      <c r="F1149">
        <f t="shared" ca="1" si="69"/>
        <v>2.3517749152684644</v>
      </c>
      <c r="G1149">
        <f t="shared" ca="1" si="70"/>
        <v>3.6776234401382647E-2</v>
      </c>
      <c r="H1149" t="str">
        <f t="shared" ca="1" si="71"/>
        <v>competitive</v>
      </c>
    </row>
    <row r="1150" spans="1:8" x14ac:dyDescent="0.3">
      <c r="A1150" t="s">
        <v>1438</v>
      </c>
      <c r="B1150" t="s">
        <v>1439</v>
      </c>
      <c r="C1150">
        <v>67.900000000000006</v>
      </c>
      <c r="D1150">
        <v>11.98</v>
      </c>
      <c r="E1150">
        <f t="shared" ca="1" si="68"/>
        <v>65.028496626170408</v>
      </c>
      <c r="F1150">
        <f t="shared" ca="1" si="69"/>
        <v>2.8715033738295972</v>
      </c>
      <c r="G1150">
        <f t="shared" ca="1" si="70"/>
        <v>4.4157615857814164E-2</v>
      </c>
      <c r="H1150" t="str">
        <f t="shared" ca="1" si="71"/>
        <v>competitive</v>
      </c>
    </row>
    <row r="1151" spans="1:8" x14ac:dyDescent="0.3">
      <c r="A1151" t="s">
        <v>1003</v>
      </c>
      <c r="B1151" t="s">
        <v>1004</v>
      </c>
      <c r="C1151">
        <v>68.900000000000006</v>
      </c>
      <c r="D1151">
        <v>11.5</v>
      </c>
      <c r="E1151">
        <f t="shared" ca="1" si="68"/>
        <v>68.818595234320469</v>
      </c>
      <c r="F1151">
        <f t="shared" ca="1" si="69"/>
        <v>8.1404765679536695E-2</v>
      </c>
      <c r="G1151">
        <f t="shared" ca="1" si="70"/>
        <v>1.1828890927279402E-3</v>
      </c>
      <c r="H1151" t="str">
        <f t="shared" ca="1" si="71"/>
        <v>competitive</v>
      </c>
    </row>
    <row r="1152" spans="1:8" x14ac:dyDescent="0.3">
      <c r="A1152" t="s">
        <v>1440</v>
      </c>
      <c r="B1152" t="s">
        <v>301</v>
      </c>
      <c r="C1152">
        <v>55.5</v>
      </c>
      <c r="D1152">
        <v>12.73</v>
      </c>
      <c r="E1152">
        <f t="shared" ca="1" si="68"/>
        <v>54.579455843363675</v>
      </c>
      <c r="F1152">
        <f t="shared" ca="1" si="69"/>
        <v>0.92054415663632483</v>
      </c>
      <c r="G1152">
        <f t="shared" ca="1" si="70"/>
        <v>1.6866129249770708E-2</v>
      </c>
      <c r="H1152" t="str">
        <f t="shared" ca="1" si="71"/>
        <v>competitive</v>
      </c>
    </row>
    <row r="1153" spans="1:8" x14ac:dyDescent="0.3">
      <c r="A1153" t="s">
        <v>86</v>
      </c>
      <c r="B1153" t="s">
        <v>29</v>
      </c>
      <c r="C1153">
        <v>87.28</v>
      </c>
      <c r="D1153">
        <v>6.53</v>
      </c>
      <c r="E1153">
        <f t="shared" ca="1" si="68"/>
        <v>81.141000066006441</v>
      </c>
      <c r="F1153">
        <f t="shared" ca="1" si="69"/>
        <v>6.1389999339935599</v>
      </c>
      <c r="G1153">
        <f t="shared" ca="1" si="70"/>
        <v>7.5658420884628194E-2</v>
      </c>
      <c r="H1153" t="str">
        <f t="shared" ca="1" si="71"/>
        <v>overpriced</v>
      </c>
    </row>
    <row r="1154" spans="1:8" x14ac:dyDescent="0.3">
      <c r="A1154" t="s">
        <v>1441</v>
      </c>
      <c r="B1154" t="s">
        <v>1442</v>
      </c>
      <c r="C1154">
        <v>29.9</v>
      </c>
      <c r="D1154">
        <v>14.1</v>
      </c>
      <c r="E1154">
        <f t="shared" ca="1" si="68"/>
        <v>29.769613218659</v>
      </c>
      <c r="F1154">
        <f t="shared" ca="1" si="69"/>
        <v>0.13038678134099868</v>
      </c>
      <c r="G1154">
        <f t="shared" ca="1" si="70"/>
        <v>4.3798614507787707E-3</v>
      </c>
      <c r="H1154" t="str">
        <f t="shared" ca="1" si="71"/>
        <v>competitive</v>
      </c>
    </row>
    <row r="1155" spans="1:8" x14ac:dyDescent="0.3">
      <c r="A1155" t="s">
        <v>1443</v>
      </c>
      <c r="B1155" t="s">
        <v>1444</v>
      </c>
      <c r="C1155">
        <v>158</v>
      </c>
      <c r="D1155">
        <v>16.21</v>
      </c>
      <c r="E1155">
        <f t="shared" ref="E1155:E1218" ca="1" si="72">C1155*(1+RAND()*0.2-0.1)</f>
        <v>173.04201175446576</v>
      </c>
      <c r="F1155">
        <f t="shared" ref="F1155:F1218" ca="1" si="73">C1155-E1155</f>
        <v>-15.042011754465761</v>
      </c>
      <c r="G1155">
        <f t="shared" ref="G1155:G1218" ca="1" si="74">(C1155-E1155)/E1155</f>
        <v>-8.6926935268235903E-2</v>
      </c>
      <c r="H1155" t="str">
        <f t="shared" ref="H1155:H1218" ca="1" si="75">IF(E1155="","competitive",IF(ABS(C1155-E1155)/E1155&lt;=0.05,"competitive",IF(C1155&gt;E1155,"overpriced","underprived")))</f>
        <v>underprived</v>
      </c>
    </row>
    <row r="1156" spans="1:8" x14ac:dyDescent="0.3">
      <c r="A1156" t="s">
        <v>1445</v>
      </c>
      <c r="B1156" t="s">
        <v>1446</v>
      </c>
      <c r="C1156">
        <v>174.9</v>
      </c>
      <c r="D1156">
        <v>35.74</v>
      </c>
      <c r="E1156">
        <f t="shared" ca="1" si="72"/>
        <v>162.09462791646652</v>
      </c>
      <c r="F1156">
        <f t="shared" ca="1" si="73"/>
        <v>12.805372083533484</v>
      </c>
      <c r="G1156">
        <f t="shared" ca="1" si="74"/>
        <v>7.8999361349177941E-2</v>
      </c>
      <c r="H1156" t="str">
        <f t="shared" ca="1" si="75"/>
        <v>overpriced</v>
      </c>
    </row>
    <row r="1157" spans="1:8" x14ac:dyDescent="0.3">
      <c r="A1157" t="s">
        <v>1447</v>
      </c>
      <c r="B1157" t="s">
        <v>1448</v>
      </c>
      <c r="C1157">
        <v>52.39</v>
      </c>
      <c r="D1157">
        <v>19.559999999999999</v>
      </c>
      <c r="E1157">
        <f t="shared" ca="1" si="72"/>
        <v>47.717037527974888</v>
      </c>
      <c r="F1157">
        <f t="shared" ca="1" si="73"/>
        <v>4.6729624720251124</v>
      </c>
      <c r="G1157">
        <f t="shared" ca="1" si="74"/>
        <v>9.7930691302566972E-2</v>
      </c>
      <c r="H1157" t="str">
        <f t="shared" ca="1" si="75"/>
        <v>overpriced</v>
      </c>
    </row>
    <row r="1158" spans="1:8" x14ac:dyDescent="0.3">
      <c r="A1158" t="s">
        <v>1449</v>
      </c>
      <c r="B1158" t="s">
        <v>286</v>
      </c>
      <c r="C1158">
        <v>139.9</v>
      </c>
      <c r="D1158">
        <v>8.23</v>
      </c>
      <c r="E1158">
        <f t="shared" ca="1" si="72"/>
        <v>150.13685499376743</v>
      </c>
      <c r="F1158">
        <f t="shared" ca="1" si="73"/>
        <v>-10.236854993767423</v>
      </c>
      <c r="G1158">
        <f t="shared" ca="1" si="74"/>
        <v>-6.8183491616314873E-2</v>
      </c>
      <c r="H1158" t="str">
        <f t="shared" ca="1" si="75"/>
        <v>underprived</v>
      </c>
    </row>
    <row r="1159" spans="1:8" x14ac:dyDescent="0.3">
      <c r="A1159" t="s">
        <v>1450</v>
      </c>
      <c r="B1159" t="s">
        <v>747</v>
      </c>
      <c r="C1159">
        <v>29.9</v>
      </c>
      <c r="D1159">
        <v>7.71</v>
      </c>
      <c r="E1159">
        <f t="shared" ca="1" si="72"/>
        <v>28.766761512623191</v>
      </c>
      <c r="F1159">
        <f t="shared" ca="1" si="73"/>
        <v>1.1332384873768078</v>
      </c>
      <c r="G1159">
        <f t="shared" ca="1" si="74"/>
        <v>3.9394023789557593E-2</v>
      </c>
      <c r="H1159" t="str">
        <f t="shared" ca="1" si="75"/>
        <v>competitive</v>
      </c>
    </row>
    <row r="1160" spans="1:8" x14ac:dyDescent="0.3">
      <c r="A1160" t="s">
        <v>1451</v>
      </c>
      <c r="B1160" t="s">
        <v>49</v>
      </c>
      <c r="C1160">
        <v>29</v>
      </c>
      <c r="D1160">
        <v>14.1</v>
      </c>
      <c r="E1160">
        <f t="shared" ca="1" si="72"/>
        <v>28.758940054462983</v>
      </c>
      <c r="F1160">
        <f t="shared" ca="1" si="73"/>
        <v>0.24105994553701748</v>
      </c>
      <c r="G1160">
        <f t="shared" ca="1" si="74"/>
        <v>8.3820872772259348E-3</v>
      </c>
      <c r="H1160" t="str">
        <f t="shared" ca="1" si="75"/>
        <v>competitive</v>
      </c>
    </row>
    <row r="1161" spans="1:8" x14ac:dyDescent="0.3">
      <c r="A1161" t="s">
        <v>1452</v>
      </c>
      <c r="B1161" t="s">
        <v>957</v>
      </c>
      <c r="C1161">
        <v>19.989999999999998</v>
      </c>
      <c r="D1161">
        <v>20.78</v>
      </c>
      <c r="E1161">
        <f t="shared" ca="1" si="72"/>
        <v>21.594984270606645</v>
      </c>
      <c r="F1161">
        <f t="shared" ca="1" si="73"/>
        <v>-1.6049842706066464</v>
      </c>
      <c r="G1161">
        <f t="shared" ca="1" si="74"/>
        <v>-7.4322085651677083E-2</v>
      </c>
      <c r="H1161" t="str">
        <f t="shared" ca="1" si="75"/>
        <v>underprived</v>
      </c>
    </row>
    <row r="1162" spans="1:8" x14ac:dyDescent="0.3">
      <c r="A1162" t="s">
        <v>1453</v>
      </c>
      <c r="B1162" t="s">
        <v>957</v>
      </c>
      <c r="C1162">
        <v>19.739999999999998</v>
      </c>
      <c r="D1162">
        <v>2.91</v>
      </c>
      <c r="E1162">
        <f t="shared" ca="1" si="72"/>
        <v>19.725098293834964</v>
      </c>
      <c r="F1162">
        <f t="shared" ca="1" si="73"/>
        <v>1.4901706165034057E-2</v>
      </c>
      <c r="G1162">
        <f t="shared" ca="1" si="74"/>
        <v>7.554692982032719E-4</v>
      </c>
      <c r="H1162" t="str">
        <f t="shared" ca="1" si="75"/>
        <v>competitive</v>
      </c>
    </row>
    <row r="1163" spans="1:8" x14ac:dyDescent="0.3">
      <c r="A1163" t="s">
        <v>734</v>
      </c>
      <c r="B1163" t="s">
        <v>31</v>
      </c>
      <c r="C1163">
        <v>59.9</v>
      </c>
      <c r="D1163">
        <v>17.670000000000002</v>
      </c>
      <c r="E1163">
        <f t="shared" ca="1" si="72"/>
        <v>64.063803918626988</v>
      </c>
      <c r="F1163">
        <f t="shared" ca="1" si="73"/>
        <v>-4.1638039186269893</v>
      </c>
      <c r="G1163">
        <f t="shared" ca="1" si="74"/>
        <v>-6.4994640716555002E-2</v>
      </c>
      <c r="H1163" t="str">
        <f t="shared" ca="1" si="75"/>
        <v>underprived</v>
      </c>
    </row>
    <row r="1164" spans="1:8" x14ac:dyDescent="0.3">
      <c r="A1164" t="s">
        <v>1454</v>
      </c>
      <c r="B1164" t="s">
        <v>113</v>
      </c>
      <c r="C1164">
        <v>105</v>
      </c>
      <c r="D1164">
        <v>21.57</v>
      </c>
      <c r="E1164">
        <f t="shared" ca="1" si="72"/>
        <v>108.71440451042086</v>
      </c>
      <c r="F1164">
        <f t="shared" ca="1" si="73"/>
        <v>-3.7144045104208629</v>
      </c>
      <c r="G1164">
        <f t="shared" ca="1" si="74"/>
        <v>-3.4166627018269849E-2</v>
      </c>
      <c r="H1164" t="str">
        <f t="shared" ca="1" si="75"/>
        <v>competitive</v>
      </c>
    </row>
    <row r="1165" spans="1:8" x14ac:dyDescent="0.3">
      <c r="A1165" t="s">
        <v>1455</v>
      </c>
      <c r="B1165" t="s">
        <v>186</v>
      </c>
      <c r="C1165">
        <v>49.99</v>
      </c>
      <c r="D1165">
        <v>11.73</v>
      </c>
      <c r="E1165">
        <f t="shared" ca="1" si="72"/>
        <v>49.313865567657899</v>
      </c>
      <c r="F1165">
        <f t="shared" ca="1" si="73"/>
        <v>0.6761344323421028</v>
      </c>
      <c r="G1165">
        <f t="shared" ca="1" si="74"/>
        <v>1.3710838210694644E-2</v>
      </c>
      <c r="H1165" t="str">
        <f t="shared" ca="1" si="75"/>
        <v>competitive</v>
      </c>
    </row>
    <row r="1166" spans="1:8" x14ac:dyDescent="0.3">
      <c r="A1166" t="s">
        <v>1456</v>
      </c>
      <c r="B1166" t="s">
        <v>1457</v>
      </c>
      <c r="C1166">
        <v>99.9</v>
      </c>
      <c r="D1166">
        <v>16.95</v>
      </c>
      <c r="E1166">
        <f t="shared" ca="1" si="72"/>
        <v>96.314892470943263</v>
      </c>
      <c r="F1166">
        <f t="shared" ca="1" si="73"/>
        <v>3.5851075290567422</v>
      </c>
      <c r="G1166">
        <f t="shared" ca="1" si="74"/>
        <v>3.7222774558340652E-2</v>
      </c>
      <c r="H1166" t="str">
        <f t="shared" ca="1" si="75"/>
        <v>competitive</v>
      </c>
    </row>
    <row r="1167" spans="1:8" x14ac:dyDescent="0.3">
      <c r="A1167" t="s">
        <v>1458</v>
      </c>
      <c r="B1167" t="s">
        <v>1459</v>
      </c>
      <c r="C1167">
        <v>189.9</v>
      </c>
      <c r="D1167">
        <v>49.85</v>
      </c>
      <c r="E1167">
        <f t="shared" ca="1" si="72"/>
        <v>186.84304557257624</v>
      </c>
      <c r="F1167">
        <f t="shared" ca="1" si="73"/>
        <v>3.0569544274237614</v>
      </c>
      <c r="G1167">
        <f t="shared" ca="1" si="74"/>
        <v>1.6361082201672504E-2</v>
      </c>
      <c r="H1167" t="str">
        <f t="shared" ca="1" si="75"/>
        <v>competitive</v>
      </c>
    </row>
    <row r="1168" spans="1:8" x14ac:dyDescent="0.3">
      <c r="A1168" t="s">
        <v>469</v>
      </c>
      <c r="B1168" t="s">
        <v>25</v>
      </c>
      <c r="C1168">
        <v>89.99</v>
      </c>
      <c r="D1168">
        <v>14.38</v>
      </c>
      <c r="E1168">
        <f t="shared" ca="1" si="72"/>
        <v>89.647216586319331</v>
      </c>
      <c r="F1168">
        <f t="shared" ca="1" si="73"/>
        <v>0.34278341368066378</v>
      </c>
      <c r="G1168">
        <f t="shared" ca="1" si="74"/>
        <v>3.8236927674224572E-3</v>
      </c>
      <c r="H1168" t="str">
        <f t="shared" ca="1" si="75"/>
        <v>competitive</v>
      </c>
    </row>
    <row r="1169" spans="1:8" x14ac:dyDescent="0.3">
      <c r="A1169" t="s">
        <v>1265</v>
      </c>
      <c r="B1169" t="s">
        <v>190</v>
      </c>
      <c r="C1169">
        <v>178</v>
      </c>
      <c r="D1169">
        <v>13.91</v>
      </c>
      <c r="E1169">
        <f t="shared" ca="1" si="72"/>
        <v>178.44201385341793</v>
      </c>
      <c r="F1169">
        <f t="shared" ca="1" si="73"/>
        <v>-0.44201385341793298</v>
      </c>
      <c r="G1169">
        <f t="shared" ca="1" si="74"/>
        <v>-2.4770727693144475E-3</v>
      </c>
      <c r="H1169" t="str">
        <f t="shared" ca="1" si="75"/>
        <v>competitive</v>
      </c>
    </row>
    <row r="1170" spans="1:8" x14ac:dyDescent="0.3">
      <c r="A1170" t="s">
        <v>616</v>
      </c>
      <c r="B1170" t="s">
        <v>111</v>
      </c>
      <c r="C1170">
        <v>35</v>
      </c>
      <c r="D1170">
        <v>13.08</v>
      </c>
      <c r="E1170">
        <f t="shared" ca="1" si="72"/>
        <v>31.563414603216714</v>
      </c>
      <c r="F1170">
        <f t="shared" ca="1" si="73"/>
        <v>3.4365853967832862</v>
      </c>
      <c r="G1170">
        <f t="shared" ca="1" si="74"/>
        <v>0.10887875852421412</v>
      </c>
      <c r="H1170" t="str">
        <f t="shared" ca="1" si="75"/>
        <v>overpriced</v>
      </c>
    </row>
    <row r="1171" spans="1:8" x14ac:dyDescent="0.3">
      <c r="A1171" t="s">
        <v>1460</v>
      </c>
      <c r="B1171" t="s">
        <v>1461</v>
      </c>
      <c r="C1171">
        <v>53.9</v>
      </c>
      <c r="D1171">
        <v>13.4</v>
      </c>
      <c r="E1171">
        <f t="shared" ca="1" si="72"/>
        <v>56.423120759911946</v>
      </c>
      <c r="F1171">
        <f t="shared" ca="1" si="73"/>
        <v>-2.5231207599119472</v>
      </c>
      <c r="G1171">
        <f t="shared" ca="1" si="74"/>
        <v>-4.4717851936055951E-2</v>
      </c>
      <c r="H1171" t="str">
        <f t="shared" ca="1" si="75"/>
        <v>competitive</v>
      </c>
    </row>
    <row r="1172" spans="1:8" x14ac:dyDescent="0.3">
      <c r="A1172" t="s">
        <v>379</v>
      </c>
      <c r="B1172" t="s">
        <v>1462</v>
      </c>
      <c r="C1172">
        <v>108</v>
      </c>
      <c r="D1172">
        <v>13.1</v>
      </c>
      <c r="E1172">
        <f t="shared" ca="1" si="72"/>
        <v>102.11317150510726</v>
      </c>
      <c r="F1172">
        <f t="shared" ca="1" si="73"/>
        <v>5.8868284948927396</v>
      </c>
      <c r="G1172">
        <f t="shared" ca="1" si="74"/>
        <v>5.7650040715837583E-2</v>
      </c>
      <c r="H1172" t="str">
        <f t="shared" ca="1" si="75"/>
        <v>overpriced</v>
      </c>
    </row>
    <row r="1173" spans="1:8" x14ac:dyDescent="0.3">
      <c r="A1173" t="s">
        <v>1463</v>
      </c>
      <c r="B1173" t="s">
        <v>768</v>
      </c>
      <c r="C1173">
        <v>13.99</v>
      </c>
      <c r="D1173">
        <v>22.85</v>
      </c>
      <c r="E1173">
        <f t="shared" ca="1" si="72"/>
        <v>14.913919977600042</v>
      </c>
      <c r="F1173">
        <f t="shared" ca="1" si="73"/>
        <v>-0.92391997760004152</v>
      </c>
      <c r="G1173">
        <f t="shared" ca="1" si="74"/>
        <v>-6.1950176679754408E-2</v>
      </c>
      <c r="H1173" t="str">
        <f t="shared" ca="1" si="75"/>
        <v>underprived</v>
      </c>
    </row>
    <row r="1174" spans="1:8" x14ac:dyDescent="0.3">
      <c r="A1174" t="s">
        <v>417</v>
      </c>
      <c r="B1174" t="s">
        <v>111</v>
      </c>
      <c r="C1174">
        <v>75</v>
      </c>
      <c r="D1174">
        <v>13.08</v>
      </c>
      <c r="E1174">
        <f t="shared" ca="1" si="72"/>
        <v>81.052956336426433</v>
      </c>
      <c r="F1174">
        <f t="shared" ca="1" si="73"/>
        <v>-6.0529563364264334</v>
      </c>
      <c r="G1174">
        <f t="shared" ca="1" si="74"/>
        <v>-7.4679032203371243E-2</v>
      </c>
      <c r="H1174" t="str">
        <f t="shared" ca="1" si="75"/>
        <v>underprived</v>
      </c>
    </row>
    <row r="1175" spans="1:8" x14ac:dyDescent="0.3">
      <c r="A1175" t="s">
        <v>417</v>
      </c>
      <c r="B1175" t="s">
        <v>111</v>
      </c>
      <c r="C1175">
        <v>75</v>
      </c>
      <c r="D1175">
        <v>13.08</v>
      </c>
      <c r="E1175">
        <f t="shared" ca="1" si="72"/>
        <v>80.607015277714211</v>
      </c>
      <c r="F1175">
        <f t="shared" ca="1" si="73"/>
        <v>-5.6070152777142113</v>
      </c>
      <c r="G1175">
        <f t="shared" ca="1" si="74"/>
        <v>-6.9559892006873611E-2</v>
      </c>
      <c r="H1175" t="str">
        <f t="shared" ca="1" si="75"/>
        <v>underprived</v>
      </c>
    </row>
    <row r="1176" spans="1:8" x14ac:dyDescent="0.3">
      <c r="A1176" t="s">
        <v>1464</v>
      </c>
      <c r="B1176" t="s">
        <v>309</v>
      </c>
      <c r="C1176">
        <v>97</v>
      </c>
      <c r="D1176">
        <v>17.93</v>
      </c>
      <c r="E1176">
        <f t="shared" ca="1" si="72"/>
        <v>96.420854285430565</v>
      </c>
      <c r="F1176">
        <f t="shared" ca="1" si="73"/>
        <v>0.5791457145694352</v>
      </c>
      <c r="G1176">
        <f t="shared" ca="1" si="74"/>
        <v>6.0064362513841119E-3</v>
      </c>
      <c r="H1176" t="str">
        <f t="shared" ca="1" si="75"/>
        <v>competitive</v>
      </c>
    </row>
    <row r="1177" spans="1:8" x14ac:dyDescent="0.3">
      <c r="A1177" t="s">
        <v>1465</v>
      </c>
      <c r="B1177" t="s">
        <v>246</v>
      </c>
      <c r="C1177">
        <v>120</v>
      </c>
      <c r="D1177">
        <v>16.600000000000001</v>
      </c>
      <c r="E1177">
        <f t="shared" ca="1" si="72"/>
        <v>129.6494236567483</v>
      </c>
      <c r="F1177">
        <f t="shared" ca="1" si="73"/>
        <v>-9.6494236567482972</v>
      </c>
      <c r="G1177">
        <f t="shared" ca="1" si="74"/>
        <v>-7.4427046295982832E-2</v>
      </c>
      <c r="H1177" t="str">
        <f t="shared" ca="1" si="75"/>
        <v>underprived</v>
      </c>
    </row>
    <row r="1178" spans="1:8" x14ac:dyDescent="0.3">
      <c r="A1178" t="s">
        <v>1466</v>
      </c>
      <c r="B1178" t="s">
        <v>1467</v>
      </c>
      <c r="C1178">
        <v>30.9</v>
      </c>
      <c r="D1178">
        <v>8.7200000000000006</v>
      </c>
      <c r="E1178">
        <f t="shared" ca="1" si="72"/>
        <v>28.143102859109746</v>
      </c>
      <c r="F1178">
        <f t="shared" ca="1" si="73"/>
        <v>2.7568971408902527</v>
      </c>
      <c r="G1178">
        <f t="shared" ca="1" si="74"/>
        <v>9.7959956821103061E-2</v>
      </c>
      <c r="H1178" t="str">
        <f t="shared" ca="1" si="75"/>
        <v>overpriced</v>
      </c>
    </row>
    <row r="1179" spans="1:8" x14ac:dyDescent="0.3">
      <c r="A1179" t="s">
        <v>1468</v>
      </c>
      <c r="B1179" t="s">
        <v>1469</v>
      </c>
      <c r="C1179">
        <v>126.79</v>
      </c>
      <c r="D1179">
        <v>33.75</v>
      </c>
      <c r="E1179">
        <f t="shared" ca="1" si="72"/>
        <v>138.44454802501232</v>
      </c>
      <c r="F1179">
        <f t="shared" ca="1" si="73"/>
        <v>-11.654548025012318</v>
      </c>
      <c r="G1179">
        <f t="shared" ca="1" si="74"/>
        <v>-8.4182065608728263E-2</v>
      </c>
      <c r="H1179" t="str">
        <f t="shared" ca="1" si="75"/>
        <v>underprived</v>
      </c>
    </row>
    <row r="1180" spans="1:8" x14ac:dyDescent="0.3">
      <c r="A1180" t="s">
        <v>1470</v>
      </c>
      <c r="B1180" t="s">
        <v>401</v>
      </c>
      <c r="C1180">
        <v>54</v>
      </c>
      <c r="D1180">
        <v>23.18</v>
      </c>
      <c r="E1180">
        <f t="shared" ca="1" si="72"/>
        <v>52.194092784482059</v>
      </c>
      <c r="F1180">
        <f t="shared" ca="1" si="73"/>
        <v>1.8059072155179408</v>
      </c>
      <c r="G1180">
        <f t="shared" ca="1" si="74"/>
        <v>3.4599839161393739E-2</v>
      </c>
      <c r="H1180" t="str">
        <f t="shared" ca="1" si="75"/>
        <v>competitive</v>
      </c>
    </row>
    <row r="1181" spans="1:8" x14ac:dyDescent="0.3">
      <c r="A1181" t="s">
        <v>1471</v>
      </c>
      <c r="B1181" t="s">
        <v>227</v>
      </c>
      <c r="C1181">
        <v>59.9</v>
      </c>
      <c r="D1181">
        <v>25.7</v>
      </c>
      <c r="E1181">
        <f t="shared" ca="1" si="72"/>
        <v>63.399881493091563</v>
      </c>
      <c r="F1181">
        <f t="shared" ca="1" si="73"/>
        <v>-3.4998814930915643</v>
      </c>
      <c r="G1181">
        <f t="shared" ca="1" si="74"/>
        <v>-5.5203281310122525E-2</v>
      </c>
      <c r="H1181" t="str">
        <f t="shared" ca="1" si="75"/>
        <v>underprived</v>
      </c>
    </row>
    <row r="1182" spans="1:8" x14ac:dyDescent="0.3">
      <c r="A1182" t="s">
        <v>1472</v>
      </c>
      <c r="B1182" t="s">
        <v>111</v>
      </c>
      <c r="C1182">
        <v>210</v>
      </c>
      <c r="D1182">
        <v>50</v>
      </c>
      <c r="E1182">
        <f t="shared" ca="1" si="72"/>
        <v>216.33357343588841</v>
      </c>
      <c r="F1182">
        <f t="shared" ca="1" si="73"/>
        <v>-6.333573435888411</v>
      </c>
      <c r="G1182">
        <f t="shared" ca="1" si="74"/>
        <v>-2.9276886316332212E-2</v>
      </c>
      <c r="H1182" t="str">
        <f t="shared" ca="1" si="75"/>
        <v>competitive</v>
      </c>
    </row>
    <row r="1183" spans="1:8" x14ac:dyDescent="0.3">
      <c r="A1183" t="s">
        <v>1473</v>
      </c>
      <c r="B1183" t="s">
        <v>1474</v>
      </c>
      <c r="C1183">
        <v>21.99</v>
      </c>
      <c r="D1183">
        <v>26.84</v>
      </c>
      <c r="E1183">
        <f t="shared" ca="1" si="72"/>
        <v>21.963753691927366</v>
      </c>
      <c r="F1183">
        <f t="shared" ca="1" si="73"/>
        <v>2.6246308072632729E-2</v>
      </c>
      <c r="G1183">
        <f t="shared" ca="1" si="74"/>
        <v>1.1949828085296454E-3</v>
      </c>
      <c r="H1183" t="str">
        <f t="shared" ca="1" si="75"/>
        <v>competitive</v>
      </c>
    </row>
    <row r="1184" spans="1:8" x14ac:dyDescent="0.3">
      <c r="A1184" t="s">
        <v>1475</v>
      </c>
      <c r="B1184" t="s">
        <v>257</v>
      </c>
      <c r="C1184">
        <v>75.900000000000006</v>
      </c>
      <c r="D1184">
        <v>1.8</v>
      </c>
      <c r="E1184">
        <f t="shared" ca="1" si="72"/>
        <v>82.271173373397474</v>
      </c>
      <c r="F1184">
        <f t="shared" ca="1" si="73"/>
        <v>-6.3711733733974683</v>
      </c>
      <c r="G1184">
        <f t="shared" ca="1" si="74"/>
        <v>-7.7441139006017845E-2</v>
      </c>
      <c r="H1184" t="str">
        <f t="shared" ca="1" si="75"/>
        <v>underprived</v>
      </c>
    </row>
    <row r="1185" spans="1:8" x14ac:dyDescent="0.3">
      <c r="A1185" t="s">
        <v>1476</v>
      </c>
      <c r="B1185" t="s">
        <v>644</v>
      </c>
      <c r="C1185">
        <v>195.9</v>
      </c>
      <c r="D1185">
        <v>8.6300000000000008</v>
      </c>
      <c r="E1185">
        <f t="shared" ca="1" si="72"/>
        <v>178.05562057963249</v>
      </c>
      <c r="F1185">
        <f t="shared" ca="1" si="73"/>
        <v>17.844379420367517</v>
      </c>
      <c r="G1185">
        <f t="shared" ca="1" si="74"/>
        <v>0.10021800694792955</v>
      </c>
      <c r="H1185" t="str">
        <f t="shared" ca="1" si="75"/>
        <v>overpriced</v>
      </c>
    </row>
    <row r="1186" spans="1:8" x14ac:dyDescent="0.3">
      <c r="A1186" t="s">
        <v>1477</v>
      </c>
      <c r="B1186" t="s">
        <v>1478</v>
      </c>
      <c r="C1186">
        <v>130</v>
      </c>
      <c r="D1186">
        <v>67.44</v>
      </c>
      <c r="E1186">
        <f t="shared" ca="1" si="72"/>
        <v>129.67619877325779</v>
      </c>
      <c r="F1186">
        <f t="shared" ca="1" si="73"/>
        <v>0.32380122674220502</v>
      </c>
      <c r="G1186">
        <f t="shared" ca="1" si="74"/>
        <v>2.4969981369393768E-3</v>
      </c>
      <c r="H1186" t="str">
        <f t="shared" ca="1" si="75"/>
        <v>competitive</v>
      </c>
    </row>
    <row r="1187" spans="1:8" x14ac:dyDescent="0.3">
      <c r="A1187" t="s">
        <v>1479</v>
      </c>
      <c r="B1187" t="s">
        <v>81</v>
      </c>
      <c r="C1187">
        <v>39.89</v>
      </c>
      <c r="D1187">
        <v>51</v>
      </c>
      <c r="E1187">
        <f t="shared" ca="1" si="72"/>
        <v>36.626223439791225</v>
      </c>
      <c r="F1187">
        <f t="shared" ca="1" si="73"/>
        <v>3.2637765602087754</v>
      </c>
      <c r="G1187">
        <f t="shared" ca="1" si="74"/>
        <v>8.9110376492242016E-2</v>
      </c>
      <c r="H1187" t="str">
        <f t="shared" ca="1" si="75"/>
        <v>overpriced</v>
      </c>
    </row>
    <row r="1188" spans="1:8" x14ac:dyDescent="0.3">
      <c r="A1188" t="s">
        <v>1480</v>
      </c>
      <c r="B1188" t="s">
        <v>45</v>
      </c>
      <c r="C1188">
        <v>29.99</v>
      </c>
      <c r="D1188">
        <v>14.1</v>
      </c>
      <c r="E1188">
        <f t="shared" ca="1" si="72"/>
        <v>30.722954167032245</v>
      </c>
      <c r="F1188">
        <f t="shared" ca="1" si="73"/>
        <v>-0.73295416703224703</v>
      </c>
      <c r="G1188">
        <f t="shared" ca="1" si="74"/>
        <v>-2.3856890943734672E-2</v>
      </c>
      <c r="H1188" t="str">
        <f t="shared" ca="1" si="75"/>
        <v>competitive</v>
      </c>
    </row>
    <row r="1189" spans="1:8" x14ac:dyDescent="0.3">
      <c r="A1189" t="s">
        <v>1320</v>
      </c>
      <c r="B1189" t="s">
        <v>1321</v>
      </c>
      <c r="C1189">
        <v>99</v>
      </c>
      <c r="D1189">
        <v>64.06</v>
      </c>
      <c r="E1189">
        <f t="shared" ca="1" si="72"/>
        <v>99.327344794535378</v>
      </c>
      <c r="F1189">
        <f t="shared" ca="1" si="73"/>
        <v>-0.32734479453537801</v>
      </c>
      <c r="G1189">
        <f t="shared" ca="1" si="74"/>
        <v>-3.2956160784576548E-3</v>
      </c>
      <c r="H1189" t="str">
        <f t="shared" ca="1" si="75"/>
        <v>competitive</v>
      </c>
    </row>
    <row r="1190" spans="1:8" x14ac:dyDescent="0.3">
      <c r="A1190" t="s">
        <v>829</v>
      </c>
      <c r="B1190" t="s">
        <v>227</v>
      </c>
      <c r="C1190">
        <v>292.89999999999998</v>
      </c>
      <c r="D1190">
        <v>16.22</v>
      </c>
      <c r="E1190">
        <f t="shared" ca="1" si="72"/>
        <v>293.29920814669293</v>
      </c>
      <c r="F1190">
        <f t="shared" ca="1" si="73"/>
        <v>-0.39920814669295623</v>
      </c>
      <c r="G1190">
        <f t="shared" ca="1" si="74"/>
        <v>-1.3610952079123691E-3</v>
      </c>
      <c r="H1190" t="str">
        <f t="shared" ca="1" si="75"/>
        <v>competitive</v>
      </c>
    </row>
    <row r="1191" spans="1:8" x14ac:dyDescent="0.3">
      <c r="A1191" t="s">
        <v>1481</v>
      </c>
      <c r="B1191" t="s">
        <v>1482</v>
      </c>
      <c r="C1191">
        <v>49.9</v>
      </c>
      <c r="D1191">
        <v>9.34</v>
      </c>
      <c r="E1191">
        <f t="shared" ca="1" si="72"/>
        <v>51.967840836892634</v>
      </c>
      <c r="F1191">
        <f t="shared" ca="1" si="73"/>
        <v>-2.0678408368926355</v>
      </c>
      <c r="G1191">
        <f t="shared" ca="1" si="74"/>
        <v>-3.9790778365851383E-2</v>
      </c>
      <c r="H1191" t="str">
        <f t="shared" ca="1" si="75"/>
        <v>competitive</v>
      </c>
    </row>
    <row r="1192" spans="1:8" x14ac:dyDescent="0.3">
      <c r="A1192" t="s">
        <v>1483</v>
      </c>
      <c r="B1192" t="s">
        <v>694</v>
      </c>
      <c r="C1192">
        <v>45.99</v>
      </c>
      <c r="D1192">
        <v>11.86</v>
      </c>
      <c r="E1192">
        <f t="shared" ca="1" si="72"/>
        <v>42.076240789502265</v>
      </c>
      <c r="F1192">
        <f t="shared" ca="1" si="73"/>
        <v>3.9137592104977372</v>
      </c>
      <c r="G1192">
        <f t="shared" ca="1" si="74"/>
        <v>9.3015895361883025E-2</v>
      </c>
      <c r="H1192" t="str">
        <f t="shared" ca="1" si="75"/>
        <v>overpriced</v>
      </c>
    </row>
    <row r="1193" spans="1:8" x14ac:dyDescent="0.3">
      <c r="A1193" t="s">
        <v>1484</v>
      </c>
      <c r="B1193" t="s">
        <v>322</v>
      </c>
      <c r="C1193">
        <v>32.9</v>
      </c>
      <c r="D1193">
        <v>17.600000000000001</v>
      </c>
      <c r="E1193">
        <f t="shared" ca="1" si="72"/>
        <v>31.093624145779305</v>
      </c>
      <c r="F1193">
        <f t="shared" ca="1" si="73"/>
        <v>1.8063758542206934</v>
      </c>
      <c r="G1193">
        <f t="shared" ca="1" si="74"/>
        <v>5.809473497690984E-2</v>
      </c>
      <c r="H1193" t="str">
        <f t="shared" ca="1" si="75"/>
        <v>overpriced</v>
      </c>
    </row>
    <row r="1194" spans="1:8" x14ac:dyDescent="0.3">
      <c r="A1194" t="s">
        <v>1485</v>
      </c>
      <c r="B1194" t="s">
        <v>85</v>
      </c>
      <c r="C1194">
        <v>189.89</v>
      </c>
      <c r="D1194">
        <v>17.09</v>
      </c>
      <c r="E1194">
        <f t="shared" ca="1" si="72"/>
        <v>207.95008887130678</v>
      </c>
      <c r="F1194">
        <f t="shared" ca="1" si="73"/>
        <v>-18.060088871306789</v>
      </c>
      <c r="G1194">
        <f t="shared" ca="1" si="74"/>
        <v>-8.6848190204350251E-2</v>
      </c>
      <c r="H1194" t="str">
        <f t="shared" ca="1" si="75"/>
        <v>underprived</v>
      </c>
    </row>
    <row r="1195" spans="1:8" x14ac:dyDescent="0.3">
      <c r="A1195" t="s">
        <v>1485</v>
      </c>
      <c r="B1195" t="s">
        <v>85</v>
      </c>
      <c r="C1195">
        <v>189.89</v>
      </c>
      <c r="D1195">
        <v>17.09</v>
      </c>
      <c r="E1195">
        <f t="shared" ca="1" si="72"/>
        <v>199.79855258065692</v>
      </c>
      <c r="F1195">
        <f t="shared" ca="1" si="73"/>
        <v>-9.9085525806569308</v>
      </c>
      <c r="G1195">
        <f t="shared" ca="1" si="74"/>
        <v>-4.9592714525081134E-2</v>
      </c>
      <c r="H1195" t="str">
        <f t="shared" ca="1" si="75"/>
        <v>competitive</v>
      </c>
    </row>
    <row r="1196" spans="1:8" x14ac:dyDescent="0.3">
      <c r="A1196" t="s">
        <v>1486</v>
      </c>
      <c r="B1196" t="s">
        <v>71</v>
      </c>
      <c r="C1196">
        <v>18.899999999999999</v>
      </c>
      <c r="D1196">
        <v>15.1</v>
      </c>
      <c r="E1196">
        <f t="shared" ca="1" si="72"/>
        <v>17.531873557816084</v>
      </c>
      <c r="F1196">
        <f t="shared" ca="1" si="73"/>
        <v>1.3681264421839145</v>
      </c>
      <c r="G1196">
        <f t="shared" ca="1" si="74"/>
        <v>7.8036522318744111E-2</v>
      </c>
      <c r="H1196" t="str">
        <f t="shared" ca="1" si="75"/>
        <v>overpriced</v>
      </c>
    </row>
    <row r="1197" spans="1:8" x14ac:dyDescent="0.3">
      <c r="A1197" t="s">
        <v>1487</v>
      </c>
      <c r="B1197" t="s">
        <v>71</v>
      </c>
      <c r="C1197">
        <v>9</v>
      </c>
      <c r="D1197">
        <v>7.78</v>
      </c>
      <c r="E1197">
        <f t="shared" ca="1" si="72"/>
        <v>8.7546963751036131</v>
      </c>
      <c r="F1197">
        <f t="shared" ca="1" si="73"/>
        <v>0.24530362489638691</v>
      </c>
      <c r="G1197">
        <f t="shared" ca="1" si="74"/>
        <v>2.8019661035187379E-2</v>
      </c>
      <c r="H1197" t="str">
        <f t="shared" ca="1" si="75"/>
        <v>competitive</v>
      </c>
    </row>
    <row r="1198" spans="1:8" x14ac:dyDescent="0.3">
      <c r="A1198" t="s">
        <v>1488</v>
      </c>
      <c r="B1198" t="s">
        <v>176</v>
      </c>
      <c r="C1198">
        <v>279.99</v>
      </c>
      <c r="D1198">
        <v>15.55</v>
      </c>
      <c r="E1198">
        <f t="shared" ca="1" si="72"/>
        <v>300.83319176183619</v>
      </c>
      <c r="F1198">
        <f t="shared" ca="1" si="73"/>
        <v>-20.843191761836181</v>
      </c>
      <c r="G1198">
        <f t="shared" ca="1" si="74"/>
        <v>-6.9284880567092921E-2</v>
      </c>
      <c r="H1198" t="str">
        <f t="shared" ca="1" si="75"/>
        <v>underprived</v>
      </c>
    </row>
    <row r="1199" spans="1:8" x14ac:dyDescent="0.3">
      <c r="A1199" t="s">
        <v>1489</v>
      </c>
      <c r="B1199" t="s">
        <v>229</v>
      </c>
      <c r="C1199">
        <v>79</v>
      </c>
      <c r="D1199">
        <v>13.57</v>
      </c>
      <c r="E1199">
        <f t="shared" ca="1" si="72"/>
        <v>82.202481959506784</v>
      </c>
      <c r="F1199">
        <f t="shared" ca="1" si="73"/>
        <v>-3.2024819595067839</v>
      </c>
      <c r="G1199">
        <f t="shared" ca="1" si="74"/>
        <v>-3.8958458226168127E-2</v>
      </c>
      <c r="H1199" t="str">
        <f t="shared" ca="1" si="75"/>
        <v>competitive</v>
      </c>
    </row>
    <row r="1200" spans="1:8" x14ac:dyDescent="0.3">
      <c r="A1200" t="s">
        <v>1490</v>
      </c>
      <c r="B1200" t="s">
        <v>993</v>
      </c>
      <c r="C1200">
        <v>109.9</v>
      </c>
      <c r="D1200">
        <v>43.91</v>
      </c>
      <c r="E1200">
        <f t="shared" ca="1" si="72"/>
        <v>113.25835356414848</v>
      </c>
      <c r="F1200">
        <f t="shared" ca="1" si="73"/>
        <v>-3.358353564148473</v>
      </c>
      <c r="G1200">
        <f t="shared" ca="1" si="74"/>
        <v>-2.9652148900843174E-2</v>
      </c>
      <c r="H1200" t="str">
        <f t="shared" ca="1" si="75"/>
        <v>competitive</v>
      </c>
    </row>
    <row r="1201" spans="1:8" x14ac:dyDescent="0.3">
      <c r="A1201" t="s">
        <v>1491</v>
      </c>
      <c r="B1201" t="s">
        <v>378</v>
      </c>
      <c r="C1201">
        <v>194.99</v>
      </c>
      <c r="D1201">
        <v>23.29</v>
      </c>
      <c r="E1201">
        <f t="shared" ca="1" si="72"/>
        <v>207.39468486912961</v>
      </c>
      <c r="F1201">
        <f t="shared" ca="1" si="73"/>
        <v>-12.404684869129596</v>
      </c>
      <c r="G1201">
        <f t="shared" ca="1" si="74"/>
        <v>-5.9811970962308954E-2</v>
      </c>
      <c r="H1201" t="str">
        <f t="shared" ca="1" si="75"/>
        <v>underprived</v>
      </c>
    </row>
    <row r="1202" spans="1:8" x14ac:dyDescent="0.3">
      <c r="A1202" t="s">
        <v>1492</v>
      </c>
      <c r="B1202" t="s">
        <v>1493</v>
      </c>
      <c r="C1202">
        <v>25.99</v>
      </c>
      <c r="D1202">
        <v>18.25</v>
      </c>
      <c r="E1202">
        <f t="shared" ca="1" si="72"/>
        <v>24.303953173235676</v>
      </c>
      <c r="F1202">
        <f t="shared" ca="1" si="73"/>
        <v>1.686046826764322</v>
      </c>
      <c r="G1202">
        <f t="shared" ca="1" si="74"/>
        <v>6.9373357278397538E-2</v>
      </c>
      <c r="H1202" t="str">
        <f t="shared" ca="1" si="75"/>
        <v>overpriced</v>
      </c>
    </row>
    <row r="1203" spans="1:8" x14ac:dyDescent="0.3">
      <c r="A1203" t="s">
        <v>1494</v>
      </c>
      <c r="B1203" t="s">
        <v>1149</v>
      </c>
      <c r="C1203">
        <v>19</v>
      </c>
      <c r="D1203">
        <v>18.25</v>
      </c>
      <c r="E1203">
        <f t="shared" ca="1" si="72"/>
        <v>17.446139014143458</v>
      </c>
      <c r="F1203">
        <f t="shared" ca="1" si="73"/>
        <v>1.5538609858565415</v>
      </c>
      <c r="G1203">
        <f t="shared" ca="1" si="74"/>
        <v>8.9066181611692857E-2</v>
      </c>
      <c r="H1203" t="str">
        <f t="shared" ca="1" si="75"/>
        <v>overpriced</v>
      </c>
    </row>
    <row r="1204" spans="1:8" x14ac:dyDescent="0.3">
      <c r="A1204" t="s">
        <v>1495</v>
      </c>
      <c r="B1204" t="s">
        <v>29</v>
      </c>
      <c r="C1204">
        <v>126</v>
      </c>
      <c r="D1204">
        <v>18.760000000000002</v>
      </c>
      <c r="E1204">
        <f t="shared" ca="1" si="72"/>
        <v>124.52913165920752</v>
      </c>
      <c r="F1204">
        <f t="shared" ca="1" si="73"/>
        <v>1.4708683407924781</v>
      </c>
      <c r="G1204">
        <f t="shared" ca="1" si="74"/>
        <v>1.1811439790793113E-2</v>
      </c>
      <c r="H1204" t="str">
        <f t="shared" ca="1" si="75"/>
        <v>competitive</v>
      </c>
    </row>
    <row r="1205" spans="1:8" x14ac:dyDescent="0.3">
      <c r="A1205" t="s">
        <v>1496</v>
      </c>
      <c r="B1205" t="s">
        <v>1497</v>
      </c>
      <c r="C1205">
        <v>319</v>
      </c>
      <c r="D1205">
        <v>20.77</v>
      </c>
      <c r="E1205">
        <f t="shared" ca="1" si="72"/>
        <v>289.6734085661069</v>
      </c>
      <c r="F1205">
        <f t="shared" ca="1" si="73"/>
        <v>29.3265914338931</v>
      </c>
      <c r="G1205">
        <f t="shared" ca="1" si="74"/>
        <v>0.1012401917699685</v>
      </c>
      <c r="H1205" t="str">
        <f t="shared" ca="1" si="75"/>
        <v>overpriced</v>
      </c>
    </row>
    <row r="1206" spans="1:8" x14ac:dyDescent="0.3">
      <c r="A1206" t="s">
        <v>1498</v>
      </c>
      <c r="B1206" t="s">
        <v>1499</v>
      </c>
      <c r="C1206">
        <v>135</v>
      </c>
      <c r="D1206">
        <v>15.83</v>
      </c>
      <c r="E1206">
        <f t="shared" ca="1" si="72"/>
        <v>143.14578925688758</v>
      </c>
      <c r="F1206">
        <f t="shared" ca="1" si="73"/>
        <v>-8.145789256887582</v>
      </c>
      <c r="G1206">
        <f t="shared" ca="1" si="74"/>
        <v>-5.6905545731905913E-2</v>
      </c>
      <c r="H1206" t="str">
        <f t="shared" ca="1" si="75"/>
        <v>underprived</v>
      </c>
    </row>
    <row r="1207" spans="1:8" x14ac:dyDescent="0.3">
      <c r="A1207" t="s">
        <v>1119</v>
      </c>
      <c r="B1207" t="s">
        <v>1120</v>
      </c>
      <c r="C1207">
        <v>135.9</v>
      </c>
      <c r="D1207">
        <v>23.67</v>
      </c>
      <c r="E1207">
        <f t="shared" ca="1" si="72"/>
        <v>146.57438443397382</v>
      </c>
      <c r="F1207">
        <f t="shared" ca="1" si="73"/>
        <v>-10.674384433973813</v>
      </c>
      <c r="G1207">
        <f t="shared" ca="1" si="74"/>
        <v>-7.2825715592769333E-2</v>
      </c>
      <c r="H1207" t="str">
        <f t="shared" ca="1" si="75"/>
        <v>underprived</v>
      </c>
    </row>
    <row r="1208" spans="1:8" x14ac:dyDescent="0.3">
      <c r="A1208" t="s">
        <v>1500</v>
      </c>
      <c r="B1208" t="s">
        <v>45</v>
      </c>
      <c r="C1208">
        <v>27.99</v>
      </c>
      <c r="D1208">
        <v>7.46</v>
      </c>
      <c r="E1208">
        <f t="shared" ca="1" si="72"/>
        <v>30.191737080548751</v>
      </c>
      <c r="F1208">
        <f t="shared" ca="1" si="73"/>
        <v>-2.2017370805487531</v>
      </c>
      <c r="G1208">
        <f t="shared" ca="1" si="74"/>
        <v>-7.2925154146471369E-2</v>
      </c>
      <c r="H1208" t="str">
        <f t="shared" ca="1" si="75"/>
        <v>underprived</v>
      </c>
    </row>
    <row r="1209" spans="1:8" x14ac:dyDescent="0.3">
      <c r="A1209" t="s">
        <v>1501</v>
      </c>
      <c r="B1209" t="s">
        <v>49</v>
      </c>
      <c r="C1209">
        <v>49</v>
      </c>
      <c r="D1209">
        <v>15.23</v>
      </c>
      <c r="E1209">
        <f t="shared" ca="1" si="72"/>
        <v>47.224362212373727</v>
      </c>
      <c r="F1209">
        <f t="shared" ca="1" si="73"/>
        <v>1.7756377876262732</v>
      </c>
      <c r="G1209">
        <f t="shared" ca="1" si="74"/>
        <v>3.7600037447642239E-2</v>
      </c>
      <c r="H1209" t="str">
        <f t="shared" ca="1" si="75"/>
        <v>competitive</v>
      </c>
    </row>
    <row r="1210" spans="1:8" x14ac:dyDescent="0.3">
      <c r="A1210" t="s">
        <v>1502</v>
      </c>
      <c r="B1210" t="s">
        <v>1503</v>
      </c>
      <c r="C1210">
        <v>44</v>
      </c>
      <c r="D1210">
        <v>9.99</v>
      </c>
      <c r="E1210">
        <f t="shared" ca="1" si="72"/>
        <v>48.044947554997428</v>
      </c>
      <c r="F1210">
        <f t="shared" ca="1" si="73"/>
        <v>-4.0449475549974281</v>
      </c>
      <c r="G1210">
        <f t="shared" ca="1" si="74"/>
        <v>-8.4190903744189638E-2</v>
      </c>
      <c r="H1210" t="str">
        <f t="shared" ca="1" si="75"/>
        <v>underprived</v>
      </c>
    </row>
    <row r="1211" spans="1:8" x14ac:dyDescent="0.3">
      <c r="A1211" t="s">
        <v>1504</v>
      </c>
      <c r="B1211" t="s">
        <v>1503</v>
      </c>
      <c r="C1211">
        <v>29.3</v>
      </c>
      <c r="D1211">
        <v>9.99</v>
      </c>
      <c r="E1211">
        <f t="shared" ca="1" si="72"/>
        <v>27.315650430025066</v>
      </c>
      <c r="F1211">
        <f t="shared" ca="1" si="73"/>
        <v>1.9843495699749347</v>
      </c>
      <c r="G1211">
        <f t="shared" ca="1" si="74"/>
        <v>7.264515172568467E-2</v>
      </c>
      <c r="H1211" t="str">
        <f t="shared" ca="1" si="75"/>
        <v>overpriced</v>
      </c>
    </row>
    <row r="1212" spans="1:8" x14ac:dyDescent="0.3">
      <c r="A1212" t="s">
        <v>1505</v>
      </c>
      <c r="B1212" t="s">
        <v>397</v>
      </c>
      <c r="C1212">
        <v>42.95</v>
      </c>
      <c r="D1212">
        <v>11.85</v>
      </c>
      <c r="E1212">
        <f t="shared" ca="1" si="72"/>
        <v>42.695646358480666</v>
      </c>
      <c r="F1212">
        <f t="shared" ca="1" si="73"/>
        <v>0.25435364151933726</v>
      </c>
      <c r="G1212">
        <f t="shared" ca="1" si="74"/>
        <v>5.9573671606640245E-3</v>
      </c>
      <c r="H1212" t="str">
        <f t="shared" ca="1" si="75"/>
        <v>competitive</v>
      </c>
    </row>
    <row r="1213" spans="1:8" x14ac:dyDescent="0.3">
      <c r="A1213" t="s">
        <v>1506</v>
      </c>
      <c r="B1213" t="s">
        <v>1507</v>
      </c>
      <c r="C1213">
        <v>329.9</v>
      </c>
      <c r="D1213">
        <v>57.59</v>
      </c>
      <c r="E1213">
        <f t="shared" ca="1" si="72"/>
        <v>362.75345322402592</v>
      </c>
      <c r="F1213">
        <f t="shared" ca="1" si="73"/>
        <v>-32.853453224025941</v>
      </c>
      <c r="G1213">
        <f t="shared" ca="1" si="74"/>
        <v>-9.0566893111660079E-2</v>
      </c>
      <c r="H1213" t="str">
        <f t="shared" ca="1" si="75"/>
        <v>underprived</v>
      </c>
    </row>
    <row r="1214" spans="1:8" x14ac:dyDescent="0.3">
      <c r="A1214" t="s">
        <v>1508</v>
      </c>
      <c r="B1214" t="s">
        <v>49</v>
      </c>
      <c r="C1214">
        <v>49</v>
      </c>
      <c r="D1214">
        <v>37.04</v>
      </c>
      <c r="E1214">
        <f t="shared" ca="1" si="72"/>
        <v>52.80493410339178</v>
      </c>
      <c r="F1214">
        <f t="shared" ca="1" si="73"/>
        <v>-3.8049341033917798</v>
      </c>
      <c r="G1214">
        <f t="shared" ca="1" si="74"/>
        <v>-7.2056412303095368E-2</v>
      </c>
      <c r="H1214" t="str">
        <f t="shared" ca="1" si="75"/>
        <v>underprived</v>
      </c>
    </row>
    <row r="1215" spans="1:8" x14ac:dyDescent="0.3">
      <c r="A1215" t="s">
        <v>566</v>
      </c>
      <c r="B1215" t="s">
        <v>21</v>
      </c>
      <c r="C1215">
        <v>36.85</v>
      </c>
      <c r="D1215">
        <v>11.74</v>
      </c>
      <c r="E1215">
        <f t="shared" ca="1" si="72"/>
        <v>34.352580129590095</v>
      </c>
      <c r="F1215">
        <f t="shared" ca="1" si="73"/>
        <v>2.4974198704099067</v>
      </c>
      <c r="G1215">
        <f t="shared" ca="1" si="74"/>
        <v>7.2699630158455486E-2</v>
      </c>
      <c r="H1215" t="str">
        <f t="shared" ca="1" si="75"/>
        <v>overpriced</v>
      </c>
    </row>
    <row r="1216" spans="1:8" x14ac:dyDescent="0.3">
      <c r="A1216" t="s">
        <v>1509</v>
      </c>
      <c r="B1216" t="s">
        <v>438</v>
      </c>
      <c r="C1216">
        <v>150</v>
      </c>
      <c r="D1216">
        <v>9.67</v>
      </c>
      <c r="E1216">
        <f t="shared" ca="1" si="72"/>
        <v>147.27712976595808</v>
      </c>
      <c r="F1216">
        <f t="shared" ca="1" si="73"/>
        <v>2.7228702340419204</v>
      </c>
      <c r="G1216">
        <f t="shared" ca="1" si="74"/>
        <v>1.8488072373279575E-2</v>
      </c>
      <c r="H1216" t="str">
        <f t="shared" ca="1" si="75"/>
        <v>competitive</v>
      </c>
    </row>
    <row r="1217" spans="1:8" x14ac:dyDescent="0.3">
      <c r="A1217" t="s">
        <v>1510</v>
      </c>
      <c r="B1217" t="s">
        <v>438</v>
      </c>
      <c r="C1217">
        <v>40</v>
      </c>
      <c r="D1217">
        <v>21.49</v>
      </c>
      <c r="E1217">
        <f t="shared" ca="1" si="72"/>
        <v>43.108363594922523</v>
      </c>
      <c r="F1217">
        <f t="shared" ca="1" si="73"/>
        <v>-3.1083635949225226</v>
      </c>
      <c r="G1217">
        <f t="shared" ca="1" si="74"/>
        <v>-7.2105812786840237E-2</v>
      </c>
      <c r="H1217" t="str">
        <f t="shared" ca="1" si="75"/>
        <v>underprived</v>
      </c>
    </row>
    <row r="1218" spans="1:8" x14ac:dyDescent="0.3">
      <c r="A1218" t="s">
        <v>432</v>
      </c>
      <c r="B1218" t="s">
        <v>49</v>
      </c>
      <c r="C1218">
        <v>49</v>
      </c>
      <c r="D1218">
        <v>13</v>
      </c>
      <c r="E1218">
        <f t="shared" ca="1" si="72"/>
        <v>53.823958705717764</v>
      </c>
      <c r="F1218">
        <f t="shared" ca="1" si="73"/>
        <v>-4.8239587057177644</v>
      </c>
      <c r="G1218">
        <f t="shared" ca="1" si="74"/>
        <v>-8.9624747449230477E-2</v>
      </c>
      <c r="H1218" t="str">
        <f t="shared" ca="1" si="75"/>
        <v>underprived</v>
      </c>
    </row>
    <row r="1219" spans="1:8" x14ac:dyDescent="0.3">
      <c r="A1219" t="s">
        <v>1511</v>
      </c>
      <c r="B1219" t="s">
        <v>239</v>
      </c>
      <c r="C1219">
        <v>99.99</v>
      </c>
      <c r="D1219">
        <v>23.69</v>
      </c>
      <c r="E1219">
        <f t="shared" ref="E1219:E1282" ca="1" si="76">C1219*(1+RAND()*0.2-0.1)</f>
        <v>91.177675156165719</v>
      </c>
      <c r="F1219">
        <f t="shared" ref="F1219:F1282" ca="1" si="77">C1219-E1219</f>
        <v>8.8123248438342756</v>
      </c>
      <c r="G1219">
        <f t="shared" ref="G1219:G1282" ca="1" si="78">(C1219-E1219)/E1219</f>
        <v>9.6650027857596216E-2</v>
      </c>
      <c r="H1219" t="str">
        <f t="shared" ref="H1219:H1282" ca="1" si="79">IF(E1219="","competitive",IF(ABS(C1219-E1219)/E1219&lt;=0.05,"competitive",IF(C1219&gt;E1219,"overpriced","underprived")))</f>
        <v>overpriced</v>
      </c>
    </row>
    <row r="1220" spans="1:8" x14ac:dyDescent="0.3">
      <c r="A1220" t="s">
        <v>1512</v>
      </c>
      <c r="B1220" t="s">
        <v>1513</v>
      </c>
      <c r="C1220">
        <v>39</v>
      </c>
      <c r="D1220">
        <v>16.11</v>
      </c>
      <c r="E1220">
        <f t="shared" ca="1" si="76"/>
        <v>40.150477450460926</v>
      </c>
      <c r="F1220">
        <f t="shared" ca="1" si="77"/>
        <v>-1.1504774504609259</v>
      </c>
      <c r="G1220">
        <f t="shared" ca="1" si="78"/>
        <v>-2.8654141208667456E-2</v>
      </c>
      <c r="H1220" t="str">
        <f t="shared" ca="1" si="79"/>
        <v>competitive</v>
      </c>
    </row>
    <row r="1221" spans="1:8" x14ac:dyDescent="0.3">
      <c r="A1221" t="s">
        <v>1514</v>
      </c>
      <c r="B1221" t="s">
        <v>1010</v>
      </c>
      <c r="C1221">
        <v>31</v>
      </c>
      <c r="D1221">
        <v>7.39</v>
      </c>
      <c r="E1221">
        <f t="shared" ca="1" si="76"/>
        <v>33.834351395371868</v>
      </c>
      <c r="F1221">
        <f t="shared" ca="1" si="77"/>
        <v>-2.8343513953718684</v>
      </c>
      <c r="G1221">
        <f t="shared" ca="1" si="78"/>
        <v>-8.3771412144155177E-2</v>
      </c>
      <c r="H1221" t="str">
        <f t="shared" ca="1" si="79"/>
        <v>underprived</v>
      </c>
    </row>
    <row r="1222" spans="1:8" x14ac:dyDescent="0.3">
      <c r="A1222" t="s">
        <v>1515</v>
      </c>
      <c r="B1222" t="s">
        <v>438</v>
      </c>
      <c r="C1222">
        <v>38.4</v>
      </c>
      <c r="D1222">
        <v>9.34</v>
      </c>
      <c r="E1222">
        <f t="shared" ca="1" si="76"/>
        <v>34.809593361430814</v>
      </c>
      <c r="F1222">
        <f t="shared" ca="1" si="77"/>
        <v>3.5904066385691848</v>
      </c>
      <c r="G1222">
        <f t="shared" ca="1" si="78"/>
        <v>0.10314417066840463</v>
      </c>
      <c r="H1222" t="str">
        <f t="shared" ca="1" si="79"/>
        <v>overpriced</v>
      </c>
    </row>
    <row r="1223" spans="1:8" x14ac:dyDescent="0.3">
      <c r="A1223" t="s">
        <v>1515</v>
      </c>
      <c r="B1223" t="s">
        <v>438</v>
      </c>
      <c r="C1223">
        <v>38.4</v>
      </c>
      <c r="D1223">
        <v>9.34</v>
      </c>
      <c r="E1223">
        <f t="shared" ca="1" si="76"/>
        <v>34.719280637571693</v>
      </c>
      <c r="F1223">
        <f t="shared" ca="1" si="77"/>
        <v>3.6807193624283059</v>
      </c>
      <c r="G1223">
        <f t="shared" ca="1" si="78"/>
        <v>0.10601369886809209</v>
      </c>
      <c r="H1223" t="str">
        <f t="shared" ca="1" si="79"/>
        <v>overpriced</v>
      </c>
    </row>
    <row r="1224" spans="1:8" x14ac:dyDescent="0.3">
      <c r="A1224" t="s">
        <v>1516</v>
      </c>
      <c r="B1224" t="s">
        <v>145</v>
      </c>
      <c r="C1224">
        <v>34.9</v>
      </c>
      <c r="D1224">
        <v>16.79</v>
      </c>
      <c r="E1224">
        <f t="shared" ca="1" si="76"/>
        <v>37.508717330186478</v>
      </c>
      <c r="F1224">
        <f t="shared" ca="1" si="77"/>
        <v>-2.6087173301864794</v>
      </c>
      <c r="G1224">
        <f t="shared" ca="1" si="78"/>
        <v>-6.954962781643885E-2</v>
      </c>
      <c r="H1224" t="str">
        <f t="shared" ca="1" si="79"/>
        <v>underprived</v>
      </c>
    </row>
    <row r="1225" spans="1:8" x14ac:dyDescent="0.3">
      <c r="A1225" t="s">
        <v>1517</v>
      </c>
      <c r="B1225" t="s">
        <v>1407</v>
      </c>
      <c r="C1225">
        <v>130</v>
      </c>
      <c r="D1225">
        <v>15.79</v>
      </c>
      <c r="E1225">
        <f t="shared" ca="1" si="76"/>
        <v>121.36017970441566</v>
      </c>
      <c r="F1225">
        <f t="shared" ca="1" si="77"/>
        <v>8.6398202955843431</v>
      </c>
      <c r="G1225">
        <f t="shared" ca="1" si="78"/>
        <v>7.1191558191718671E-2</v>
      </c>
      <c r="H1225" t="str">
        <f t="shared" ca="1" si="79"/>
        <v>overpriced</v>
      </c>
    </row>
    <row r="1226" spans="1:8" x14ac:dyDescent="0.3">
      <c r="A1226" t="s">
        <v>1518</v>
      </c>
      <c r="B1226" t="s">
        <v>1519</v>
      </c>
      <c r="C1226">
        <v>39.9</v>
      </c>
      <c r="D1226">
        <v>14.08</v>
      </c>
      <c r="E1226">
        <f t="shared" ca="1" si="76"/>
        <v>40.701688587758895</v>
      </c>
      <c r="F1226">
        <f t="shared" ca="1" si="77"/>
        <v>-0.80168858775889618</v>
      </c>
      <c r="G1226">
        <f t="shared" ca="1" si="78"/>
        <v>-1.9696691109764065E-2</v>
      </c>
      <c r="H1226" t="str">
        <f t="shared" ca="1" si="79"/>
        <v>competitive</v>
      </c>
    </row>
    <row r="1227" spans="1:8" x14ac:dyDescent="0.3">
      <c r="A1227" t="s">
        <v>1520</v>
      </c>
      <c r="B1227" t="s">
        <v>246</v>
      </c>
      <c r="C1227">
        <v>180</v>
      </c>
      <c r="D1227">
        <v>10.01</v>
      </c>
      <c r="E1227">
        <f t="shared" ca="1" si="76"/>
        <v>165.7152187011547</v>
      </c>
      <c r="F1227">
        <f t="shared" ca="1" si="77"/>
        <v>14.284781298845303</v>
      </c>
      <c r="G1227">
        <f t="shared" ca="1" si="78"/>
        <v>8.620078114011967E-2</v>
      </c>
      <c r="H1227" t="str">
        <f t="shared" ca="1" si="79"/>
        <v>overpriced</v>
      </c>
    </row>
    <row r="1228" spans="1:8" x14ac:dyDescent="0.3">
      <c r="A1228" t="s">
        <v>1521</v>
      </c>
      <c r="B1228" t="s">
        <v>1522</v>
      </c>
      <c r="C1228">
        <v>14</v>
      </c>
      <c r="D1228">
        <v>7.39</v>
      </c>
      <c r="E1228">
        <f t="shared" ca="1" si="76"/>
        <v>13.598243656390505</v>
      </c>
      <c r="F1228">
        <f t="shared" ca="1" si="77"/>
        <v>0.4017563436094953</v>
      </c>
      <c r="G1228">
        <f t="shared" ca="1" si="78"/>
        <v>2.9544723109935569E-2</v>
      </c>
      <c r="H1228" t="str">
        <f t="shared" ca="1" si="79"/>
        <v>competitive</v>
      </c>
    </row>
    <row r="1229" spans="1:8" x14ac:dyDescent="0.3">
      <c r="A1229" t="s">
        <v>1523</v>
      </c>
      <c r="B1229" t="s">
        <v>141</v>
      </c>
      <c r="C1229">
        <v>107.99</v>
      </c>
      <c r="D1229">
        <v>12.26</v>
      </c>
      <c r="E1229">
        <f t="shared" ca="1" si="76"/>
        <v>106.11680126586225</v>
      </c>
      <c r="F1229">
        <f t="shared" ca="1" si="77"/>
        <v>1.8731987341377447</v>
      </c>
      <c r="G1229">
        <f t="shared" ca="1" si="78"/>
        <v>1.7652235195486921E-2</v>
      </c>
      <c r="H1229" t="str">
        <f t="shared" ca="1" si="79"/>
        <v>competitive</v>
      </c>
    </row>
    <row r="1230" spans="1:8" x14ac:dyDescent="0.3">
      <c r="A1230" t="s">
        <v>1524</v>
      </c>
      <c r="B1230" t="s">
        <v>176</v>
      </c>
      <c r="C1230">
        <v>249.99</v>
      </c>
      <c r="D1230">
        <v>18.32</v>
      </c>
      <c r="E1230">
        <f t="shared" ca="1" si="76"/>
        <v>234.97585094481937</v>
      </c>
      <c r="F1230">
        <f t="shared" ca="1" si="77"/>
        <v>15.014149055180638</v>
      </c>
      <c r="G1230">
        <f t="shared" ca="1" si="78"/>
        <v>6.389656211397865E-2</v>
      </c>
      <c r="H1230" t="str">
        <f t="shared" ca="1" si="79"/>
        <v>overpriced</v>
      </c>
    </row>
    <row r="1231" spans="1:8" x14ac:dyDescent="0.3">
      <c r="A1231" t="s">
        <v>1525</v>
      </c>
      <c r="B1231" t="s">
        <v>378</v>
      </c>
      <c r="C1231">
        <v>218.36</v>
      </c>
      <c r="D1231">
        <v>13.03</v>
      </c>
      <c r="E1231">
        <f t="shared" ca="1" si="76"/>
        <v>240.04347999880892</v>
      </c>
      <c r="F1231">
        <f t="shared" ca="1" si="77"/>
        <v>-21.683479998808906</v>
      </c>
      <c r="G1231">
        <f t="shared" ca="1" si="78"/>
        <v>-9.0331468277815741E-2</v>
      </c>
      <c r="H1231" t="str">
        <f t="shared" ca="1" si="79"/>
        <v>underprived</v>
      </c>
    </row>
    <row r="1232" spans="1:8" x14ac:dyDescent="0.3">
      <c r="A1232" t="s">
        <v>843</v>
      </c>
      <c r="B1232" t="s">
        <v>25</v>
      </c>
      <c r="C1232">
        <v>58.99</v>
      </c>
      <c r="D1232">
        <v>13.49</v>
      </c>
      <c r="E1232">
        <f t="shared" ca="1" si="76"/>
        <v>59.461906177251279</v>
      </c>
      <c r="F1232">
        <f t="shared" ca="1" si="77"/>
        <v>-0.47190617725127737</v>
      </c>
      <c r="G1232">
        <f t="shared" ca="1" si="78"/>
        <v>-7.9362773175243005E-3</v>
      </c>
      <c r="H1232" t="str">
        <f t="shared" ca="1" si="79"/>
        <v>competitive</v>
      </c>
    </row>
    <row r="1233" spans="1:8" x14ac:dyDescent="0.3">
      <c r="A1233" t="s">
        <v>1526</v>
      </c>
      <c r="B1233" t="s">
        <v>1191</v>
      </c>
      <c r="C1233">
        <v>48.3</v>
      </c>
      <c r="D1233">
        <v>21.15</v>
      </c>
      <c r="E1233">
        <f t="shared" ca="1" si="76"/>
        <v>51.185153789875301</v>
      </c>
      <c r="F1233">
        <f t="shared" ca="1" si="77"/>
        <v>-2.8851537898753037</v>
      </c>
      <c r="G1233">
        <f t="shared" ca="1" si="78"/>
        <v>-5.6367004419277583E-2</v>
      </c>
      <c r="H1233" t="str">
        <f t="shared" ca="1" si="79"/>
        <v>underprived</v>
      </c>
    </row>
    <row r="1234" spans="1:8" x14ac:dyDescent="0.3">
      <c r="A1234" t="s">
        <v>1527</v>
      </c>
      <c r="B1234" t="s">
        <v>1528</v>
      </c>
      <c r="C1234">
        <v>454</v>
      </c>
      <c r="D1234">
        <v>15.52</v>
      </c>
      <c r="E1234">
        <f t="shared" ca="1" si="76"/>
        <v>445.7607174271007</v>
      </c>
      <c r="F1234">
        <f t="shared" ca="1" si="77"/>
        <v>8.2392825728992989</v>
      </c>
      <c r="G1234">
        <f t="shared" ca="1" si="78"/>
        <v>1.8483644365200808E-2</v>
      </c>
      <c r="H1234" t="str">
        <f t="shared" ca="1" si="79"/>
        <v>competitive</v>
      </c>
    </row>
    <row r="1235" spans="1:8" x14ac:dyDescent="0.3">
      <c r="A1235" t="s">
        <v>1529</v>
      </c>
      <c r="B1235" t="s">
        <v>49</v>
      </c>
      <c r="C1235">
        <v>69</v>
      </c>
      <c r="D1235">
        <v>18.579999999999998</v>
      </c>
      <c r="E1235">
        <f t="shared" ca="1" si="76"/>
        <v>70.594992559529302</v>
      </c>
      <c r="F1235">
        <f t="shared" ca="1" si="77"/>
        <v>-1.5949925595293024</v>
      </c>
      <c r="G1235">
        <f t="shared" ca="1" si="78"/>
        <v>-2.2593565091522931E-2</v>
      </c>
      <c r="H1235" t="str">
        <f t="shared" ca="1" si="79"/>
        <v>competitive</v>
      </c>
    </row>
    <row r="1236" spans="1:8" x14ac:dyDescent="0.3">
      <c r="A1236" t="s">
        <v>1530</v>
      </c>
      <c r="B1236" t="s">
        <v>29</v>
      </c>
      <c r="C1236">
        <v>126</v>
      </c>
      <c r="D1236">
        <v>13.9</v>
      </c>
      <c r="E1236">
        <f t="shared" ca="1" si="76"/>
        <v>128.35535965775478</v>
      </c>
      <c r="F1236">
        <f t="shared" ca="1" si="77"/>
        <v>-2.3553596577547751</v>
      </c>
      <c r="G1236">
        <f t="shared" ca="1" si="78"/>
        <v>-1.8350302348379362E-2</v>
      </c>
      <c r="H1236" t="str">
        <f t="shared" ca="1" si="79"/>
        <v>competitive</v>
      </c>
    </row>
    <row r="1237" spans="1:8" x14ac:dyDescent="0.3">
      <c r="A1237" t="s">
        <v>1531</v>
      </c>
      <c r="B1237" t="s">
        <v>149</v>
      </c>
      <c r="C1237">
        <v>109.99</v>
      </c>
      <c r="D1237">
        <v>27.21</v>
      </c>
      <c r="E1237">
        <f t="shared" ca="1" si="76"/>
        <v>115.79170150225444</v>
      </c>
      <c r="F1237">
        <f t="shared" ca="1" si="77"/>
        <v>-5.8017015022544456</v>
      </c>
      <c r="G1237">
        <f t="shared" ca="1" si="78"/>
        <v>-5.0104639857472752E-2</v>
      </c>
      <c r="H1237" t="str">
        <f t="shared" ca="1" si="79"/>
        <v>underprived</v>
      </c>
    </row>
    <row r="1238" spans="1:8" x14ac:dyDescent="0.3">
      <c r="A1238" t="s">
        <v>941</v>
      </c>
      <c r="B1238" t="s">
        <v>25</v>
      </c>
      <c r="C1238">
        <v>56.99</v>
      </c>
      <c r="D1238">
        <v>11.9</v>
      </c>
      <c r="E1238">
        <f t="shared" ca="1" si="76"/>
        <v>54.490755348935288</v>
      </c>
      <c r="F1238">
        <f t="shared" ca="1" si="77"/>
        <v>2.4992446510647142</v>
      </c>
      <c r="G1238">
        <f t="shared" ca="1" si="78"/>
        <v>4.5865480026118739E-2</v>
      </c>
      <c r="H1238" t="str">
        <f t="shared" ca="1" si="79"/>
        <v>competitive</v>
      </c>
    </row>
    <row r="1239" spans="1:8" x14ac:dyDescent="0.3">
      <c r="A1239" t="s">
        <v>1532</v>
      </c>
      <c r="B1239" t="s">
        <v>141</v>
      </c>
      <c r="C1239">
        <v>39.99</v>
      </c>
      <c r="D1239">
        <v>12.79</v>
      </c>
      <c r="E1239">
        <f t="shared" ca="1" si="76"/>
        <v>36.25136874133787</v>
      </c>
      <c r="F1239">
        <f t="shared" ca="1" si="77"/>
        <v>3.7386312586621315</v>
      </c>
      <c r="G1239">
        <f t="shared" ca="1" si="78"/>
        <v>0.10313076136071313</v>
      </c>
      <c r="H1239" t="str">
        <f t="shared" ca="1" si="79"/>
        <v>overpriced</v>
      </c>
    </row>
    <row r="1240" spans="1:8" x14ac:dyDescent="0.3">
      <c r="A1240" t="s">
        <v>1532</v>
      </c>
      <c r="B1240" t="s">
        <v>141</v>
      </c>
      <c r="C1240">
        <v>39.99</v>
      </c>
      <c r="D1240">
        <v>12.79</v>
      </c>
      <c r="E1240">
        <f t="shared" ca="1" si="76"/>
        <v>39.793761683816655</v>
      </c>
      <c r="F1240">
        <f t="shared" ca="1" si="77"/>
        <v>0.19623831618334719</v>
      </c>
      <c r="G1240">
        <f t="shared" ca="1" si="78"/>
        <v>4.9313839124476002E-3</v>
      </c>
      <c r="H1240" t="str">
        <f t="shared" ca="1" si="79"/>
        <v>competitive</v>
      </c>
    </row>
    <row r="1241" spans="1:8" x14ac:dyDescent="0.3">
      <c r="A1241" t="s">
        <v>1532</v>
      </c>
      <c r="B1241" t="s">
        <v>141</v>
      </c>
      <c r="C1241">
        <v>39.99</v>
      </c>
      <c r="D1241">
        <v>12.79</v>
      </c>
      <c r="E1241">
        <f t="shared" ca="1" si="76"/>
        <v>37.68509283809103</v>
      </c>
      <c r="F1241">
        <f t="shared" ca="1" si="77"/>
        <v>2.3049071619089716</v>
      </c>
      <c r="G1241">
        <f t="shared" ca="1" si="78"/>
        <v>6.1162305525203228E-2</v>
      </c>
      <c r="H1241" t="str">
        <f t="shared" ca="1" si="79"/>
        <v>overpriced</v>
      </c>
    </row>
    <row r="1242" spans="1:8" x14ac:dyDescent="0.3">
      <c r="A1242" t="s">
        <v>1532</v>
      </c>
      <c r="B1242" t="s">
        <v>141</v>
      </c>
      <c r="C1242">
        <v>39.99</v>
      </c>
      <c r="D1242">
        <v>12.79</v>
      </c>
      <c r="E1242">
        <f t="shared" ca="1" si="76"/>
        <v>38.089936838850299</v>
      </c>
      <c r="F1242">
        <f t="shared" ca="1" si="77"/>
        <v>1.9000631611497028</v>
      </c>
      <c r="G1242">
        <f t="shared" ca="1" si="78"/>
        <v>4.9883599681155417E-2</v>
      </c>
      <c r="H1242" t="str">
        <f t="shared" ca="1" si="79"/>
        <v>competitive</v>
      </c>
    </row>
    <row r="1243" spans="1:8" x14ac:dyDescent="0.3">
      <c r="A1243" t="s">
        <v>1532</v>
      </c>
      <c r="B1243" t="s">
        <v>141</v>
      </c>
      <c r="C1243">
        <v>39.99</v>
      </c>
      <c r="D1243">
        <v>12.79</v>
      </c>
      <c r="E1243">
        <f t="shared" ca="1" si="76"/>
        <v>43.302261626391058</v>
      </c>
      <c r="F1243">
        <f t="shared" ca="1" si="77"/>
        <v>-3.3122616263910558</v>
      </c>
      <c r="G1243">
        <f t="shared" ca="1" si="78"/>
        <v>-7.6491654292078826E-2</v>
      </c>
      <c r="H1243" t="str">
        <f t="shared" ca="1" si="79"/>
        <v>underprived</v>
      </c>
    </row>
    <row r="1244" spans="1:8" x14ac:dyDescent="0.3">
      <c r="A1244" t="s">
        <v>722</v>
      </c>
      <c r="B1244" t="s">
        <v>31</v>
      </c>
      <c r="C1244">
        <v>59.9</v>
      </c>
      <c r="D1244">
        <v>17.670000000000002</v>
      </c>
      <c r="E1244">
        <f t="shared" ca="1" si="76"/>
        <v>62.791805953615608</v>
      </c>
      <c r="F1244">
        <f t="shared" ca="1" si="77"/>
        <v>-2.8918059536156093</v>
      </c>
      <c r="G1244">
        <f t="shared" ca="1" si="78"/>
        <v>-4.605387454139781E-2</v>
      </c>
      <c r="H1244" t="str">
        <f t="shared" ca="1" si="79"/>
        <v>competitive</v>
      </c>
    </row>
    <row r="1245" spans="1:8" x14ac:dyDescent="0.3">
      <c r="A1245" t="s">
        <v>722</v>
      </c>
      <c r="B1245" t="s">
        <v>31</v>
      </c>
      <c r="C1245">
        <v>59.9</v>
      </c>
      <c r="D1245">
        <v>17.670000000000002</v>
      </c>
      <c r="E1245">
        <f t="shared" ca="1" si="76"/>
        <v>64.333922164965827</v>
      </c>
      <c r="F1245">
        <f t="shared" ca="1" si="77"/>
        <v>-4.4339221649658285</v>
      </c>
      <c r="G1245">
        <f t="shared" ca="1" si="78"/>
        <v>-6.892043910514753E-2</v>
      </c>
      <c r="H1245" t="str">
        <f t="shared" ca="1" si="79"/>
        <v>underprived</v>
      </c>
    </row>
    <row r="1246" spans="1:8" x14ac:dyDescent="0.3">
      <c r="A1246" t="s">
        <v>1533</v>
      </c>
      <c r="B1246" t="s">
        <v>103</v>
      </c>
      <c r="C1246">
        <v>149.99</v>
      </c>
      <c r="D1246">
        <v>23.93</v>
      </c>
      <c r="E1246">
        <f t="shared" ca="1" si="76"/>
        <v>140.01664624907838</v>
      </c>
      <c r="F1246">
        <f t="shared" ca="1" si="77"/>
        <v>9.9733537509216319</v>
      </c>
      <c r="G1246">
        <f t="shared" ca="1" si="78"/>
        <v>7.1229771731425681E-2</v>
      </c>
      <c r="H1246" t="str">
        <f t="shared" ca="1" si="79"/>
        <v>overpriced</v>
      </c>
    </row>
    <row r="1247" spans="1:8" x14ac:dyDescent="0.3">
      <c r="A1247" t="s">
        <v>1533</v>
      </c>
      <c r="B1247" t="s">
        <v>103</v>
      </c>
      <c r="C1247">
        <v>149.99</v>
      </c>
      <c r="D1247">
        <v>23.93</v>
      </c>
      <c r="E1247">
        <f t="shared" ca="1" si="76"/>
        <v>160.65860539344024</v>
      </c>
      <c r="F1247">
        <f t="shared" ca="1" si="77"/>
        <v>-10.668605393440231</v>
      </c>
      <c r="G1247">
        <f t="shared" ca="1" si="78"/>
        <v>-6.6405440077820038E-2</v>
      </c>
      <c r="H1247" t="str">
        <f t="shared" ca="1" si="79"/>
        <v>underprived</v>
      </c>
    </row>
    <row r="1248" spans="1:8" x14ac:dyDescent="0.3">
      <c r="A1248" t="s">
        <v>1534</v>
      </c>
      <c r="B1248" t="s">
        <v>1389</v>
      </c>
      <c r="C1248">
        <v>129.99</v>
      </c>
      <c r="D1248">
        <v>14.51</v>
      </c>
      <c r="E1248">
        <f t="shared" ca="1" si="76"/>
        <v>125.90208355512529</v>
      </c>
      <c r="F1248">
        <f t="shared" ca="1" si="77"/>
        <v>4.0879164448747218</v>
      </c>
      <c r="G1248">
        <f t="shared" ca="1" si="78"/>
        <v>3.2469013454291706E-2</v>
      </c>
      <c r="H1248" t="str">
        <f t="shared" ca="1" si="79"/>
        <v>competitive</v>
      </c>
    </row>
    <row r="1249" spans="1:8" x14ac:dyDescent="0.3">
      <c r="A1249" t="s">
        <v>1535</v>
      </c>
      <c r="B1249" t="s">
        <v>47</v>
      </c>
      <c r="C1249">
        <v>196.99</v>
      </c>
      <c r="D1249">
        <v>35.54</v>
      </c>
      <c r="E1249">
        <f t="shared" ca="1" si="76"/>
        <v>204.05856904149741</v>
      </c>
      <c r="F1249">
        <f t="shared" ca="1" si="77"/>
        <v>-7.0685690414973976</v>
      </c>
      <c r="G1249">
        <f t="shared" ca="1" si="78"/>
        <v>-3.4639903017549496E-2</v>
      </c>
      <c r="H1249" t="str">
        <f t="shared" ca="1" si="79"/>
        <v>competitive</v>
      </c>
    </row>
    <row r="1250" spans="1:8" x14ac:dyDescent="0.3">
      <c r="A1250" t="s">
        <v>885</v>
      </c>
      <c r="B1250" t="s">
        <v>109</v>
      </c>
      <c r="C1250">
        <v>24.99</v>
      </c>
      <c r="D1250">
        <v>18.23</v>
      </c>
      <c r="E1250">
        <f t="shared" ca="1" si="76"/>
        <v>23.907160091595141</v>
      </c>
      <c r="F1250">
        <f t="shared" ca="1" si="77"/>
        <v>1.082839908404857</v>
      </c>
      <c r="G1250">
        <f t="shared" ca="1" si="78"/>
        <v>4.5293539854009794E-2</v>
      </c>
      <c r="H1250" t="str">
        <f t="shared" ca="1" si="79"/>
        <v>competitive</v>
      </c>
    </row>
    <row r="1251" spans="1:8" x14ac:dyDescent="0.3">
      <c r="A1251" t="s">
        <v>580</v>
      </c>
      <c r="B1251" t="s">
        <v>273</v>
      </c>
      <c r="C1251">
        <v>69.989999999999995</v>
      </c>
      <c r="D1251">
        <v>31.87</v>
      </c>
      <c r="E1251">
        <f t="shared" ca="1" si="76"/>
        <v>74.28670381549243</v>
      </c>
      <c r="F1251">
        <f t="shared" ca="1" si="77"/>
        <v>-4.2967038154924353</v>
      </c>
      <c r="G1251">
        <f t="shared" ca="1" si="78"/>
        <v>-5.7839473213998779E-2</v>
      </c>
      <c r="H1251" t="str">
        <f t="shared" ca="1" si="79"/>
        <v>underprived</v>
      </c>
    </row>
    <row r="1252" spans="1:8" x14ac:dyDescent="0.3">
      <c r="A1252" t="s">
        <v>1143</v>
      </c>
      <c r="B1252" t="s">
        <v>390</v>
      </c>
      <c r="C1252">
        <v>49.95</v>
      </c>
      <c r="D1252">
        <v>10.52</v>
      </c>
      <c r="E1252">
        <f t="shared" ca="1" si="76"/>
        <v>50.866840531934798</v>
      </c>
      <c r="F1252">
        <f t="shared" ca="1" si="77"/>
        <v>-0.91684053193479542</v>
      </c>
      <c r="G1252">
        <f t="shared" ca="1" si="78"/>
        <v>-1.8024326306627834E-2</v>
      </c>
      <c r="H1252" t="str">
        <f t="shared" ca="1" si="79"/>
        <v>competitive</v>
      </c>
    </row>
    <row r="1253" spans="1:8" x14ac:dyDescent="0.3">
      <c r="A1253" t="s">
        <v>1536</v>
      </c>
      <c r="B1253" t="s">
        <v>1066</v>
      </c>
      <c r="C1253">
        <v>116.9</v>
      </c>
      <c r="D1253">
        <v>13.16</v>
      </c>
      <c r="E1253">
        <f t="shared" ca="1" si="76"/>
        <v>124.52368936218257</v>
      </c>
      <c r="F1253">
        <f t="shared" ca="1" si="77"/>
        <v>-7.6236893621825601</v>
      </c>
      <c r="G1253">
        <f t="shared" ca="1" si="78"/>
        <v>-6.1222803478049287E-2</v>
      </c>
      <c r="H1253" t="str">
        <f t="shared" ca="1" si="79"/>
        <v>underprived</v>
      </c>
    </row>
    <row r="1254" spans="1:8" x14ac:dyDescent="0.3">
      <c r="A1254" t="s">
        <v>1537</v>
      </c>
      <c r="B1254" t="s">
        <v>998</v>
      </c>
      <c r="C1254">
        <v>19</v>
      </c>
      <c r="D1254">
        <v>8.8800000000000008</v>
      </c>
      <c r="E1254">
        <f t="shared" ca="1" si="76"/>
        <v>19.793243991261008</v>
      </c>
      <c r="F1254">
        <f t="shared" ca="1" si="77"/>
        <v>-0.79324399126100786</v>
      </c>
      <c r="G1254">
        <f t="shared" ca="1" si="78"/>
        <v>-4.0076502447564236E-2</v>
      </c>
      <c r="H1254" t="str">
        <f t="shared" ca="1" si="79"/>
        <v>competitive</v>
      </c>
    </row>
    <row r="1255" spans="1:8" x14ac:dyDescent="0.3">
      <c r="A1255" t="s">
        <v>1537</v>
      </c>
      <c r="B1255" t="s">
        <v>998</v>
      </c>
      <c r="C1255">
        <v>19</v>
      </c>
      <c r="D1255">
        <v>8.8800000000000008</v>
      </c>
      <c r="E1255">
        <f t="shared" ca="1" si="76"/>
        <v>19.640618318611505</v>
      </c>
      <c r="F1255">
        <f t="shared" ca="1" si="77"/>
        <v>-0.64061831861150509</v>
      </c>
      <c r="G1255">
        <f t="shared" ca="1" si="78"/>
        <v>-3.2617013793524684E-2</v>
      </c>
      <c r="H1255" t="str">
        <f t="shared" ca="1" si="79"/>
        <v>competitive</v>
      </c>
    </row>
    <row r="1256" spans="1:8" x14ac:dyDescent="0.3">
      <c r="A1256" t="s">
        <v>1538</v>
      </c>
      <c r="B1256" t="s">
        <v>558</v>
      </c>
      <c r="C1256">
        <v>219</v>
      </c>
      <c r="D1256">
        <v>45.38</v>
      </c>
      <c r="E1256">
        <f t="shared" ca="1" si="76"/>
        <v>216.80049451259697</v>
      </c>
      <c r="F1256">
        <f t="shared" ca="1" si="77"/>
        <v>2.1995054874030302</v>
      </c>
      <c r="G1256">
        <f t="shared" ca="1" si="78"/>
        <v>1.0145297372812175E-2</v>
      </c>
      <c r="H1256" t="str">
        <f t="shared" ca="1" si="79"/>
        <v>competitive</v>
      </c>
    </row>
    <row r="1257" spans="1:8" x14ac:dyDescent="0.3">
      <c r="A1257" t="s">
        <v>1539</v>
      </c>
      <c r="B1257" t="s">
        <v>1540</v>
      </c>
      <c r="C1257">
        <v>89.9</v>
      </c>
      <c r="D1257">
        <v>23.56</v>
      </c>
      <c r="E1257">
        <f t="shared" ca="1" si="76"/>
        <v>93.146038001285035</v>
      </c>
      <c r="F1257">
        <f t="shared" ca="1" si="77"/>
        <v>-3.2460380012850294</v>
      </c>
      <c r="G1257">
        <f t="shared" ca="1" si="78"/>
        <v>-3.4848911139304148E-2</v>
      </c>
      <c r="H1257" t="str">
        <f t="shared" ca="1" si="79"/>
        <v>competitive</v>
      </c>
    </row>
    <row r="1258" spans="1:8" x14ac:dyDescent="0.3">
      <c r="A1258" t="s">
        <v>1541</v>
      </c>
      <c r="B1258" t="s">
        <v>1437</v>
      </c>
      <c r="C1258">
        <v>59.9</v>
      </c>
      <c r="D1258">
        <v>7.78</v>
      </c>
      <c r="E1258">
        <f t="shared" ca="1" si="76"/>
        <v>58.60794757353122</v>
      </c>
      <c r="F1258">
        <f t="shared" ca="1" si="77"/>
        <v>1.2920524264687785</v>
      </c>
      <c r="G1258">
        <f t="shared" ca="1" si="78"/>
        <v>2.2045686292763149E-2</v>
      </c>
      <c r="H1258" t="str">
        <f t="shared" ca="1" si="79"/>
        <v>competitive</v>
      </c>
    </row>
    <row r="1259" spans="1:8" x14ac:dyDescent="0.3">
      <c r="A1259" t="s">
        <v>1542</v>
      </c>
      <c r="B1259" t="s">
        <v>657</v>
      </c>
      <c r="C1259">
        <v>84.9</v>
      </c>
      <c r="D1259">
        <v>17.84</v>
      </c>
      <c r="E1259">
        <f t="shared" ca="1" si="76"/>
        <v>82.46822437194119</v>
      </c>
      <c r="F1259">
        <f t="shared" ca="1" si="77"/>
        <v>2.4317756280588156</v>
      </c>
      <c r="G1259">
        <f t="shared" ca="1" si="78"/>
        <v>2.9487425570013822E-2</v>
      </c>
      <c r="H1259" t="str">
        <f t="shared" ca="1" si="79"/>
        <v>competitive</v>
      </c>
    </row>
    <row r="1260" spans="1:8" x14ac:dyDescent="0.3">
      <c r="A1260" t="s">
        <v>1543</v>
      </c>
      <c r="B1260" t="s">
        <v>69</v>
      </c>
      <c r="C1260">
        <v>23.99</v>
      </c>
      <c r="D1260">
        <v>15.65</v>
      </c>
      <c r="E1260">
        <f t="shared" ca="1" si="76"/>
        <v>23.721810445961328</v>
      </c>
      <c r="F1260">
        <f t="shared" ca="1" si="77"/>
        <v>0.26818955403867051</v>
      </c>
      <c r="G1260">
        <f t="shared" ca="1" si="78"/>
        <v>1.1305610701578225E-2</v>
      </c>
      <c r="H1260" t="str">
        <f t="shared" ca="1" si="79"/>
        <v>competitive</v>
      </c>
    </row>
    <row r="1261" spans="1:8" x14ac:dyDescent="0.3">
      <c r="A1261" t="s">
        <v>235</v>
      </c>
      <c r="B1261" t="s">
        <v>79</v>
      </c>
      <c r="C1261">
        <v>129.99</v>
      </c>
      <c r="D1261">
        <v>13.49</v>
      </c>
      <c r="E1261">
        <f t="shared" ca="1" si="76"/>
        <v>125.73801768932127</v>
      </c>
      <c r="F1261">
        <f t="shared" ca="1" si="77"/>
        <v>4.2519823106787413</v>
      </c>
      <c r="G1261">
        <f t="shared" ca="1" si="78"/>
        <v>3.381620283838669E-2</v>
      </c>
      <c r="H1261" t="str">
        <f t="shared" ca="1" si="79"/>
        <v>competitive</v>
      </c>
    </row>
    <row r="1262" spans="1:8" x14ac:dyDescent="0.3">
      <c r="A1262" t="s">
        <v>1544</v>
      </c>
      <c r="B1262" t="s">
        <v>290</v>
      </c>
      <c r="C1262">
        <v>54.9</v>
      </c>
      <c r="D1262">
        <v>15.13</v>
      </c>
      <c r="E1262">
        <f t="shared" ca="1" si="76"/>
        <v>51.130317648664217</v>
      </c>
      <c r="F1262">
        <f t="shared" ca="1" si="77"/>
        <v>3.7696823513357813</v>
      </c>
      <c r="G1262">
        <f t="shared" ca="1" si="78"/>
        <v>7.3726949580847453E-2</v>
      </c>
      <c r="H1262" t="str">
        <f t="shared" ca="1" si="79"/>
        <v>overpriced</v>
      </c>
    </row>
    <row r="1263" spans="1:8" x14ac:dyDescent="0.3">
      <c r="A1263" t="s">
        <v>1280</v>
      </c>
      <c r="B1263" t="s">
        <v>1281</v>
      </c>
      <c r="C1263">
        <v>149.9</v>
      </c>
      <c r="D1263">
        <v>23.37</v>
      </c>
      <c r="E1263">
        <f t="shared" ca="1" si="76"/>
        <v>148.09473945739163</v>
      </c>
      <c r="F1263">
        <f t="shared" ca="1" si="77"/>
        <v>1.8052605426083801</v>
      </c>
      <c r="G1263">
        <f t="shared" ca="1" si="78"/>
        <v>1.2189903228316709E-2</v>
      </c>
      <c r="H1263" t="str">
        <f t="shared" ca="1" si="79"/>
        <v>competitive</v>
      </c>
    </row>
    <row r="1264" spans="1:8" x14ac:dyDescent="0.3">
      <c r="A1264" t="s">
        <v>1545</v>
      </c>
      <c r="B1264" t="s">
        <v>1546</v>
      </c>
      <c r="C1264">
        <v>24</v>
      </c>
      <c r="D1264">
        <v>8.8800000000000008</v>
      </c>
      <c r="E1264">
        <f t="shared" ca="1" si="76"/>
        <v>22.369666630610119</v>
      </c>
      <c r="F1264">
        <f t="shared" ca="1" si="77"/>
        <v>1.6303333693898807</v>
      </c>
      <c r="G1264">
        <f t="shared" ca="1" si="78"/>
        <v>7.2881433429990025E-2</v>
      </c>
      <c r="H1264" t="str">
        <f t="shared" ca="1" si="79"/>
        <v>overpriced</v>
      </c>
    </row>
    <row r="1265" spans="1:8" x14ac:dyDescent="0.3">
      <c r="A1265" t="s">
        <v>1547</v>
      </c>
      <c r="B1265" t="s">
        <v>1548</v>
      </c>
      <c r="C1265">
        <v>85</v>
      </c>
      <c r="D1265">
        <v>20.079999999999998</v>
      </c>
      <c r="E1265">
        <f t="shared" ca="1" si="76"/>
        <v>81.698230953414964</v>
      </c>
      <c r="F1265">
        <f t="shared" ca="1" si="77"/>
        <v>3.3017690465850364</v>
      </c>
      <c r="G1265">
        <f t="shared" ca="1" si="78"/>
        <v>4.0414204910602457E-2</v>
      </c>
      <c r="H1265" t="str">
        <f t="shared" ca="1" si="79"/>
        <v>competitive</v>
      </c>
    </row>
    <row r="1266" spans="1:8" x14ac:dyDescent="0.3">
      <c r="A1266" t="s">
        <v>1549</v>
      </c>
      <c r="B1266" t="s">
        <v>1550</v>
      </c>
      <c r="C1266">
        <v>139</v>
      </c>
      <c r="D1266">
        <v>14.31</v>
      </c>
      <c r="E1266">
        <f t="shared" ca="1" si="76"/>
        <v>138.59411551917165</v>
      </c>
      <c r="F1266">
        <f t="shared" ca="1" si="77"/>
        <v>0.40588448082834816</v>
      </c>
      <c r="G1266">
        <f t="shared" ca="1" si="78"/>
        <v>2.9285837952636768E-3</v>
      </c>
      <c r="H1266" t="str">
        <f t="shared" ca="1" si="79"/>
        <v>competitive</v>
      </c>
    </row>
    <row r="1267" spans="1:8" x14ac:dyDescent="0.3">
      <c r="A1267" t="s">
        <v>1551</v>
      </c>
      <c r="B1267" t="s">
        <v>95</v>
      </c>
      <c r="C1267">
        <v>89.9</v>
      </c>
      <c r="D1267">
        <v>9.36</v>
      </c>
      <c r="E1267">
        <f t="shared" ca="1" si="76"/>
        <v>88.20211251979201</v>
      </c>
      <c r="F1267">
        <f t="shared" ca="1" si="77"/>
        <v>1.6978874802079957</v>
      </c>
      <c r="G1267">
        <f t="shared" ca="1" si="78"/>
        <v>1.9249963880706374E-2</v>
      </c>
      <c r="H1267" t="str">
        <f t="shared" ca="1" si="79"/>
        <v>competitive</v>
      </c>
    </row>
    <row r="1268" spans="1:8" x14ac:dyDescent="0.3">
      <c r="A1268" t="s">
        <v>1552</v>
      </c>
      <c r="B1268" t="s">
        <v>173</v>
      </c>
      <c r="C1268">
        <v>29.9</v>
      </c>
      <c r="D1268">
        <v>15.31</v>
      </c>
      <c r="E1268">
        <f t="shared" ca="1" si="76"/>
        <v>31.706806005559269</v>
      </c>
      <c r="F1268">
        <f t="shared" ca="1" si="77"/>
        <v>-1.8068060055592703</v>
      </c>
      <c r="G1268">
        <f t="shared" ca="1" si="78"/>
        <v>-5.6984800211111658E-2</v>
      </c>
      <c r="H1268" t="str">
        <f t="shared" ca="1" si="79"/>
        <v>underprived</v>
      </c>
    </row>
    <row r="1269" spans="1:8" x14ac:dyDescent="0.3">
      <c r="A1269" t="s">
        <v>1450</v>
      </c>
      <c r="B1269" t="s">
        <v>747</v>
      </c>
      <c r="C1269">
        <v>29.9</v>
      </c>
      <c r="D1269">
        <v>7.47</v>
      </c>
      <c r="E1269">
        <f t="shared" ca="1" si="76"/>
        <v>32.718481898040729</v>
      </c>
      <c r="F1269">
        <f t="shared" ca="1" si="77"/>
        <v>-2.81848189804073</v>
      </c>
      <c r="G1269">
        <f t="shared" ca="1" si="78"/>
        <v>-8.6143419087225698E-2</v>
      </c>
      <c r="H1269" t="str">
        <f t="shared" ca="1" si="79"/>
        <v>underprived</v>
      </c>
    </row>
    <row r="1270" spans="1:8" x14ac:dyDescent="0.3">
      <c r="A1270" t="s">
        <v>1553</v>
      </c>
      <c r="B1270" t="s">
        <v>190</v>
      </c>
      <c r="C1270">
        <v>119</v>
      </c>
      <c r="D1270">
        <v>21.32</v>
      </c>
      <c r="E1270">
        <f t="shared" ca="1" si="76"/>
        <v>120.59543541390208</v>
      </c>
      <c r="F1270">
        <f t="shared" ca="1" si="77"/>
        <v>-1.5954354139020808</v>
      </c>
      <c r="G1270">
        <f t="shared" ca="1" si="78"/>
        <v>-1.3229650097669958E-2</v>
      </c>
      <c r="H1270" t="str">
        <f t="shared" ca="1" si="79"/>
        <v>competitive</v>
      </c>
    </row>
    <row r="1271" spans="1:8" x14ac:dyDescent="0.3">
      <c r="A1271" t="s">
        <v>1553</v>
      </c>
      <c r="B1271" t="s">
        <v>190</v>
      </c>
      <c r="C1271">
        <v>119</v>
      </c>
      <c r="D1271">
        <v>21.32</v>
      </c>
      <c r="E1271">
        <f t="shared" ca="1" si="76"/>
        <v>130.14781747633592</v>
      </c>
      <c r="F1271">
        <f t="shared" ca="1" si="77"/>
        <v>-11.147817476335916</v>
      </c>
      <c r="G1271">
        <f t="shared" ca="1" si="78"/>
        <v>-8.5655047410709478E-2</v>
      </c>
      <c r="H1271" t="str">
        <f t="shared" ca="1" si="79"/>
        <v>underprived</v>
      </c>
    </row>
    <row r="1272" spans="1:8" x14ac:dyDescent="0.3">
      <c r="A1272" t="s">
        <v>1554</v>
      </c>
      <c r="B1272" t="s">
        <v>1555</v>
      </c>
      <c r="C1272">
        <v>74.989999999999995</v>
      </c>
      <c r="D1272">
        <v>19.72</v>
      </c>
      <c r="E1272">
        <f t="shared" ca="1" si="76"/>
        <v>69.130272650424445</v>
      </c>
      <c r="F1272">
        <f t="shared" ca="1" si="77"/>
        <v>5.8597273495755502</v>
      </c>
      <c r="G1272">
        <f t="shared" ca="1" si="78"/>
        <v>8.4763550394294201E-2</v>
      </c>
      <c r="H1272" t="str">
        <f t="shared" ca="1" si="79"/>
        <v>overpriced</v>
      </c>
    </row>
    <row r="1273" spans="1:8" x14ac:dyDescent="0.3">
      <c r="A1273" t="s">
        <v>1556</v>
      </c>
      <c r="B1273" t="s">
        <v>47</v>
      </c>
      <c r="C1273">
        <v>179.99</v>
      </c>
      <c r="D1273">
        <v>40.19</v>
      </c>
      <c r="E1273">
        <f t="shared" ca="1" si="76"/>
        <v>165.86364726633343</v>
      </c>
      <c r="F1273">
        <f t="shared" ca="1" si="77"/>
        <v>14.126352733666579</v>
      </c>
      <c r="G1273">
        <f t="shared" ca="1" si="78"/>
        <v>8.5168467994577307E-2</v>
      </c>
      <c r="H1273" t="str">
        <f t="shared" ca="1" si="79"/>
        <v>overpriced</v>
      </c>
    </row>
    <row r="1274" spans="1:8" x14ac:dyDescent="0.3">
      <c r="A1274" t="s">
        <v>1557</v>
      </c>
      <c r="B1274" t="s">
        <v>109</v>
      </c>
      <c r="C1274">
        <v>49</v>
      </c>
      <c r="D1274">
        <v>7.39</v>
      </c>
      <c r="E1274">
        <f t="shared" ca="1" si="76"/>
        <v>48.25299390712928</v>
      </c>
      <c r="F1274">
        <f t="shared" ca="1" si="77"/>
        <v>0.74700609287071984</v>
      </c>
      <c r="G1274">
        <f t="shared" ca="1" si="78"/>
        <v>1.5481030965839224E-2</v>
      </c>
      <c r="H1274" t="str">
        <f t="shared" ca="1" si="79"/>
        <v>competitive</v>
      </c>
    </row>
    <row r="1275" spans="1:8" x14ac:dyDescent="0.3">
      <c r="A1275" t="s">
        <v>1558</v>
      </c>
      <c r="B1275" t="s">
        <v>364</v>
      </c>
      <c r="C1275">
        <v>69</v>
      </c>
      <c r="D1275">
        <v>11.73</v>
      </c>
      <c r="E1275">
        <f t="shared" ca="1" si="76"/>
        <v>67.377790724103136</v>
      </c>
      <c r="F1275">
        <f t="shared" ca="1" si="77"/>
        <v>1.6222092758968643</v>
      </c>
      <c r="G1275">
        <f t="shared" ca="1" si="78"/>
        <v>2.4076320378913069E-2</v>
      </c>
      <c r="H1275" t="str">
        <f t="shared" ca="1" si="79"/>
        <v>competitive</v>
      </c>
    </row>
    <row r="1276" spans="1:8" x14ac:dyDescent="0.3">
      <c r="A1276" t="s">
        <v>363</v>
      </c>
      <c r="B1276" t="s">
        <v>364</v>
      </c>
      <c r="C1276">
        <v>117.3</v>
      </c>
      <c r="D1276">
        <v>22.29</v>
      </c>
      <c r="E1276">
        <f t="shared" ca="1" si="76"/>
        <v>106.79724600871468</v>
      </c>
      <c r="F1276">
        <f t="shared" ca="1" si="77"/>
        <v>10.502753991285317</v>
      </c>
      <c r="G1276">
        <f t="shared" ca="1" si="78"/>
        <v>9.8342929090402667E-2</v>
      </c>
      <c r="H1276" t="str">
        <f t="shared" ca="1" si="79"/>
        <v>overpriced</v>
      </c>
    </row>
    <row r="1277" spans="1:8" x14ac:dyDescent="0.3">
      <c r="A1277" t="s">
        <v>1559</v>
      </c>
      <c r="B1277" t="s">
        <v>1560</v>
      </c>
      <c r="C1277">
        <v>27.18</v>
      </c>
      <c r="D1277">
        <v>15.11</v>
      </c>
      <c r="E1277">
        <f t="shared" ca="1" si="76"/>
        <v>29.61458043812215</v>
      </c>
      <c r="F1277">
        <f t="shared" ca="1" si="77"/>
        <v>-2.4345804381221505</v>
      </c>
      <c r="G1277">
        <f t="shared" ca="1" si="78"/>
        <v>-8.2208844498373262E-2</v>
      </c>
      <c r="H1277" t="str">
        <f t="shared" ca="1" si="79"/>
        <v>underprived</v>
      </c>
    </row>
    <row r="1278" spans="1:8" x14ac:dyDescent="0.3">
      <c r="A1278" t="s">
        <v>1561</v>
      </c>
      <c r="B1278" t="s">
        <v>1562</v>
      </c>
      <c r="C1278">
        <v>79.900000000000006</v>
      </c>
      <c r="D1278">
        <v>51.06</v>
      </c>
      <c r="E1278">
        <f t="shared" ca="1" si="76"/>
        <v>87.692860000129286</v>
      </c>
      <c r="F1278">
        <f t="shared" ca="1" si="77"/>
        <v>-7.7928600001292807</v>
      </c>
      <c r="G1278">
        <f t="shared" ca="1" si="78"/>
        <v>-8.8865387673726134E-2</v>
      </c>
      <c r="H1278" t="str">
        <f t="shared" ca="1" si="79"/>
        <v>underprived</v>
      </c>
    </row>
    <row r="1279" spans="1:8" x14ac:dyDescent="0.3">
      <c r="A1279" t="s">
        <v>1563</v>
      </c>
      <c r="B1279" t="s">
        <v>1564</v>
      </c>
      <c r="C1279">
        <v>213</v>
      </c>
      <c r="D1279">
        <v>18.739999999999998</v>
      </c>
      <c r="E1279">
        <f t="shared" ca="1" si="76"/>
        <v>211.25460204980024</v>
      </c>
      <c r="F1279">
        <f t="shared" ca="1" si="77"/>
        <v>1.7453979501997594</v>
      </c>
      <c r="G1279">
        <f t="shared" ca="1" si="78"/>
        <v>8.2620588297920572E-3</v>
      </c>
      <c r="H1279" t="str">
        <f t="shared" ca="1" si="79"/>
        <v>competitive</v>
      </c>
    </row>
    <row r="1280" spans="1:8" x14ac:dyDescent="0.3">
      <c r="A1280" t="s">
        <v>1565</v>
      </c>
      <c r="B1280" t="s">
        <v>745</v>
      </c>
      <c r="C1280">
        <v>128.25</v>
      </c>
      <c r="D1280">
        <v>15.21</v>
      </c>
      <c r="E1280">
        <f t="shared" ca="1" si="76"/>
        <v>138.40322921493438</v>
      </c>
      <c r="F1280">
        <f t="shared" ca="1" si="77"/>
        <v>-10.153229214934385</v>
      </c>
      <c r="G1280">
        <f t="shared" ca="1" si="78"/>
        <v>-7.3359771101632665E-2</v>
      </c>
      <c r="H1280" t="str">
        <f t="shared" ca="1" si="79"/>
        <v>underprived</v>
      </c>
    </row>
    <row r="1281" spans="1:8" x14ac:dyDescent="0.3">
      <c r="A1281" t="s">
        <v>1566</v>
      </c>
      <c r="B1281" t="s">
        <v>1567</v>
      </c>
      <c r="C1281">
        <v>109.9</v>
      </c>
      <c r="D1281">
        <v>15.88</v>
      </c>
      <c r="E1281">
        <f t="shared" ca="1" si="76"/>
        <v>113.86066412179601</v>
      </c>
      <c r="F1281">
        <f t="shared" ca="1" si="77"/>
        <v>-3.9606641217960004</v>
      </c>
      <c r="G1281">
        <f t="shared" ca="1" si="78"/>
        <v>-3.4785183736143539E-2</v>
      </c>
      <c r="H1281" t="str">
        <f t="shared" ca="1" si="79"/>
        <v>competitive</v>
      </c>
    </row>
    <row r="1282" spans="1:8" x14ac:dyDescent="0.3">
      <c r="A1282" t="s">
        <v>1568</v>
      </c>
      <c r="B1282" t="s">
        <v>445</v>
      </c>
      <c r="C1282">
        <v>97.65</v>
      </c>
      <c r="D1282">
        <v>8.42</v>
      </c>
      <c r="E1282">
        <f t="shared" ca="1" si="76"/>
        <v>95.924477609259384</v>
      </c>
      <c r="F1282">
        <f t="shared" ca="1" si="77"/>
        <v>1.7255223907406219</v>
      </c>
      <c r="G1282">
        <f t="shared" ca="1" si="78"/>
        <v>1.7988342847895383E-2</v>
      </c>
      <c r="H1282" t="str">
        <f t="shared" ca="1" si="79"/>
        <v>competitive</v>
      </c>
    </row>
    <row r="1283" spans="1:8" x14ac:dyDescent="0.3">
      <c r="A1283" t="s">
        <v>1569</v>
      </c>
      <c r="B1283" t="s">
        <v>163</v>
      </c>
      <c r="C1283">
        <v>69.900000000000006</v>
      </c>
      <c r="D1283">
        <v>54.24</v>
      </c>
      <c r="E1283">
        <f t="shared" ref="E1283:E1346" ca="1" si="80">C1283*(1+RAND()*0.2-0.1)</f>
        <v>68.514790040257552</v>
      </c>
      <c r="F1283">
        <f t="shared" ref="F1283:F1346" ca="1" si="81">C1283-E1283</f>
        <v>1.3852099597424541</v>
      </c>
      <c r="G1283">
        <f t="shared" ref="G1283:G1346" ca="1" si="82">(C1283-E1283)/E1283</f>
        <v>2.0217677948491702E-2</v>
      </c>
      <c r="H1283" t="str">
        <f t="shared" ref="H1283:H1346" ca="1" si="83">IF(E1283="","competitive",IF(ABS(C1283-E1283)/E1283&lt;=0.05,"competitive",IF(C1283&gt;E1283,"overpriced","underprived")))</f>
        <v>competitive</v>
      </c>
    </row>
    <row r="1284" spans="1:8" x14ac:dyDescent="0.3">
      <c r="A1284" t="s">
        <v>1570</v>
      </c>
      <c r="B1284" t="s">
        <v>749</v>
      </c>
      <c r="C1284">
        <v>122.99</v>
      </c>
      <c r="D1284">
        <v>164.98</v>
      </c>
      <c r="E1284">
        <f t="shared" ca="1" si="80"/>
        <v>124.39181474450393</v>
      </c>
      <c r="F1284">
        <f t="shared" ca="1" si="81"/>
        <v>-1.4018147445039375</v>
      </c>
      <c r="G1284">
        <f t="shared" ca="1" si="82"/>
        <v>-1.1269348770119737E-2</v>
      </c>
      <c r="H1284" t="str">
        <f t="shared" ca="1" si="83"/>
        <v>competitive</v>
      </c>
    </row>
    <row r="1285" spans="1:8" x14ac:dyDescent="0.3">
      <c r="A1285" t="s">
        <v>1571</v>
      </c>
      <c r="B1285" t="s">
        <v>1572</v>
      </c>
      <c r="C1285">
        <v>301</v>
      </c>
      <c r="D1285">
        <v>17.87</v>
      </c>
      <c r="E1285">
        <f t="shared" ca="1" si="80"/>
        <v>322.73819821224987</v>
      </c>
      <c r="F1285">
        <f t="shared" ca="1" si="81"/>
        <v>-21.73819821224987</v>
      </c>
      <c r="G1285">
        <f t="shared" ca="1" si="82"/>
        <v>-6.7355517049623212E-2</v>
      </c>
      <c r="H1285" t="str">
        <f t="shared" ca="1" si="83"/>
        <v>underprived</v>
      </c>
    </row>
    <row r="1286" spans="1:8" x14ac:dyDescent="0.3">
      <c r="A1286" t="s">
        <v>1573</v>
      </c>
      <c r="B1286" t="s">
        <v>904</v>
      </c>
      <c r="C1286">
        <v>119</v>
      </c>
      <c r="D1286">
        <v>29.19</v>
      </c>
      <c r="E1286">
        <f t="shared" ca="1" si="80"/>
        <v>108.25751759812614</v>
      </c>
      <c r="F1286">
        <f t="shared" ca="1" si="81"/>
        <v>10.742482401873858</v>
      </c>
      <c r="G1286">
        <f t="shared" ca="1" si="82"/>
        <v>9.9230821472852629E-2</v>
      </c>
      <c r="H1286" t="str">
        <f t="shared" ca="1" si="83"/>
        <v>overpriced</v>
      </c>
    </row>
    <row r="1287" spans="1:8" x14ac:dyDescent="0.3">
      <c r="A1287" t="s">
        <v>1574</v>
      </c>
      <c r="B1287" t="s">
        <v>1575</v>
      </c>
      <c r="C1287">
        <v>26.9</v>
      </c>
      <c r="D1287">
        <v>7.78</v>
      </c>
      <c r="E1287">
        <f t="shared" ca="1" si="80"/>
        <v>29.054831801702552</v>
      </c>
      <c r="F1287">
        <f t="shared" ca="1" si="81"/>
        <v>-2.154831801702553</v>
      </c>
      <c r="G1287">
        <f t="shared" ca="1" si="82"/>
        <v>-7.4164318568737481E-2</v>
      </c>
      <c r="H1287" t="str">
        <f t="shared" ca="1" si="83"/>
        <v>underprived</v>
      </c>
    </row>
    <row r="1288" spans="1:8" x14ac:dyDescent="0.3">
      <c r="A1288" t="s">
        <v>1576</v>
      </c>
      <c r="B1288" t="s">
        <v>1577</v>
      </c>
      <c r="C1288">
        <v>50</v>
      </c>
      <c r="D1288">
        <v>18.45</v>
      </c>
      <c r="E1288">
        <f t="shared" ca="1" si="80"/>
        <v>46.173384873094086</v>
      </c>
      <c r="F1288">
        <f t="shared" ca="1" si="81"/>
        <v>3.8266151269059137</v>
      </c>
      <c r="G1288">
        <f t="shared" ca="1" si="82"/>
        <v>8.2874910241543476E-2</v>
      </c>
      <c r="H1288" t="str">
        <f t="shared" ca="1" si="83"/>
        <v>overpriced</v>
      </c>
    </row>
    <row r="1289" spans="1:8" x14ac:dyDescent="0.3">
      <c r="A1289" t="s">
        <v>1578</v>
      </c>
      <c r="B1289" t="s">
        <v>1360</v>
      </c>
      <c r="C1289">
        <v>79.900000000000006</v>
      </c>
      <c r="D1289">
        <v>15.44</v>
      </c>
      <c r="E1289">
        <f t="shared" ca="1" si="80"/>
        <v>75.317656609652531</v>
      </c>
      <c r="F1289">
        <f t="shared" ca="1" si="81"/>
        <v>4.5823433903474751</v>
      </c>
      <c r="G1289">
        <f t="shared" ca="1" si="82"/>
        <v>6.0840227864447566E-2</v>
      </c>
      <c r="H1289" t="str">
        <f t="shared" ca="1" si="83"/>
        <v>overpriced</v>
      </c>
    </row>
    <row r="1290" spans="1:8" x14ac:dyDescent="0.3">
      <c r="A1290" t="s">
        <v>1579</v>
      </c>
      <c r="B1290" t="s">
        <v>831</v>
      </c>
      <c r="C1290">
        <v>53.95</v>
      </c>
      <c r="D1290">
        <v>15.59</v>
      </c>
      <c r="E1290">
        <f t="shared" ca="1" si="80"/>
        <v>54.836430588462008</v>
      </c>
      <c r="F1290">
        <f t="shared" ca="1" si="81"/>
        <v>-0.88643058846200518</v>
      </c>
      <c r="G1290">
        <f t="shared" ca="1" si="82"/>
        <v>-1.6164994310342962E-2</v>
      </c>
      <c r="H1290" t="str">
        <f t="shared" ca="1" si="83"/>
        <v>competitive</v>
      </c>
    </row>
    <row r="1291" spans="1:8" x14ac:dyDescent="0.3">
      <c r="A1291" t="s">
        <v>1580</v>
      </c>
      <c r="B1291" t="s">
        <v>246</v>
      </c>
      <c r="C1291">
        <v>89</v>
      </c>
      <c r="D1291">
        <v>9.93</v>
      </c>
      <c r="E1291">
        <f t="shared" ca="1" si="80"/>
        <v>87.286083207537402</v>
      </c>
      <c r="F1291">
        <f t="shared" ca="1" si="81"/>
        <v>1.713916792462598</v>
      </c>
      <c r="G1291">
        <f t="shared" ca="1" si="82"/>
        <v>1.9635624941349142E-2</v>
      </c>
      <c r="H1291" t="str">
        <f t="shared" ca="1" si="83"/>
        <v>competitive</v>
      </c>
    </row>
    <row r="1292" spans="1:8" x14ac:dyDescent="0.3">
      <c r="A1292" t="s">
        <v>1581</v>
      </c>
      <c r="B1292" t="s">
        <v>61</v>
      </c>
      <c r="C1292">
        <v>139.9</v>
      </c>
      <c r="D1292">
        <v>39.97</v>
      </c>
      <c r="E1292">
        <f t="shared" ca="1" si="80"/>
        <v>146.09256163110697</v>
      </c>
      <c r="F1292">
        <f t="shared" ca="1" si="81"/>
        <v>-6.1925616311069689</v>
      </c>
      <c r="G1292">
        <f t="shared" ca="1" si="82"/>
        <v>-4.238793243110886E-2</v>
      </c>
      <c r="H1292" t="str">
        <f t="shared" ca="1" si="83"/>
        <v>competitive</v>
      </c>
    </row>
    <row r="1293" spans="1:8" x14ac:dyDescent="0.3">
      <c r="A1293" t="s">
        <v>1022</v>
      </c>
      <c r="B1293" t="s">
        <v>401</v>
      </c>
      <c r="C1293">
        <v>57.49</v>
      </c>
      <c r="D1293">
        <v>16.16</v>
      </c>
      <c r="E1293">
        <f t="shared" ca="1" si="80"/>
        <v>59.877989419035764</v>
      </c>
      <c r="F1293">
        <f t="shared" ca="1" si="81"/>
        <v>-2.3879894190357618</v>
      </c>
      <c r="G1293">
        <f t="shared" ca="1" si="82"/>
        <v>-3.9880921891418716E-2</v>
      </c>
      <c r="H1293" t="str">
        <f t="shared" ca="1" si="83"/>
        <v>competitive</v>
      </c>
    </row>
    <row r="1294" spans="1:8" x14ac:dyDescent="0.3">
      <c r="A1294" t="s">
        <v>546</v>
      </c>
      <c r="B1294" t="s">
        <v>547</v>
      </c>
      <c r="C1294">
        <v>349.9</v>
      </c>
      <c r="D1294">
        <v>29.3</v>
      </c>
      <c r="E1294">
        <f t="shared" ca="1" si="80"/>
        <v>337.42674689728324</v>
      </c>
      <c r="F1294">
        <f t="shared" ca="1" si="81"/>
        <v>12.47325310271674</v>
      </c>
      <c r="G1294">
        <f t="shared" ca="1" si="82"/>
        <v>3.6965810260778609E-2</v>
      </c>
      <c r="H1294" t="str">
        <f t="shared" ca="1" si="83"/>
        <v>competitive</v>
      </c>
    </row>
    <row r="1295" spans="1:8" x14ac:dyDescent="0.3">
      <c r="A1295" t="s">
        <v>1582</v>
      </c>
      <c r="B1295" t="s">
        <v>1439</v>
      </c>
      <c r="C1295">
        <v>44.9</v>
      </c>
      <c r="D1295">
        <v>12.79</v>
      </c>
      <c r="E1295">
        <f t="shared" ca="1" si="80"/>
        <v>41.40082290978053</v>
      </c>
      <c r="F1295">
        <f t="shared" ca="1" si="81"/>
        <v>3.4991770902194688</v>
      </c>
      <c r="G1295">
        <f t="shared" ca="1" si="82"/>
        <v>8.4519505755834223E-2</v>
      </c>
      <c r="H1295" t="str">
        <f t="shared" ca="1" si="83"/>
        <v>overpriced</v>
      </c>
    </row>
    <row r="1296" spans="1:8" x14ac:dyDescent="0.3">
      <c r="A1296" t="s">
        <v>1583</v>
      </c>
      <c r="B1296" t="s">
        <v>1584</v>
      </c>
      <c r="C1296">
        <v>37.9</v>
      </c>
      <c r="D1296">
        <v>16.11</v>
      </c>
      <c r="E1296">
        <f t="shared" ca="1" si="80"/>
        <v>39.105971804654203</v>
      </c>
      <c r="F1296">
        <f t="shared" ca="1" si="81"/>
        <v>-1.2059718046542045</v>
      </c>
      <c r="G1296">
        <f t="shared" ca="1" si="82"/>
        <v>-3.0838558639544551E-2</v>
      </c>
      <c r="H1296" t="str">
        <f t="shared" ca="1" si="83"/>
        <v>competitive</v>
      </c>
    </row>
    <row r="1297" spans="1:8" x14ac:dyDescent="0.3">
      <c r="A1297" t="s">
        <v>1585</v>
      </c>
      <c r="B1297" t="s">
        <v>5</v>
      </c>
      <c r="C1297">
        <v>58.9</v>
      </c>
      <c r="D1297">
        <v>15.16</v>
      </c>
      <c r="E1297">
        <f t="shared" ca="1" si="80"/>
        <v>62.154111916851136</v>
      </c>
      <c r="F1297">
        <f t="shared" ca="1" si="81"/>
        <v>-3.2541119168511372</v>
      </c>
      <c r="G1297">
        <f t="shared" ca="1" si="82"/>
        <v>-5.2355537171932254E-2</v>
      </c>
      <c r="H1297" t="str">
        <f t="shared" ca="1" si="83"/>
        <v>underprived</v>
      </c>
    </row>
    <row r="1298" spans="1:8" x14ac:dyDescent="0.3">
      <c r="A1298" t="s">
        <v>1586</v>
      </c>
      <c r="B1298" t="s">
        <v>1587</v>
      </c>
      <c r="C1298">
        <v>39.9</v>
      </c>
      <c r="D1298">
        <v>19.04</v>
      </c>
      <c r="E1298">
        <f t="shared" ca="1" si="80"/>
        <v>38.165857494312803</v>
      </c>
      <c r="F1298">
        <f t="shared" ca="1" si="81"/>
        <v>1.7341425056871955</v>
      </c>
      <c r="G1298">
        <f t="shared" ca="1" si="82"/>
        <v>4.5437011495041209E-2</v>
      </c>
      <c r="H1298" t="str">
        <f t="shared" ca="1" si="83"/>
        <v>competitive</v>
      </c>
    </row>
    <row r="1299" spans="1:8" x14ac:dyDescent="0.3">
      <c r="A1299" t="s">
        <v>1588</v>
      </c>
      <c r="B1299" t="s">
        <v>250</v>
      </c>
      <c r="C1299">
        <v>61.5</v>
      </c>
      <c r="D1299">
        <v>13.58</v>
      </c>
      <c r="E1299">
        <f t="shared" ca="1" si="80"/>
        <v>57.813083627482726</v>
      </c>
      <c r="F1299">
        <f t="shared" ca="1" si="81"/>
        <v>3.686916372517274</v>
      </c>
      <c r="G1299">
        <f t="shared" ca="1" si="82"/>
        <v>6.3773044805460213E-2</v>
      </c>
      <c r="H1299" t="str">
        <f t="shared" ca="1" si="83"/>
        <v>overpriced</v>
      </c>
    </row>
    <row r="1300" spans="1:8" x14ac:dyDescent="0.3">
      <c r="A1300" t="s">
        <v>1589</v>
      </c>
      <c r="B1300" t="s">
        <v>1590</v>
      </c>
      <c r="C1300">
        <v>80</v>
      </c>
      <c r="D1300">
        <v>9.57</v>
      </c>
      <c r="E1300">
        <f t="shared" ca="1" si="80"/>
        <v>72.314638523694768</v>
      </c>
      <c r="F1300">
        <f t="shared" ca="1" si="81"/>
        <v>7.685361476305232</v>
      </c>
      <c r="G1300">
        <f t="shared" ca="1" si="82"/>
        <v>0.10627670459539157</v>
      </c>
      <c r="H1300" t="str">
        <f t="shared" ca="1" si="83"/>
        <v>overpriced</v>
      </c>
    </row>
    <row r="1301" spans="1:8" x14ac:dyDescent="0.3">
      <c r="A1301" t="s">
        <v>1591</v>
      </c>
      <c r="B1301" t="s">
        <v>1590</v>
      </c>
      <c r="C1301">
        <v>50</v>
      </c>
      <c r="D1301">
        <v>12.9</v>
      </c>
      <c r="E1301">
        <f t="shared" ca="1" si="80"/>
        <v>53.957986115833336</v>
      </c>
      <c r="F1301">
        <f t="shared" ca="1" si="81"/>
        <v>-3.9579861158333358</v>
      </c>
      <c r="G1301">
        <f t="shared" ca="1" si="82"/>
        <v>-7.3353110461472748E-2</v>
      </c>
      <c r="H1301" t="str">
        <f t="shared" ca="1" si="83"/>
        <v>underprived</v>
      </c>
    </row>
    <row r="1302" spans="1:8" x14ac:dyDescent="0.3">
      <c r="A1302" t="s">
        <v>1592</v>
      </c>
      <c r="B1302" t="s">
        <v>1593</v>
      </c>
      <c r="C1302">
        <v>58.2</v>
      </c>
      <c r="D1302">
        <v>15.16</v>
      </c>
      <c r="E1302">
        <f t="shared" ca="1" si="80"/>
        <v>60.93390803149488</v>
      </c>
      <c r="F1302">
        <f t="shared" ca="1" si="81"/>
        <v>-2.7339080314948774</v>
      </c>
      <c r="G1302">
        <f t="shared" ca="1" si="82"/>
        <v>-4.4866776476601561E-2</v>
      </c>
      <c r="H1302" t="str">
        <f t="shared" ca="1" si="83"/>
        <v>competitive</v>
      </c>
    </row>
    <row r="1303" spans="1:8" x14ac:dyDescent="0.3">
      <c r="A1303" t="s">
        <v>1594</v>
      </c>
      <c r="B1303" t="s">
        <v>1595</v>
      </c>
      <c r="C1303">
        <v>699</v>
      </c>
      <c r="D1303">
        <v>19.95</v>
      </c>
      <c r="E1303">
        <f t="shared" ca="1" si="80"/>
        <v>653.39592988550839</v>
      </c>
      <c r="F1303">
        <f t="shared" ca="1" si="81"/>
        <v>45.604070114491606</v>
      </c>
      <c r="G1303">
        <f t="shared" ca="1" si="82"/>
        <v>6.9795460958078814E-2</v>
      </c>
      <c r="H1303" t="str">
        <f t="shared" ca="1" si="83"/>
        <v>overpriced</v>
      </c>
    </row>
    <row r="1304" spans="1:8" x14ac:dyDescent="0.3">
      <c r="A1304" t="s">
        <v>1596</v>
      </c>
      <c r="B1304" t="s">
        <v>1597</v>
      </c>
      <c r="C1304">
        <v>41.9</v>
      </c>
      <c r="D1304">
        <v>7.39</v>
      </c>
      <c r="E1304">
        <f t="shared" ca="1" si="80"/>
        <v>45.557848958188195</v>
      </c>
      <c r="F1304">
        <f t="shared" ca="1" si="81"/>
        <v>-3.6578489581881968</v>
      </c>
      <c r="G1304">
        <f t="shared" ca="1" si="82"/>
        <v>-8.0290203375169775E-2</v>
      </c>
      <c r="H1304" t="str">
        <f t="shared" ca="1" si="83"/>
        <v>underprived</v>
      </c>
    </row>
    <row r="1305" spans="1:8" x14ac:dyDescent="0.3">
      <c r="A1305" t="s">
        <v>1598</v>
      </c>
      <c r="B1305" t="s">
        <v>948</v>
      </c>
      <c r="C1305">
        <v>388</v>
      </c>
      <c r="D1305">
        <v>50.22</v>
      </c>
      <c r="E1305">
        <f t="shared" ca="1" si="80"/>
        <v>393.44869215829982</v>
      </c>
      <c r="F1305">
        <f t="shared" ca="1" si="81"/>
        <v>-5.4486921582998207</v>
      </c>
      <c r="G1305">
        <f t="shared" ca="1" si="82"/>
        <v>-1.3848545609366516E-2</v>
      </c>
      <c r="H1305" t="str">
        <f t="shared" ca="1" si="83"/>
        <v>competitive</v>
      </c>
    </row>
    <row r="1306" spans="1:8" x14ac:dyDescent="0.3">
      <c r="A1306" t="s">
        <v>238</v>
      </c>
      <c r="B1306" t="s">
        <v>239</v>
      </c>
      <c r="C1306">
        <v>149</v>
      </c>
      <c r="D1306">
        <v>40.369999999999997</v>
      </c>
      <c r="E1306">
        <f t="shared" ca="1" si="80"/>
        <v>141.5066960990309</v>
      </c>
      <c r="F1306">
        <f t="shared" ca="1" si="81"/>
        <v>7.4933039009690958</v>
      </c>
      <c r="G1306">
        <f t="shared" ca="1" si="82"/>
        <v>5.2953705425537193E-2</v>
      </c>
      <c r="H1306" t="str">
        <f t="shared" ca="1" si="83"/>
        <v>overpriced</v>
      </c>
    </row>
    <row r="1307" spans="1:8" x14ac:dyDescent="0.3">
      <c r="A1307" t="s">
        <v>238</v>
      </c>
      <c r="B1307" t="s">
        <v>239</v>
      </c>
      <c r="C1307">
        <v>149</v>
      </c>
      <c r="D1307">
        <v>40.369999999999997</v>
      </c>
      <c r="E1307">
        <f t="shared" ca="1" si="80"/>
        <v>141.94633618555875</v>
      </c>
      <c r="F1307">
        <f t="shared" ca="1" si="81"/>
        <v>7.0536638144412507</v>
      </c>
      <c r="G1307">
        <f t="shared" ca="1" si="82"/>
        <v>4.9692468322820101E-2</v>
      </c>
      <c r="H1307" t="str">
        <f t="shared" ca="1" si="83"/>
        <v>competitive</v>
      </c>
    </row>
    <row r="1308" spans="1:8" x14ac:dyDescent="0.3">
      <c r="A1308" t="s">
        <v>30</v>
      </c>
      <c r="B1308" t="s">
        <v>31</v>
      </c>
      <c r="C1308">
        <v>53.9</v>
      </c>
      <c r="D1308">
        <v>10.130000000000001</v>
      </c>
      <c r="E1308">
        <f t="shared" ca="1" si="80"/>
        <v>49.572923570340642</v>
      </c>
      <c r="F1308">
        <f t="shared" ca="1" si="81"/>
        <v>4.3270764296593569</v>
      </c>
      <c r="G1308">
        <f t="shared" ca="1" si="82"/>
        <v>8.7287093800702042E-2</v>
      </c>
      <c r="H1308" t="str">
        <f t="shared" ca="1" si="83"/>
        <v>overpriced</v>
      </c>
    </row>
    <row r="1309" spans="1:8" x14ac:dyDescent="0.3">
      <c r="A1309" t="s">
        <v>1599</v>
      </c>
      <c r="B1309" t="s">
        <v>229</v>
      </c>
      <c r="C1309">
        <v>69.900000000000006</v>
      </c>
      <c r="D1309">
        <v>13.51</v>
      </c>
      <c r="E1309">
        <f t="shared" ca="1" si="80"/>
        <v>71.581798501045228</v>
      </c>
      <c r="F1309">
        <f t="shared" ca="1" si="81"/>
        <v>-1.6817985010452219</v>
      </c>
      <c r="G1309">
        <f t="shared" ca="1" si="82"/>
        <v>-2.3494778508822527E-2</v>
      </c>
      <c r="H1309" t="str">
        <f t="shared" ca="1" si="83"/>
        <v>competitive</v>
      </c>
    </row>
    <row r="1310" spans="1:8" x14ac:dyDescent="0.3">
      <c r="A1310" t="s">
        <v>1600</v>
      </c>
      <c r="B1310" t="s">
        <v>1407</v>
      </c>
      <c r="C1310">
        <v>89.9</v>
      </c>
      <c r="D1310">
        <v>15.39</v>
      </c>
      <c r="E1310">
        <f t="shared" ca="1" si="80"/>
        <v>83.107971925475439</v>
      </c>
      <c r="F1310">
        <f t="shared" ca="1" si="81"/>
        <v>6.7920280745245663</v>
      </c>
      <c r="G1310">
        <f t="shared" ca="1" si="82"/>
        <v>8.1725349772884745E-2</v>
      </c>
      <c r="H1310" t="str">
        <f t="shared" ca="1" si="83"/>
        <v>overpriced</v>
      </c>
    </row>
    <row r="1311" spans="1:8" x14ac:dyDescent="0.3">
      <c r="A1311" t="s">
        <v>1277</v>
      </c>
      <c r="B1311" t="s">
        <v>176</v>
      </c>
      <c r="C1311">
        <v>399.99</v>
      </c>
      <c r="D1311">
        <v>15.63</v>
      </c>
      <c r="E1311">
        <f t="shared" ca="1" si="80"/>
        <v>388.02207698700363</v>
      </c>
      <c r="F1311">
        <f t="shared" ca="1" si="81"/>
        <v>11.96792301299638</v>
      </c>
      <c r="G1311">
        <f t="shared" ca="1" si="82"/>
        <v>3.0843407431678772E-2</v>
      </c>
      <c r="H1311" t="str">
        <f t="shared" ca="1" si="83"/>
        <v>competitive</v>
      </c>
    </row>
    <row r="1312" spans="1:8" x14ac:dyDescent="0.3">
      <c r="A1312" t="s">
        <v>1601</v>
      </c>
      <c r="B1312" t="s">
        <v>1602</v>
      </c>
      <c r="C1312">
        <v>44.9</v>
      </c>
      <c r="D1312">
        <v>20.8</v>
      </c>
      <c r="E1312">
        <f t="shared" ca="1" si="80"/>
        <v>47.844126100501832</v>
      </c>
      <c r="F1312">
        <f t="shared" ca="1" si="81"/>
        <v>-2.9441261005018333</v>
      </c>
      <c r="G1312">
        <f t="shared" ca="1" si="82"/>
        <v>-6.1535790084604608E-2</v>
      </c>
      <c r="H1312" t="str">
        <f t="shared" ca="1" si="83"/>
        <v>underprived</v>
      </c>
    </row>
    <row r="1313" spans="1:8" x14ac:dyDescent="0.3">
      <c r="A1313" t="s">
        <v>1603</v>
      </c>
      <c r="B1313" t="s">
        <v>1604</v>
      </c>
      <c r="C1313">
        <v>139</v>
      </c>
      <c r="D1313">
        <v>20.21</v>
      </c>
      <c r="E1313">
        <f t="shared" ca="1" si="80"/>
        <v>127.92018357888743</v>
      </c>
      <c r="F1313">
        <f t="shared" ca="1" si="81"/>
        <v>11.079816421112568</v>
      </c>
      <c r="G1313">
        <f t="shared" ca="1" si="82"/>
        <v>8.6615075988221407E-2</v>
      </c>
      <c r="H1313" t="str">
        <f t="shared" ca="1" si="83"/>
        <v>overpriced</v>
      </c>
    </row>
    <row r="1314" spans="1:8" x14ac:dyDescent="0.3">
      <c r="A1314" t="s">
        <v>843</v>
      </c>
      <c r="B1314" t="s">
        <v>25</v>
      </c>
      <c r="C1314">
        <v>64.989999999999995</v>
      </c>
      <c r="D1314">
        <v>11.95</v>
      </c>
      <c r="E1314">
        <f t="shared" ca="1" si="80"/>
        <v>67.51980525096603</v>
      </c>
      <c r="F1314">
        <f t="shared" ca="1" si="81"/>
        <v>-2.5298052509660351</v>
      </c>
      <c r="G1314">
        <f t="shared" ca="1" si="82"/>
        <v>-3.7467602899074422E-2</v>
      </c>
      <c r="H1314" t="str">
        <f t="shared" ca="1" si="83"/>
        <v>competitive</v>
      </c>
    </row>
    <row r="1315" spans="1:8" x14ac:dyDescent="0.3">
      <c r="A1315" t="s">
        <v>1605</v>
      </c>
      <c r="B1315" t="s">
        <v>1606</v>
      </c>
      <c r="C1315">
        <v>399.99</v>
      </c>
      <c r="D1315">
        <v>19.05</v>
      </c>
      <c r="E1315">
        <f t="shared" ca="1" si="80"/>
        <v>365.23024956925201</v>
      </c>
      <c r="F1315">
        <f t="shared" ca="1" si="81"/>
        <v>34.759750430747999</v>
      </c>
      <c r="G1315">
        <f t="shared" ca="1" si="82"/>
        <v>9.5172156391052531E-2</v>
      </c>
      <c r="H1315" t="str">
        <f t="shared" ca="1" si="83"/>
        <v>overpriced</v>
      </c>
    </row>
    <row r="1316" spans="1:8" x14ac:dyDescent="0.3">
      <c r="A1316" t="s">
        <v>1607</v>
      </c>
      <c r="B1316" t="s">
        <v>362</v>
      </c>
      <c r="C1316">
        <v>45</v>
      </c>
      <c r="D1316">
        <v>15.42</v>
      </c>
      <c r="E1316">
        <f t="shared" ca="1" si="80"/>
        <v>44.002850190311406</v>
      </c>
      <c r="F1316">
        <f t="shared" ca="1" si="81"/>
        <v>0.99714980968859379</v>
      </c>
      <c r="G1316">
        <f t="shared" ca="1" si="82"/>
        <v>2.266102776015512E-2</v>
      </c>
      <c r="H1316" t="str">
        <f t="shared" ca="1" si="83"/>
        <v>competitive</v>
      </c>
    </row>
    <row r="1317" spans="1:8" x14ac:dyDescent="0.3">
      <c r="A1317" t="s">
        <v>1608</v>
      </c>
      <c r="B1317" t="s">
        <v>176</v>
      </c>
      <c r="C1317">
        <v>159.99</v>
      </c>
      <c r="D1317">
        <v>10.130000000000001</v>
      </c>
      <c r="E1317">
        <f t="shared" ca="1" si="80"/>
        <v>175.02705448048272</v>
      </c>
      <c r="F1317">
        <f t="shared" ca="1" si="81"/>
        <v>-15.037054480482709</v>
      </c>
      <c r="G1317">
        <f t="shared" ca="1" si="82"/>
        <v>-8.5912743747621562E-2</v>
      </c>
      <c r="H1317" t="str">
        <f t="shared" ca="1" si="83"/>
        <v>underprived</v>
      </c>
    </row>
    <row r="1318" spans="1:8" x14ac:dyDescent="0.3">
      <c r="A1318" t="s">
        <v>1609</v>
      </c>
      <c r="B1318" t="s">
        <v>1230</v>
      </c>
      <c r="C1318">
        <v>24.9</v>
      </c>
      <c r="D1318">
        <v>18.23</v>
      </c>
      <c r="E1318">
        <f t="shared" ca="1" si="80"/>
        <v>26.775389744646688</v>
      </c>
      <c r="F1318">
        <f t="shared" ca="1" si="81"/>
        <v>-1.8753897446466894</v>
      </c>
      <c r="G1318">
        <f t="shared" ca="1" si="82"/>
        <v>-7.0041547948770516E-2</v>
      </c>
      <c r="H1318" t="str">
        <f t="shared" ca="1" si="83"/>
        <v>underprived</v>
      </c>
    </row>
    <row r="1319" spans="1:8" x14ac:dyDescent="0.3">
      <c r="A1319" t="s">
        <v>1609</v>
      </c>
      <c r="B1319" t="s">
        <v>1230</v>
      </c>
      <c r="C1319">
        <v>24.9</v>
      </c>
      <c r="D1319">
        <v>18.23</v>
      </c>
      <c r="E1319">
        <f t="shared" ca="1" si="80"/>
        <v>22.828152922385755</v>
      </c>
      <c r="F1319">
        <f t="shared" ca="1" si="81"/>
        <v>2.0718470776142439</v>
      </c>
      <c r="G1319">
        <f t="shared" ca="1" si="82"/>
        <v>9.075841942440066E-2</v>
      </c>
      <c r="H1319" t="str">
        <f t="shared" ca="1" si="83"/>
        <v>overpriced</v>
      </c>
    </row>
    <row r="1320" spans="1:8" x14ac:dyDescent="0.3">
      <c r="A1320" t="s">
        <v>1609</v>
      </c>
      <c r="B1320" t="s">
        <v>1230</v>
      </c>
      <c r="C1320">
        <v>24.9</v>
      </c>
      <c r="D1320">
        <v>18.23</v>
      </c>
      <c r="E1320">
        <f t="shared" ca="1" si="80"/>
        <v>24.650810941424432</v>
      </c>
      <c r="F1320">
        <f t="shared" ca="1" si="81"/>
        <v>0.24918905857556695</v>
      </c>
      <c r="G1320">
        <f t="shared" ca="1" si="82"/>
        <v>1.0108757037149533E-2</v>
      </c>
      <c r="H1320" t="str">
        <f t="shared" ca="1" si="83"/>
        <v>competitive</v>
      </c>
    </row>
    <row r="1321" spans="1:8" x14ac:dyDescent="0.3">
      <c r="A1321" t="s">
        <v>1610</v>
      </c>
      <c r="B1321" t="s">
        <v>1611</v>
      </c>
      <c r="C1321">
        <v>153</v>
      </c>
      <c r="D1321">
        <v>21.56</v>
      </c>
      <c r="E1321">
        <f t="shared" ca="1" si="80"/>
        <v>147.70269497439642</v>
      </c>
      <c r="F1321">
        <f t="shared" ca="1" si="81"/>
        <v>5.2973050256035776</v>
      </c>
      <c r="G1321">
        <f t="shared" ca="1" si="82"/>
        <v>3.5864647063629004E-2</v>
      </c>
      <c r="H1321" t="str">
        <f t="shared" ca="1" si="83"/>
        <v>competitive</v>
      </c>
    </row>
    <row r="1322" spans="1:8" x14ac:dyDescent="0.3">
      <c r="A1322" t="s">
        <v>1612</v>
      </c>
      <c r="B1322" t="s">
        <v>1613</v>
      </c>
      <c r="C1322">
        <v>57.9</v>
      </c>
      <c r="D1322">
        <v>14.61</v>
      </c>
      <c r="E1322">
        <f t="shared" ca="1" si="80"/>
        <v>57.964774954747291</v>
      </c>
      <c r="F1322">
        <f t="shared" ca="1" si="81"/>
        <v>-6.4774954747292668E-2</v>
      </c>
      <c r="G1322">
        <f t="shared" ca="1" si="82"/>
        <v>-1.1174882469199964E-3</v>
      </c>
      <c r="H1322" t="str">
        <f t="shared" ca="1" si="83"/>
        <v>competitive</v>
      </c>
    </row>
    <row r="1323" spans="1:8" x14ac:dyDescent="0.3">
      <c r="A1323" t="s">
        <v>1614</v>
      </c>
      <c r="B1323" t="s">
        <v>1615</v>
      </c>
      <c r="C1323">
        <v>35</v>
      </c>
      <c r="D1323">
        <v>7.78</v>
      </c>
      <c r="E1323">
        <f t="shared" ca="1" si="80"/>
        <v>36.393375670709105</v>
      </c>
      <c r="F1323">
        <f t="shared" ca="1" si="81"/>
        <v>-1.393375670709105</v>
      </c>
      <c r="G1323">
        <f t="shared" ca="1" si="82"/>
        <v>-3.8286519044468614E-2</v>
      </c>
      <c r="H1323" t="str">
        <f t="shared" ca="1" si="83"/>
        <v>competitive</v>
      </c>
    </row>
    <row r="1324" spans="1:8" x14ac:dyDescent="0.3">
      <c r="A1324" t="s">
        <v>1616</v>
      </c>
      <c r="B1324" t="s">
        <v>141</v>
      </c>
      <c r="C1324">
        <v>40</v>
      </c>
      <c r="D1324">
        <v>19.47</v>
      </c>
      <c r="E1324">
        <f t="shared" ca="1" si="80"/>
        <v>38.305095762990121</v>
      </c>
      <c r="F1324">
        <f t="shared" ca="1" si="81"/>
        <v>1.6949042370098795</v>
      </c>
      <c r="G1324">
        <f t="shared" ca="1" si="82"/>
        <v>4.4247487266367146E-2</v>
      </c>
      <c r="H1324" t="str">
        <f t="shared" ca="1" si="83"/>
        <v>competitive</v>
      </c>
    </row>
    <row r="1325" spans="1:8" x14ac:dyDescent="0.3">
      <c r="A1325" t="s">
        <v>1076</v>
      </c>
      <c r="B1325" t="s">
        <v>71</v>
      </c>
      <c r="C1325">
        <v>13.65</v>
      </c>
      <c r="D1325">
        <v>15.1</v>
      </c>
      <c r="E1325">
        <f t="shared" ca="1" si="80"/>
        <v>13.407622654426147</v>
      </c>
      <c r="F1325">
        <f t="shared" ca="1" si="81"/>
        <v>0.24237734557385338</v>
      </c>
      <c r="G1325">
        <f t="shared" ca="1" si="82"/>
        <v>1.8077578092775409E-2</v>
      </c>
      <c r="H1325" t="str">
        <f t="shared" ca="1" si="83"/>
        <v>competitive</v>
      </c>
    </row>
    <row r="1326" spans="1:8" x14ac:dyDescent="0.3">
      <c r="A1326" t="s">
        <v>1617</v>
      </c>
      <c r="B1326" t="s">
        <v>25</v>
      </c>
      <c r="C1326">
        <v>59.99</v>
      </c>
      <c r="D1326">
        <v>16.670000000000002</v>
      </c>
      <c r="E1326">
        <f t="shared" ca="1" si="80"/>
        <v>65.687040314334396</v>
      </c>
      <c r="F1326">
        <f t="shared" ca="1" si="81"/>
        <v>-5.6970403143343944</v>
      </c>
      <c r="G1326">
        <f t="shared" ca="1" si="82"/>
        <v>-8.6730050358063873E-2</v>
      </c>
      <c r="H1326" t="str">
        <f t="shared" ca="1" si="83"/>
        <v>underprived</v>
      </c>
    </row>
    <row r="1327" spans="1:8" x14ac:dyDescent="0.3">
      <c r="A1327" t="s">
        <v>469</v>
      </c>
      <c r="B1327" t="s">
        <v>25</v>
      </c>
      <c r="C1327">
        <v>89.99</v>
      </c>
      <c r="D1327">
        <v>9.44</v>
      </c>
      <c r="E1327">
        <f t="shared" ca="1" si="80"/>
        <v>82.28700294087794</v>
      </c>
      <c r="F1327">
        <f t="shared" ca="1" si="81"/>
        <v>7.7029970591220547</v>
      </c>
      <c r="G1327">
        <f t="shared" ca="1" si="82"/>
        <v>9.3611345459459136E-2</v>
      </c>
      <c r="H1327" t="str">
        <f t="shared" ca="1" si="83"/>
        <v>overpriced</v>
      </c>
    </row>
    <row r="1328" spans="1:8" x14ac:dyDescent="0.3">
      <c r="A1328" t="s">
        <v>1618</v>
      </c>
      <c r="B1328" t="s">
        <v>339</v>
      </c>
      <c r="C1328">
        <v>38.9</v>
      </c>
      <c r="D1328">
        <v>14.1</v>
      </c>
      <c r="E1328">
        <f t="shared" ca="1" si="80"/>
        <v>35.487575906433193</v>
      </c>
      <c r="F1328">
        <f t="shared" ca="1" si="81"/>
        <v>3.4124240935668055</v>
      </c>
      <c r="G1328">
        <f t="shared" ca="1" si="82"/>
        <v>9.6158275295106899E-2</v>
      </c>
      <c r="H1328" t="str">
        <f t="shared" ca="1" si="83"/>
        <v>overpriced</v>
      </c>
    </row>
    <row r="1329" spans="1:8" x14ac:dyDescent="0.3">
      <c r="A1329" t="s">
        <v>1619</v>
      </c>
      <c r="B1329" t="s">
        <v>1620</v>
      </c>
      <c r="C1329">
        <v>144</v>
      </c>
      <c r="D1329">
        <v>14.74</v>
      </c>
      <c r="E1329">
        <f t="shared" ca="1" si="80"/>
        <v>143.39705359208125</v>
      </c>
      <c r="F1329">
        <f t="shared" ca="1" si="81"/>
        <v>0.60294640791875054</v>
      </c>
      <c r="G1329">
        <f t="shared" ca="1" si="82"/>
        <v>4.2047335898123834E-3</v>
      </c>
      <c r="H1329" t="str">
        <f t="shared" ca="1" si="83"/>
        <v>competitive</v>
      </c>
    </row>
    <row r="1330" spans="1:8" x14ac:dyDescent="0.3">
      <c r="A1330" t="s">
        <v>1621</v>
      </c>
      <c r="B1330" t="s">
        <v>1096</v>
      </c>
      <c r="C1330">
        <v>7.9</v>
      </c>
      <c r="D1330">
        <v>7.87</v>
      </c>
      <c r="E1330">
        <f t="shared" ca="1" si="80"/>
        <v>7.3385349197875591</v>
      </c>
      <c r="F1330">
        <f t="shared" ca="1" si="81"/>
        <v>0.56146508021244124</v>
      </c>
      <c r="G1330">
        <f t="shared" ca="1" si="82"/>
        <v>7.6509151533572711E-2</v>
      </c>
      <c r="H1330" t="str">
        <f t="shared" ca="1" si="83"/>
        <v>overpriced</v>
      </c>
    </row>
    <row r="1331" spans="1:8" x14ac:dyDescent="0.3">
      <c r="A1331" t="s">
        <v>1480</v>
      </c>
      <c r="B1331" t="s">
        <v>45</v>
      </c>
      <c r="C1331">
        <v>39.99</v>
      </c>
      <c r="D1331">
        <v>14.1</v>
      </c>
      <c r="E1331">
        <f t="shared" ca="1" si="80"/>
        <v>38.325785942419763</v>
      </c>
      <c r="F1331">
        <f t="shared" ca="1" si="81"/>
        <v>1.6642140575802387</v>
      </c>
      <c r="G1331">
        <f t="shared" ca="1" si="82"/>
        <v>4.3422829216875958E-2</v>
      </c>
      <c r="H1331" t="str">
        <f t="shared" ca="1" si="83"/>
        <v>competitive</v>
      </c>
    </row>
    <row r="1332" spans="1:8" x14ac:dyDescent="0.3">
      <c r="A1332" t="s">
        <v>1622</v>
      </c>
      <c r="B1332" t="s">
        <v>1623</v>
      </c>
      <c r="C1332">
        <v>109.9</v>
      </c>
      <c r="D1332">
        <v>18.82</v>
      </c>
      <c r="E1332">
        <f t="shared" ca="1" si="80"/>
        <v>105.9816190594883</v>
      </c>
      <c r="F1332">
        <f t="shared" ca="1" si="81"/>
        <v>3.9183809405117103</v>
      </c>
      <c r="G1332">
        <f t="shared" ca="1" si="82"/>
        <v>3.6972269109347096E-2</v>
      </c>
      <c r="H1332" t="str">
        <f t="shared" ca="1" si="83"/>
        <v>competitive</v>
      </c>
    </row>
    <row r="1333" spans="1:8" x14ac:dyDescent="0.3">
      <c r="A1333" t="s">
        <v>1624</v>
      </c>
      <c r="B1333" t="s">
        <v>25</v>
      </c>
      <c r="C1333">
        <v>56.99</v>
      </c>
      <c r="D1333">
        <v>8.7200000000000006</v>
      </c>
      <c r="E1333">
        <f t="shared" ca="1" si="80"/>
        <v>60.628168753548685</v>
      </c>
      <c r="F1333">
        <f t="shared" ca="1" si="81"/>
        <v>-3.6381687535486833</v>
      </c>
      <c r="G1333">
        <f t="shared" ca="1" si="82"/>
        <v>-6.000789448775383E-2</v>
      </c>
      <c r="H1333" t="str">
        <f t="shared" ca="1" si="83"/>
        <v>underprived</v>
      </c>
    </row>
    <row r="1334" spans="1:8" x14ac:dyDescent="0.3">
      <c r="A1334" t="s">
        <v>1625</v>
      </c>
      <c r="B1334" t="s">
        <v>747</v>
      </c>
      <c r="C1334">
        <v>99.9</v>
      </c>
      <c r="D1334">
        <v>12.4</v>
      </c>
      <c r="E1334">
        <f t="shared" ca="1" si="80"/>
        <v>96.97439469945725</v>
      </c>
      <c r="F1334">
        <f t="shared" ca="1" si="81"/>
        <v>2.925605300542756</v>
      </c>
      <c r="G1334">
        <f t="shared" ca="1" si="82"/>
        <v>3.0168843122040444E-2</v>
      </c>
      <c r="H1334" t="str">
        <f t="shared" ca="1" si="83"/>
        <v>competitive</v>
      </c>
    </row>
    <row r="1335" spans="1:8" x14ac:dyDescent="0.3">
      <c r="A1335" t="s">
        <v>1626</v>
      </c>
      <c r="B1335" t="s">
        <v>25</v>
      </c>
      <c r="C1335">
        <v>56.99</v>
      </c>
      <c r="D1335">
        <v>24.89</v>
      </c>
      <c r="E1335">
        <f t="shared" ca="1" si="80"/>
        <v>56.682637440770613</v>
      </c>
      <c r="F1335">
        <f t="shared" ca="1" si="81"/>
        <v>0.30736255922938938</v>
      </c>
      <c r="G1335">
        <f t="shared" ca="1" si="82"/>
        <v>5.4225168959465189E-3</v>
      </c>
      <c r="H1335" t="str">
        <f t="shared" ca="1" si="83"/>
        <v>competitive</v>
      </c>
    </row>
    <row r="1336" spans="1:8" x14ac:dyDescent="0.3">
      <c r="A1336" t="s">
        <v>1627</v>
      </c>
      <c r="B1336" t="s">
        <v>186</v>
      </c>
      <c r="C1336">
        <v>71</v>
      </c>
      <c r="D1336">
        <v>19.989999999999998</v>
      </c>
      <c r="E1336">
        <f t="shared" ca="1" si="80"/>
        <v>70.889727722075691</v>
      </c>
      <c r="F1336">
        <f t="shared" ca="1" si="81"/>
        <v>0.11027227792430949</v>
      </c>
      <c r="G1336">
        <f t="shared" ca="1" si="82"/>
        <v>1.5555466421966482E-3</v>
      </c>
      <c r="H1336" t="str">
        <f t="shared" ca="1" si="83"/>
        <v>competitive</v>
      </c>
    </row>
    <row r="1337" spans="1:8" x14ac:dyDescent="0.3">
      <c r="A1337" t="s">
        <v>1628</v>
      </c>
      <c r="B1337" t="s">
        <v>1629</v>
      </c>
      <c r="C1337">
        <v>73.989999999999995</v>
      </c>
      <c r="D1337">
        <v>24.52</v>
      </c>
      <c r="E1337">
        <f t="shared" ca="1" si="80"/>
        <v>79.018856247625138</v>
      </c>
      <c r="F1337">
        <f t="shared" ca="1" si="81"/>
        <v>-5.0288562476251428</v>
      </c>
      <c r="G1337">
        <f t="shared" ca="1" si="82"/>
        <v>-6.3641217886854465E-2</v>
      </c>
      <c r="H1337" t="str">
        <f t="shared" ca="1" si="83"/>
        <v>underprived</v>
      </c>
    </row>
    <row r="1338" spans="1:8" x14ac:dyDescent="0.3">
      <c r="A1338" t="s">
        <v>1630</v>
      </c>
      <c r="B1338" t="s">
        <v>213</v>
      </c>
      <c r="C1338">
        <v>179.9</v>
      </c>
      <c r="D1338">
        <v>39.770000000000003</v>
      </c>
      <c r="E1338">
        <f t="shared" ca="1" si="80"/>
        <v>177.06733581602006</v>
      </c>
      <c r="F1338">
        <f t="shared" ca="1" si="81"/>
        <v>2.8326641839799436</v>
      </c>
      <c r="G1338">
        <f t="shared" ca="1" si="82"/>
        <v>1.5997666486173335E-2</v>
      </c>
      <c r="H1338" t="str">
        <f t="shared" ca="1" si="83"/>
        <v>competitive</v>
      </c>
    </row>
    <row r="1339" spans="1:8" x14ac:dyDescent="0.3">
      <c r="A1339" t="s">
        <v>1631</v>
      </c>
      <c r="B1339" t="s">
        <v>241</v>
      </c>
      <c r="C1339">
        <v>41.3</v>
      </c>
      <c r="D1339">
        <v>8.27</v>
      </c>
      <c r="E1339">
        <f t="shared" ca="1" si="80"/>
        <v>41.740798223808667</v>
      </c>
      <c r="F1339">
        <f t="shared" ca="1" si="81"/>
        <v>-0.44079822380867029</v>
      </c>
      <c r="G1339">
        <f t="shared" ca="1" si="82"/>
        <v>-1.0560368813388959E-2</v>
      </c>
      <c r="H1339" t="str">
        <f t="shared" ca="1" si="83"/>
        <v>competitive</v>
      </c>
    </row>
    <row r="1340" spans="1:8" x14ac:dyDescent="0.3">
      <c r="A1340" t="s">
        <v>1632</v>
      </c>
      <c r="B1340" t="s">
        <v>350</v>
      </c>
      <c r="C1340">
        <v>17.989999999999998</v>
      </c>
      <c r="D1340">
        <v>7.39</v>
      </c>
      <c r="E1340">
        <f t="shared" ca="1" si="80"/>
        <v>17.02825915451621</v>
      </c>
      <c r="F1340">
        <f t="shared" ca="1" si="81"/>
        <v>0.96174084548378858</v>
      </c>
      <c r="G1340">
        <f t="shared" ca="1" si="82"/>
        <v>5.6479105512598278E-2</v>
      </c>
      <c r="H1340" t="str">
        <f t="shared" ca="1" si="83"/>
        <v>overpriced</v>
      </c>
    </row>
    <row r="1341" spans="1:8" x14ac:dyDescent="0.3">
      <c r="A1341" t="s">
        <v>1633</v>
      </c>
      <c r="B1341" t="s">
        <v>79</v>
      </c>
      <c r="C1341">
        <v>144.99</v>
      </c>
      <c r="D1341">
        <v>17.260000000000002</v>
      </c>
      <c r="E1341">
        <f t="shared" ca="1" si="80"/>
        <v>157.51273271412924</v>
      </c>
      <c r="F1341">
        <f t="shared" ca="1" si="81"/>
        <v>-12.522732714129233</v>
      </c>
      <c r="G1341">
        <f t="shared" ca="1" si="82"/>
        <v>-7.9502986827463734E-2</v>
      </c>
      <c r="H1341" t="str">
        <f t="shared" ca="1" si="83"/>
        <v>underprived</v>
      </c>
    </row>
    <row r="1342" spans="1:8" x14ac:dyDescent="0.3">
      <c r="A1342" t="s">
        <v>734</v>
      </c>
      <c r="B1342" t="s">
        <v>31</v>
      </c>
      <c r="C1342">
        <v>49.91</v>
      </c>
      <c r="D1342">
        <v>20.99</v>
      </c>
      <c r="E1342">
        <f t="shared" ca="1" si="80"/>
        <v>47.884394680255269</v>
      </c>
      <c r="F1342">
        <f t="shared" ca="1" si="81"/>
        <v>2.0256053197447272</v>
      </c>
      <c r="G1342">
        <f t="shared" ca="1" si="82"/>
        <v>4.2301992815625356E-2</v>
      </c>
      <c r="H1342" t="str">
        <f t="shared" ca="1" si="83"/>
        <v>competitive</v>
      </c>
    </row>
    <row r="1343" spans="1:8" x14ac:dyDescent="0.3">
      <c r="A1343" t="s">
        <v>989</v>
      </c>
      <c r="B1343" t="s">
        <v>63</v>
      </c>
      <c r="C1343">
        <v>479</v>
      </c>
      <c r="D1343">
        <v>38.700000000000003</v>
      </c>
      <c r="E1343">
        <f t="shared" ca="1" si="80"/>
        <v>491.68615635050583</v>
      </c>
      <c r="F1343">
        <f t="shared" ca="1" si="81"/>
        <v>-12.686156350505826</v>
      </c>
      <c r="G1343">
        <f t="shared" ca="1" si="82"/>
        <v>-2.5801329133745856E-2</v>
      </c>
      <c r="H1343" t="str">
        <f t="shared" ca="1" si="83"/>
        <v>competitive</v>
      </c>
    </row>
    <row r="1344" spans="1:8" x14ac:dyDescent="0.3">
      <c r="A1344" t="s">
        <v>1634</v>
      </c>
      <c r="B1344" t="s">
        <v>1635</v>
      </c>
      <c r="C1344">
        <v>98.9</v>
      </c>
      <c r="D1344">
        <v>18.79</v>
      </c>
      <c r="E1344">
        <f t="shared" ca="1" si="80"/>
        <v>90.474304241061091</v>
      </c>
      <c r="F1344">
        <f t="shared" ca="1" si="81"/>
        <v>8.4256957589389145</v>
      </c>
      <c r="G1344">
        <f t="shared" ca="1" si="82"/>
        <v>9.312805254063479E-2</v>
      </c>
      <c r="H1344" t="str">
        <f t="shared" ca="1" si="83"/>
        <v>overpriced</v>
      </c>
    </row>
    <row r="1345" spans="1:8" x14ac:dyDescent="0.3">
      <c r="A1345" t="s">
        <v>1636</v>
      </c>
      <c r="B1345" t="s">
        <v>227</v>
      </c>
      <c r="C1345">
        <v>37.9</v>
      </c>
      <c r="D1345">
        <v>15.1</v>
      </c>
      <c r="E1345">
        <f t="shared" ca="1" si="80"/>
        <v>38.889253696349776</v>
      </c>
      <c r="F1345">
        <f t="shared" ca="1" si="81"/>
        <v>-0.98925369634977756</v>
      </c>
      <c r="G1345">
        <f t="shared" ca="1" si="82"/>
        <v>-2.543771356668207E-2</v>
      </c>
      <c r="H1345" t="str">
        <f t="shared" ca="1" si="83"/>
        <v>competitive</v>
      </c>
    </row>
    <row r="1346" spans="1:8" x14ac:dyDescent="0.3">
      <c r="A1346" t="s">
        <v>1637</v>
      </c>
      <c r="B1346" t="s">
        <v>113</v>
      </c>
      <c r="C1346">
        <v>69.900000000000006</v>
      </c>
      <c r="D1346">
        <v>18.420000000000002</v>
      </c>
      <c r="E1346">
        <f t="shared" ca="1" si="80"/>
        <v>76.206913483239276</v>
      </c>
      <c r="F1346">
        <f t="shared" ca="1" si="81"/>
        <v>-6.3069134832392706</v>
      </c>
      <c r="G1346">
        <f t="shared" ca="1" si="82"/>
        <v>-8.2760384786170274E-2</v>
      </c>
      <c r="H1346" t="str">
        <f t="shared" ca="1" si="83"/>
        <v>underprived</v>
      </c>
    </row>
    <row r="1347" spans="1:8" x14ac:dyDescent="0.3">
      <c r="A1347" t="s">
        <v>1638</v>
      </c>
      <c r="B1347" t="s">
        <v>1639</v>
      </c>
      <c r="C1347">
        <v>87</v>
      </c>
      <c r="D1347">
        <v>27.67</v>
      </c>
      <c r="E1347">
        <f t="shared" ref="E1347:E1410" ca="1" si="84">C1347*(1+RAND()*0.2-0.1)</f>
        <v>80.416098656820125</v>
      </c>
      <c r="F1347">
        <f t="shared" ref="F1347:F1410" ca="1" si="85">C1347-E1347</f>
        <v>6.5839013431798747</v>
      </c>
      <c r="G1347">
        <f t="shared" ref="G1347:G1410" ca="1" si="86">(C1347-E1347)/E1347</f>
        <v>8.1872926604870694E-2</v>
      </c>
      <c r="H1347" t="str">
        <f t="shared" ref="H1347:H1410" ca="1" si="87">IF(E1347="","competitive",IF(ABS(C1347-E1347)/E1347&lt;=0.05,"competitive",IF(C1347&gt;E1347,"overpriced","underprived")))</f>
        <v>overpriced</v>
      </c>
    </row>
    <row r="1348" spans="1:8" x14ac:dyDescent="0.3">
      <c r="A1348" t="s">
        <v>1640</v>
      </c>
      <c r="B1348" t="s">
        <v>322</v>
      </c>
      <c r="C1348">
        <v>129.9</v>
      </c>
      <c r="D1348">
        <v>12.41</v>
      </c>
      <c r="E1348">
        <f t="shared" ca="1" si="84"/>
        <v>140.18418766707566</v>
      </c>
      <c r="F1348">
        <f t="shared" ca="1" si="85"/>
        <v>-10.284187667075656</v>
      </c>
      <c r="G1348">
        <f t="shared" ca="1" si="86"/>
        <v>-7.3361966411644372E-2</v>
      </c>
      <c r="H1348" t="str">
        <f t="shared" ca="1" si="87"/>
        <v>underprived</v>
      </c>
    </row>
    <row r="1349" spans="1:8" x14ac:dyDescent="0.3">
      <c r="A1349" t="s">
        <v>1641</v>
      </c>
      <c r="B1349" t="s">
        <v>117</v>
      </c>
      <c r="C1349">
        <v>199</v>
      </c>
      <c r="D1349">
        <v>18.64</v>
      </c>
      <c r="E1349">
        <f t="shared" ca="1" si="84"/>
        <v>191.64213172302442</v>
      </c>
      <c r="F1349">
        <f t="shared" ca="1" si="85"/>
        <v>7.3578682769755801</v>
      </c>
      <c r="G1349">
        <f t="shared" ca="1" si="86"/>
        <v>3.8393792694863794E-2</v>
      </c>
      <c r="H1349" t="str">
        <f t="shared" ca="1" si="87"/>
        <v>competitive</v>
      </c>
    </row>
    <row r="1350" spans="1:8" x14ac:dyDescent="0.3">
      <c r="A1350" t="s">
        <v>1642</v>
      </c>
      <c r="B1350" t="s">
        <v>1643</v>
      </c>
      <c r="C1350">
        <v>189.9</v>
      </c>
      <c r="D1350">
        <v>19.43</v>
      </c>
      <c r="E1350">
        <f t="shared" ca="1" si="84"/>
        <v>187.15449259802176</v>
      </c>
      <c r="F1350">
        <f t="shared" ca="1" si="85"/>
        <v>2.7455074019782444</v>
      </c>
      <c r="G1350">
        <f t="shared" ca="1" si="86"/>
        <v>1.4669738160521532E-2</v>
      </c>
      <c r="H1350" t="str">
        <f t="shared" ca="1" si="87"/>
        <v>competitive</v>
      </c>
    </row>
    <row r="1351" spans="1:8" x14ac:dyDescent="0.3">
      <c r="A1351" t="s">
        <v>1644</v>
      </c>
      <c r="B1351" t="s">
        <v>852</v>
      </c>
      <c r="C1351">
        <v>59</v>
      </c>
      <c r="D1351">
        <v>7.71</v>
      </c>
      <c r="E1351">
        <f t="shared" ca="1" si="84"/>
        <v>63.700600637776041</v>
      </c>
      <c r="F1351">
        <f t="shared" ca="1" si="85"/>
        <v>-4.7006006377760414</v>
      </c>
      <c r="G1351">
        <f t="shared" ca="1" si="86"/>
        <v>-7.3792092864324865E-2</v>
      </c>
      <c r="H1351" t="str">
        <f t="shared" ca="1" si="87"/>
        <v>underprived</v>
      </c>
    </row>
    <row r="1352" spans="1:8" x14ac:dyDescent="0.3">
      <c r="A1352" t="s">
        <v>1645</v>
      </c>
      <c r="B1352" t="s">
        <v>438</v>
      </c>
      <c r="C1352">
        <v>230</v>
      </c>
      <c r="D1352">
        <v>18.52</v>
      </c>
      <c r="E1352">
        <f t="shared" ca="1" si="84"/>
        <v>244.68011912014202</v>
      </c>
      <c r="F1352">
        <f t="shared" ca="1" si="85"/>
        <v>-14.680119120142024</v>
      </c>
      <c r="G1352">
        <f t="shared" ca="1" si="86"/>
        <v>-5.9997188054881731E-2</v>
      </c>
      <c r="H1352" t="str">
        <f t="shared" ca="1" si="87"/>
        <v>underprived</v>
      </c>
    </row>
    <row r="1353" spans="1:8" x14ac:dyDescent="0.3">
      <c r="A1353" t="s">
        <v>1646</v>
      </c>
      <c r="B1353" t="s">
        <v>1647</v>
      </c>
      <c r="C1353">
        <v>98</v>
      </c>
      <c r="D1353">
        <v>16.13</v>
      </c>
      <c r="E1353">
        <f t="shared" ca="1" si="84"/>
        <v>92.238357218895388</v>
      </c>
      <c r="F1353">
        <f t="shared" ca="1" si="85"/>
        <v>5.7616427811046123</v>
      </c>
      <c r="G1353">
        <f t="shared" ca="1" si="86"/>
        <v>6.246471592540806E-2</v>
      </c>
      <c r="H1353" t="str">
        <f t="shared" ca="1" si="87"/>
        <v>overpriced</v>
      </c>
    </row>
    <row r="1354" spans="1:8" x14ac:dyDescent="0.3">
      <c r="A1354" t="s">
        <v>1648</v>
      </c>
      <c r="B1354" t="s">
        <v>1649</v>
      </c>
      <c r="C1354">
        <v>48.98</v>
      </c>
      <c r="D1354">
        <v>23.1</v>
      </c>
      <c r="E1354">
        <f t="shared" ca="1" si="84"/>
        <v>47.209761554851362</v>
      </c>
      <c r="F1354">
        <f t="shared" ca="1" si="85"/>
        <v>1.7702384451486353</v>
      </c>
      <c r="G1354">
        <f t="shared" ca="1" si="86"/>
        <v>3.7497296890429271E-2</v>
      </c>
      <c r="H1354" t="str">
        <f t="shared" ca="1" si="87"/>
        <v>competitive</v>
      </c>
    </row>
    <row r="1355" spans="1:8" x14ac:dyDescent="0.3">
      <c r="A1355" t="s">
        <v>1650</v>
      </c>
      <c r="B1355" t="s">
        <v>241</v>
      </c>
      <c r="C1355">
        <v>27.3</v>
      </c>
      <c r="D1355">
        <v>15.1</v>
      </c>
      <c r="E1355">
        <f t="shared" ca="1" si="84"/>
        <v>27.418892871688847</v>
      </c>
      <c r="F1355">
        <f t="shared" ca="1" si="85"/>
        <v>-0.11889287168884621</v>
      </c>
      <c r="G1355">
        <f t="shared" ca="1" si="86"/>
        <v>-4.3361660241069792E-3</v>
      </c>
      <c r="H1355" t="str">
        <f t="shared" ca="1" si="87"/>
        <v>competitive</v>
      </c>
    </row>
    <row r="1356" spans="1:8" x14ac:dyDescent="0.3">
      <c r="A1356" t="s">
        <v>1651</v>
      </c>
      <c r="B1356" t="s">
        <v>31</v>
      </c>
      <c r="C1356">
        <v>38.9</v>
      </c>
      <c r="D1356">
        <v>13.71</v>
      </c>
      <c r="E1356">
        <f t="shared" ca="1" si="84"/>
        <v>37.855300887159878</v>
      </c>
      <c r="F1356">
        <f t="shared" ca="1" si="85"/>
        <v>1.0446991128401208</v>
      </c>
      <c r="G1356">
        <f t="shared" ca="1" si="86"/>
        <v>2.7597168384797383E-2</v>
      </c>
      <c r="H1356" t="str">
        <f t="shared" ca="1" si="87"/>
        <v>competitive</v>
      </c>
    </row>
    <row r="1357" spans="1:8" x14ac:dyDescent="0.3">
      <c r="A1357" t="s">
        <v>1651</v>
      </c>
      <c r="B1357" t="s">
        <v>31</v>
      </c>
      <c r="C1357">
        <v>38.9</v>
      </c>
      <c r="D1357">
        <v>13.71</v>
      </c>
      <c r="E1357">
        <f t="shared" ca="1" si="84"/>
        <v>41.658971741866154</v>
      </c>
      <c r="F1357">
        <f t="shared" ca="1" si="85"/>
        <v>-2.758971741866155</v>
      </c>
      <c r="G1357">
        <f t="shared" ca="1" si="86"/>
        <v>-6.6227552589673305E-2</v>
      </c>
      <c r="H1357" t="str">
        <f t="shared" ca="1" si="87"/>
        <v>underprived</v>
      </c>
    </row>
    <row r="1358" spans="1:8" x14ac:dyDescent="0.3">
      <c r="A1358" t="s">
        <v>1651</v>
      </c>
      <c r="B1358" t="s">
        <v>31</v>
      </c>
      <c r="C1358">
        <v>38.9</v>
      </c>
      <c r="D1358">
        <v>13.71</v>
      </c>
      <c r="E1358">
        <f t="shared" ca="1" si="84"/>
        <v>39.197733307227885</v>
      </c>
      <c r="F1358">
        <f t="shared" ca="1" si="85"/>
        <v>-0.29773330722788671</v>
      </c>
      <c r="G1358">
        <f t="shared" ca="1" si="86"/>
        <v>-7.5956766401333222E-3</v>
      </c>
      <c r="H1358" t="str">
        <f t="shared" ca="1" si="87"/>
        <v>competitive</v>
      </c>
    </row>
    <row r="1359" spans="1:8" x14ac:dyDescent="0.3">
      <c r="A1359" t="s">
        <v>1652</v>
      </c>
      <c r="B1359" t="s">
        <v>909</v>
      </c>
      <c r="C1359">
        <v>49</v>
      </c>
      <c r="D1359">
        <v>13</v>
      </c>
      <c r="E1359">
        <f t="shared" ca="1" si="84"/>
        <v>48.989331582594566</v>
      </c>
      <c r="F1359">
        <f t="shared" ca="1" si="85"/>
        <v>1.0668417405433672E-2</v>
      </c>
      <c r="G1359">
        <f t="shared" ca="1" si="86"/>
        <v>2.1777021773499881E-4</v>
      </c>
      <c r="H1359" t="str">
        <f t="shared" ca="1" si="87"/>
        <v>competitive</v>
      </c>
    </row>
    <row r="1360" spans="1:8" x14ac:dyDescent="0.3">
      <c r="A1360" t="s">
        <v>1653</v>
      </c>
      <c r="B1360" t="s">
        <v>49</v>
      </c>
      <c r="C1360">
        <v>49</v>
      </c>
      <c r="D1360">
        <v>15.23</v>
      </c>
      <c r="E1360">
        <f t="shared" ca="1" si="84"/>
        <v>49.196837874458723</v>
      </c>
      <c r="F1360">
        <f t="shared" ca="1" si="85"/>
        <v>-0.19683787445872269</v>
      </c>
      <c r="G1360">
        <f t="shared" ca="1" si="86"/>
        <v>-4.0010269554522334E-3</v>
      </c>
      <c r="H1360" t="str">
        <f t="shared" ca="1" si="87"/>
        <v>competitive</v>
      </c>
    </row>
    <row r="1361" spans="1:8" x14ac:dyDescent="0.3">
      <c r="A1361" t="s">
        <v>1654</v>
      </c>
      <c r="B1361" t="s">
        <v>1655</v>
      </c>
      <c r="C1361">
        <v>39.9</v>
      </c>
      <c r="D1361">
        <v>11.74</v>
      </c>
      <c r="E1361">
        <f t="shared" ca="1" si="84"/>
        <v>36.24881386769615</v>
      </c>
      <c r="F1361">
        <f t="shared" ca="1" si="85"/>
        <v>3.6511861323038488</v>
      </c>
      <c r="G1361">
        <f t="shared" ca="1" si="86"/>
        <v>0.10072567189729968</v>
      </c>
      <c r="H1361" t="str">
        <f t="shared" ca="1" si="87"/>
        <v>overpriced</v>
      </c>
    </row>
    <row r="1362" spans="1:8" x14ac:dyDescent="0.3">
      <c r="A1362" t="s">
        <v>1656</v>
      </c>
      <c r="B1362" t="s">
        <v>1242</v>
      </c>
      <c r="C1362">
        <v>34.99</v>
      </c>
      <c r="D1362">
        <v>15.1</v>
      </c>
      <c r="E1362">
        <f t="shared" ca="1" si="84"/>
        <v>34.846546152128248</v>
      </c>
      <c r="F1362">
        <f t="shared" ca="1" si="85"/>
        <v>0.14345384787175419</v>
      </c>
      <c r="G1362">
        <f t="shared" ca="1" si="86"/>
        <v>4.1167307441455792E-3</v>
      </c>
      <c r="H1362" t="str">
        <f t="shared" ca="1" si="87"/>
        <v>competitive</v>
      </c>
    </row>
    <row r="1363" spans="1:8" x14ac:dyDescent="0.3">
      <c r="A1363" t="s">
        <v>1657</v>
      </c>
      <c r="B1363" t="s">
        <v>1658</v>
      </c>
      <c r="C1363">
        <v>129.78</v>
      </c>
      <c r="D1363">
        <v>12.11</v>
      </c>
      <c r="E1363">
        <f t="shared" ca="1" si="84"/>
        <v>124.73512400836786</v>
      </c>
      <c r="F1363">
        <f t="shared" ca="1" si="85"/>
        <v>5.0448759916321393</v>
      </c>
      <c r="G1363">
        <f t="shared" ca="1" si="86"/>
        <v>4.0444710595659517E-2</v>
      </c>
      <c r="H1363" t="str">
        <f t="shared" ca="1" si="87"/>
        <v>competitive</v>
      </c>
    </row>
    <row r="1364" spans="1:8" x14ac:dyDescent="0.3">
      <c r="A1364" t="s">
        <v>1659</v>
      </c>
      <c r="B1364" t="s">
        <v>438</v>
      </c>
      <c r="C1364">
        <v>196.8</v>
      </c>
      <c r="D1364">
        <v>13.68</v>
      </c>
      <c r="E1364">
        <f t="shared" ca="1" si="84"/>
        <v>195.03926752097229</v>
      </c>
      <c r="F1364">
        <f t="shared" ca="1" si="85"/>
        <v>1.7607324790277232</v>
      </c>
      <c r="G1364">
        <f t="shared" ca="1" si="86"/>
        <v>9.0275794275037173E-3</v>
      </c>
      <c r="H1364" t="str">
        <f t="shared" ca="1" si="87"/>
        <v>competitive</v>
      </c>
    </row>
    <row r="1365" spans="1:8" x14ac:dyDescent="0.3">
      <c r="A1365" t="s">
        <v>1660</v>
      </c>
      <c r="B1365" t="s">
        <v>184</v>
      </c>
      <c r="C1365">
        <v>144.9</v>
      </c>
      <c r="D1365">
        <v>21.65</v>
      </c>
      <c r="E1365">
        <f t="shared" ca="1" si="84"/>
        <v>144.55119370467636</v>
      </c>
      <c r="F1365">
        <f t="shared" ca="1" si="85"/>
        <v>0.34880629532364082</v>
      </c>
      <c r="G1365">
        <f t="shared" ca="1" si="86"/>
        <v>2.4130295045246422E-3</v>
      </c>
      <c r="H1365" t="str">
        <f t="shared" ca="1" si="87"/>
        <v>competitive</v>
      </c>
    </row>
    <row r="1366" spans="1:8" x14ac:dyDescent="0.3">
      <c r="A1366" t="s">
        <v>1661</v>
      </c>
      <c r="B1366" t="s">
        <v>387</v>
      </c>
      <c r="C1366">
        <v>50</v>
      </c>
      <c r="D1366">
        <v>15.1</v>
      </c>
      <c r="E1366">
        <f t="shared" ca="1" si="84"/>
        <v>46.947084386514412</v>
      </c>
      <c r="F1366">
        <f t="shared" ca="1" si="85"/>
        <v>3.0529156134855882</v>
      </c>
      <c r="G1366">
        <f t="shared" ca="1" si="86"/>
        <v>6.5028865016429876E-2</v>
      </c>
      <c r="H1366" t="str">
        <f t="shared" ca="1" si="87"/>
        <v>overpriced</v>
      </c>
    </row>
    <row r="1367" spans="1:8" x14ac:dyDescent="0.3">
      <c r="A1367" t="s">
        <v>1662</v>
      </c>
      <c r="B1367" t="s">
        <v>1663</v>
      </c>
      <c r="C1367">
        <v>39.9</v>
      </c>
      <c r="D1367">
        <v>13.37</v>
      </c>
      <c r="E1367">
        <f t="shared" ca="1" si="84"/>
        <v>38.355684012359106</v>
      </c>
      <c r="F1367">
        <f t="shared" ca="1" si="85"/>
        <v>1.5443159876408927</v>
      </c>
      <c r="G1367">
        <f t="shared" ca="1" si="86"/>
        <v>4.0263028216190273E-2</v>
      </c>
      <c r="H1367" t="str">
        <f t="shared" ca="1" si="87"/>
        <v>competitive</v>
      </c>
    </row>
    <row r="1368" spans="1:8" x14ac:dyDescent="0.3">
      <c r="A1368" t="s">
        <v>1664</v>
      </c>
      <c r="B1368" t="s">
        <v>1665</v>
      </c>
      <c r="C1368">
        <v>779</v>
      </c>
      <c r="D1368">
        <v>33.85</v>
      </c>
      <c r="E1368">
        <f t="shared" ca="1" si="84"/>
        <v>760.64141821787643</v>
      </c>
      <c r="F1368">
        <f t="shared" ca="1" si="85"/>
        <v>18.358581782123565</v>
      </c>
      <c r="G1368">
        <f t="shared" ca="1" si="86"/>
        <v>2.4135658856358745E-2</v>
      </c>
      <c r="H1368" t="str">
        <f t="shared" ca="1" si="87"/>
        <v>competitive</v>
      </c>
    </row>
    <row r="1369" spans="1:8" x14ac:dyDescent="0.3">
      <c r="A1369" t="s">
        <v>256</v>
      </c>
      <c r="B1369" t="s">
        <v>257</v>
      </c>
      <c r="C1369">
        <v>199.1</v>
      </c>
      <c r="D1369">
        <v>17.149999999999999</v>
      </c>
      <c r="E1369">
        <f t="shared" ca="1" si="84"/>
        <v>209.28633732250782</v>
      </c>
      <c r="F1369">
        <f t="shared" ca="1" si="85"/>
        <v>-10.186337322507825</v>
      </c>
      <c r="G1369">
        <f t="shared" ca="1" si="86"/>
        <v>-4.8671774052841288E-2</v>
      </c>
      <c r="H1369" t="str">
        <f t="shared" ca="1" si="87"/>
        <v>competitive</v>
      </c>
    </row>
    <row r="1370" spans="1:8" x14ac:dyDescent="0.3">
      <c r="A1370" t="s">
        <v>1666</v>
      </c>
      <c r="B1370" t="s">
        <v>1033</v>
      </c>
      <c r="C1370">
        <v>45.9</v>
      </c>
      <c r="D1370">
        <v>12.79</v>
      </c>
      <c r="E1370">
        <f t="shared" ca="1" si="84"/>
        <v>47.203501424933961</v>
      </c>
      <c r="F1370">
        <f t="shared" ca="1" si="85"/>
        <v>-1.3035014249339625</v>
      </c>
      <c r="G1370">
        <f t="shared" ca="1" si="86"/>
        <v>-2.7614507093438274E-2</v>
      </c>
      <c r="H1370" t="str">
        <f t="shared" ca="1" si="87"/>
        <v>competitive</v>
      </c>
    </row>
    <row r="1371" spans="1:8" x14ac:dyDescent="0.3">
      <c r="A1371" t="s">
        <v>1667</v>
      </c>
      <c r="B1371" t="s">
        <v>47</v>
      </c>
      <c r="C1371">
        <v>159.99</v>
      </c>
      <c r="D1371">
        <v>31.18</v>
      </c>
      <c r="E1371">
        <f t="shared" ca="1" si="84"/>
        <v>148.56028547617032</v>
      </c>
      <c r="F1371">
        <f t="shared" ca="1" si="85"/>
        <v>11.429714523829688</v>
      </c>
      <c r="G1371">
        <f t="shared" ca="1" si="86"/>
        <v>7.6936541197365024E-2</v>
      </c>
      <c r="H1371" t="str">
        <f t="shared" ca="1" si="87"/>
        <v>overpriced</v>
      </c>
    </row>
    <row r="1372" spans="1:8" x14ac:dyDescent="0.3">
      <c r="A1372" t="s">
        <v>1668</v>
      </c>
      <c r="B1372" t="s">
        <v>47</v>
      </c>
      <c r="C1372">
        <v>149.99</v>
      </c>
      <c r="D1372">
        <v>27.71</v>
      </c>
      <c r="E1372">
        <f t="shared" ca="1" si="84"/>
        <v>135.85219832133569</v>
      </c>
      <c r="F1372">
        <f t="shared" ca="1" si="85"/>
        <v>14.137801678664317</v>
      </c>
      <c r="G1372">
        <f t="shared" ca="1" si="86"/>
        <v>0.10406752230261088</v>
      </c>
      <c r="H1372" t="str">
        <f t="shared" ca="1" si="87"/>
        <v>overpriced</v>
      </c>
    </row>
    <row r="1373" spans="1:8" x14ac:dyDescent="0.3">
      <c r="A1373" t="s">
        <v>1669</v>
      </c>
      <c r="B1373" t="s">
        <v>47</v>
      </c>
      <c r="C1373">
        <v>79.989999999999995</v>
      </c>
      <c r="D1373">
        <v>26.88</v>
      </c>
      <c r="E1373">
        <f t="shared" ca="1" si="84"/>
        <v>78.685652716280217</v>
      </c>
      <c r="F1373">
        <f t="shared" ca="1" si="85"/>
        <v>1.3043472837197783</v>
      </c>
      <c r="G1373">
        <f t="shared" ca="1" si="86"/>
        <v>1.6576685058747771E-2</v>
      </c>
      <c r="H1373" t="str">
        <f t="shared" ca="1" si="87"/>
        <v>competitive</v>
      </c>
    </row>
    <row r="1374" spans="1:8" x14ac:dyDescent="0.3">
      <c r="A1374" t="s">
        <v>1669</v>
      </c>
      <c r="B1374" t="s">
        <v>47</v>
      </c>
      <c r="C1374">
        <v>79.989999999999995</v>
      </c>
      <c r="D1374">
        <v>26.88</v>
      </c>
      <c r="E1374">
        <f t="shared" ca="1" si="84"/>
        <v>79.158941028400662</v>
      </c>
      <c r="F1374">
        <f t="shared" ca="1" si="85"/>
        <v>0.83105897159933306</v>
      </c>
      <c r="G1374">
        <f t="shared" ca="1" si="86"/>
        <v>1.0498611537781507E-2</v>
      </c>
      <c r="H1374" t="str">
        <f t="shared" ca="1" si="87"/>
        <v>competitive</v>
      </c>
    </row>
    <row r="1375" spans="1:8" x14ac:dyDescent="0.3">
      <c r="A1375" t="s">
        <v>1670</v>
      </c>
      <c r="B1375" t="s">
        <v>227</v>
      </c>
      <c r="C1375">
        <v>119.9</v>
      </c>
      <c r="D1375">
        <v>13.31</v>
      </c>
      <c r="E1375">
        <f t="shared" ca="1" si="84"/>
        <v>125.94210707934664</v>
      </c>
      <c r="F1375">
        <f t="shared" ca="1" si="85"/>
        <v>-6.0421070793466356</v>
      </c>
      <c r="G1375">
        <f t="shared" ca="1" si="86"/>
        <v>-4.7975273873573983E-2</v>
      </c>
      <c r="H1375" t="str">
        <f t="shared" ca="1" si="87"/>
        <v>competitive</v>
      </c>
    </row>
    <row r="1376" spans="1:8" x14ac:dyDescent="0.3">
      <c r="A1376" t="s">
        <v>1671</v>
      </c>
      <c r="B1376" t="s">
        <v>313</v>
      </c>
      <c r="C1376">
        <v>52.64</v>
      </c>
      <c r="D1376">
        <v>15.12</v>
      </c>
      <c r="E1376">
        <f t="shared" ca="1" si="84"/>
        <v>48.230998361513961</v>
      </c>
      <c r="F1376">
        <f t="shared" ca="1" si="85"/>
        <v>4.4090016384860391</v>
      </c>
      <c r="G1376">
        <f t="shared" ca="1" si="86"/>
        <v>9.1414272734694463E-2</v>
      </c>
      <c r="H1376" t="str">
        <f t="shared" ca="1" si="87"/>
        <v>overpriced</v>
      </c>
    </row>
    <row r="1377" spans="1:8" x14ac:dyDescent="0.3">
      <c r="A1377" t="s">
        <v>1672</v>
      </c>
      <c r="B1377" t="s">
        <v>859</v>
      </c>
      <c r="C1377">
        <v>150</v>
      </c>
      <c r="D1377">
        <v>8.3000000000000007</v>
      </c>
      <c r="E1377">
        <f t="shared" ca="1" si="84"/>
        <v>147.02953263202662</v>
      </c>
      <c r="F1377">
        <f t="shared" ca="1" si="85"/>
        <v>2.9704673679733844</v>
      </c>
      <c r="G1377">
        <f t="shared" ca="1" si="86"/>
        <v>2.0203202137679545E-2</v>
      </c>
      <c r="H1377" t="str">
        <f t="shared" ca="1" si="87"/>
        <v>competitive</v>
      </c>
    </row>
    <row r="1378" spans="1:8" x14ac:dyDescent="0.3">
      <c r="A1378" t="s">
        <v>1673</v>
      </c>
      <c r="B1378" t="s">
        <v>304</v>
      </c>
      <c r="C1378">
        <v>139</v>
      </c>
      <c r="D1378">
        <v>9.33</v>
      </c>
      <c r="E1378">
        <f t="shared" ca="1" si="84"/>
        <v>139.36490926998161</v>
      </c>
      <c r="F1378">
        <f t="shared" ca="1" si="85"/>
        <v>-0.36490926998160944</v>
      </c>
      <c r="G1378">
        <f t="shared" ca="1" si="86"/>
        <v>-2.61837267281319E-3</v>
      </c>
      <c r="H1378" t="str">
        <f t="shared" ca="1" si="87"/>
        <v>competitive</v>
      </c>
    </row>
    <row r="1379" spans="1:8" x14ac:dyDescent="0.3">
      <c r="A1379" t="s">
        <v>1674</v>
      </c>
      <c r="B1379" t="s">
        <v>309</v>
      </c>
      <c r="C1379">
        <v>260</v>
      </c>
      <c r="D1379">
        <v>35.18</v>
      </c>
      <c r="E1379">
        <f t="shared" ca="1" si="84"/>
        <v>281.18153955592999</v>
      </c>
      <c r="F1379">
        <f t="shared" ca="1" si="85"/>
        <v>-21.181539555929987</v>
      </c>
      <c r="G1379">
        <f t="shared" ca="1" si="86"/>
        <v>-7.5330477204805096E-2</v>
      </c>
      <c r="H1379" t="str">
        <f t="shared" ca="1" si="87"/>
        <v>underprived</v>
      </c>
    </row>
    <row r="1380" spans="1:8" x14ac:dyDescent="0.3">
      <c r="A1380" t="s">
        <v>1675</v>
      </c>
      <c r="B1380" t="s">
        <v>229</v>
      </c>
      <c r="C1380">
        <v>55</v>
      </c>
      <c r="D1380">
        <v>16.149999999999999</v>
      </c>
      <c r="E1380">
        <f t="shared" ca="1" si="84"/>
        <v>59.011771254181298</v>
      </c>
      <c r="F1380">
        <f t="shared" ca="1" si="85"/>
        <v>-4.0117712541812978</v>
      </c>
      <c r="G1380">
        <f t="shared" ca="1" si="86"/>
        <v>-6.7982559562589681E-2</v>
      </c>
      <c r="H1380" t="str">
        <f t="shared" ca="1" si="87"/>
        <v>underprived</v>
      </c>
    </row>
    <row r="1381" spans="1:8" x14ac:dyDescent="0.3">
      <c r="A1381" t="s">
        <v>1676</v>
      </c>
      <c r="B1381" t="s">
        <v>134</v>
      </c>
      <c r="C1381">
        <v>129.9</v>
      </c>
      <c r="D1381">
        <v>24.06</v>
      </c>
      <c r="E1381">
        <f t="shared" ca="1" si="84"/>
        <v>136.07421087145013</v>
      </c>
      <c r="F1381">
        <f t="shared" ca="1" si="85"/>
        <v>-6.1742108714501285</v>
      </c>
      <c r="G1381">
        <f t="shared" ca="1" si="86"/>
        <v>-4.5373850282938118E-2</v>
      </c>
      <c r="H1381" t="str">
        <f t="shared" ca="1" si="87"/>
        <v>competitive</v>
      </c>
    </row>
    <row r="1382" spans="1:8" x14ac:dyDescent="0.3">
      <c r="A1382" t="s">
        <v>1677</v>
      </c>
      <c r="B1382" t="s">
        <v>1678</v>
      </c>
      <c r="C1382">
        <v>102.5</v>
      </c>
      <c r="D1382">
        <v>23.52</v>
      </c>
      <c r="E1382">
        <f t="shared" ca="1" si="84"/>
        <v>112.54589972149371</v>
      </c>
      <c r="F1382">
        <f t="shared" ca="1" si="85"/>
        <v>-10.045899721493711</v>
      </c>
      <c r="G1382">
        <f t="shared" ca="1" si="86"/>
        <v>-8.9260468363159498E-2</v>
      </c>
      <c r="H1382" t="str">
        <f t="shared" ca="1" si="87"/>
        <v>underprived</v>
      </c>
    </row>
    <row r="1383" spans="1:8" x14ac:dyDescent="0.3">
      <c r="A1383" t="s">
        <v>1679</v>
      </c>
      <c r="B1383" t="s">
        <v>524</v>
      </c>
      <c r="C1383">
        <v>98</v>
      </c>
      <c r="D1383">
        <v>13.03</v>
      </c>
      <c r="E1383">
        <f t="shared" ca="1" si="84"/>
        <v>105.22387963349684</v>
      </c>
      <c r="F1383">
        <f t="shared" ca="1" si="85"/>
        <v>-7.2238796334968356</v>
      </c>
      <c r="G1383">
        <f t="shared" ca="1" si="86"/>
        <v>-6.8652473741304579E-2</v>
      </c>
      <c r="H1383" t="str">
        <f t="shared" ca="1" si="87"/>
        <v>underprived</v>
      </c>
    </row>
    <row r="1384" spans="1:8" x14ac:dyDescent="0.3">
      <c r="A1384" t="s">
        <v>1680</v>
      </c>
      <c r="B1384" t="s">
        <v>1096</v>
      </c>
      <c r="C1384">
        <v>18.5</v>
      </c>
      <c r="D1384">
        <v>18.23</v>
      </c>
      <c r="E1384">
        <f t="shared" ca="1" si="84"/>
        <v>19.77297080429193</v>
      </c>
      <c r="F1384">
        <f t="shared" ca="1" si="85"/>
        <v>-1.2729708042919299</v>
      </c>
      <c r="G1384">
        <f t="shared" ca="1" si="86"/>
        <v>-6.4379339700214311E-2</v>
      </c>
      <c r="H1384" t="str">
        <f t="shared" ca="1" si="87"/>
        <v>underprived</v>
      </c>
    </row>
    <row r="1385" spans="1:8" x14ac:dyDescent="0.3">
      <c r="A1385" t="s">
        <v>232</v>
      </c>
      <c r="B1385" t="s">
        <v>233</v>
      </c>
      <c r="C1385">
        <v>122.99</v>
      </c>
      <c r="D1385">
        <v>9.06</v>
      </c>
      <c r="E1385">
        <f t="shared" ca="1" si="84"/>
        <v>134.27582651424808</v>
      </c>
      <c r="F1385">
        <f t="shared" ca="1" si="85"/>
        <v>-11.285826514248086</v>
      </c>
      <c r="G1385">
        <f t="shared" ca="1" si="86"/>
        <v>-8.4049577703031605E-2</v>
      </c>
      <c r="H1385" t="str">
        <f t="shared" ca="1" si="87"/>
        <v>underprived</v>
      </c>
    </row>
    <row r="1386" spans="1:8" x14ac:dyDescent="0.3">
      <c r="A1386" t="s">
        <v>1681</v>
      </c>
      <c r="B1386" t="s">
        <v>290</v>
      </c>
      <c r="C1386">
        <v>49.9</v>
      </c>
      <c r="D1386">
        <v>13.01</v>
      </c>
      <c r="E1386">
        <f t="shared" ca="1" si="84"/>
        <v>49.562158070164863</v>
      </c>
      <c r="F1386">
        <f t="shared" ca="1" si="85"/>
        <v>0.33784192983513606</v>
      </c>
      <c r="G1386">
        <f t="shared" ca="1" si="86"/>
        <v>6.8165298483745434E-3</v>
      </c>
      <c r="H1386" t="str">
        <f t="shared" ca="1" si="87"/>
        <v>competitive</v>
      </c>
    </row>
    <row r="1387" spans="1:8" x14ac:dyDescent="0.3">
      <c r="A1387" t="s">
        <v>1682</v>
      </c>
      <c r="B1387" t="s">
        <v>1683</v>
      </c>
      <c r="C1387">
        <v>67.900000000000006</v>
      </c>
      <c r="D1387">
        <v>11.73</v>
      </c>
      <c r="E1387">
        <f t="shared" ca="1" si="84"/>
        <v>68.943665215115743</v>
      </c>
      <c r="F1387">
        <f t="shared" ca="1" si="85"/>
        <v>-1.0436652151157375</v>
      </c>
      <c r="G1387">
        <f t="shared" ca="1" si="86"/>
        <v>-1.5137942142462659E-2</v>
      </c>
      <c r="H1387" t="str">
        <f t="shared" ca="1" si="87"/>
        <v>competitive</v>
      </c>
    </row>
    <row r="1388" spans="1:8" x14ac:dyDescent="0.3">
      <c r="A1388" t="s">
        <v>1684</v>
      </c>
      <c r="B1388" t="s">
        <v>1685</v>
      </c>
      <c r="C1388">
        <v>35</v>
      </c>
      <c r="D1388">
        <v>24.35</v>
      </c>
      <c r="E1388">
        <f t="shared" ca="1" si="84"/>
        <v>33.595957640796534</v>
      </c>
      <c r="F1388">
        <f t="shared" ca="1" si="85"/>
        <v>1.4040423592034657</v>
      </c>
      <c r="G1388">
        <f t="shared" ca="1" si="86"/>
        <v>4.1792002901518625E-2</v>
      </c>
      <c r="H1388" t="str">
        <f t="shared" ca="1" si="87"/>
        <v>competitive</v>
      </c>
    </row>
    <row r="1389" spans="1:8" x14ac:dyDescent="0.3">
      <c r="A1389" t="s">
        <v>1686</v>
      </c>
      <c r="B1389" t="s">
        <v>1687</v>
      </c>
      <c r="C1389">
        <v>117</v>
      </c>
      <c r="D1389">
        <v>21.26</v>
      </c>
      <c r="E1389">
        <f t="shared" ca="1" si="84"/>
        <v>109.36593397049958</v>
      </c>
      <c r="F1389">
        <f t="shared" ca="1" si="85"/>
        <v>7.634066029500417</v>
      </c>
      <c r="G1389">
        <f t="shared" ca="1" si="86"/>
        <v>6.9802961053298682E-2</v>
      </c>
      <c r="H1389" t="str">
        <f t="shared" ca="1" si="87"/>
        <v>overpriced</v>
      </c>
    </row>
    <row r="1390" spans="1:8" x14ac:dyDescent="0.3">
      <c r="A1390" t="s">
        <v>1688</v>
      </c>
      <c r="B1390" t="s">
        <v>229</v>
      </c>
      <c r="C1390">
        <v>79</v>
      </c>
      <c r="D1390">
        <v>23.13</v>
      </c>
      <c r="E1390">
        <f t="shared" ca="1" si="84"/>
        <v>82.28664093768711</v>
      </c>
      <c r="F1390">
        <f t="shared" ca="1" si="85"/>
        <v>-3.2866409376871104</v>
      </c>
      <c r="G1390">
        <f t="shared" ca="1" si="86"/>
        <v>-3.994136715552616E-2</v>
      </c>
      <c r="H1390" t="str">
        <f t="shared" ca="1" si="87"/>
        <v>competitive</v>
      </c>
    </row>
    <row r="1391" spans="1:8" x14ac:dyDescent="0.3">
      <c r="A1391" t="s">
        <v>1689</v>
      </c>
      <c r="B1391" t="s">
        <v>1690</v>
      </c>
      <c r="C1391">
        <v>55</v>
      </c>
      <c r="D1391">
        <v>34.19</v>
      </c>
      <c r="E1391">
        <f t="shared" ca="1" si="84"/>
        <v>59.310562658959292</v>
      </c>
      <c r="F1391">
        <f t="shared" ca="1" si="85"/>
        <v>-4.3105626589592916</v>
      </c>
      <c r="G1391">
        <f t="shared" ca="1" si="86"/>
        <v>-7.2677824416291378E-2</v>
      </c>
      <c r="H1391" t="str">
        <f t="shared" ca="1" si="87"/>
        <v>underprived</v>
      </c>
    </row>
    <row r="1392" spans="1:8" x14ac:dyDescent="0.3">
      <c r="A1392" t="s">
        <v>1691</v>
      </c>
      <c r="B1392" t="s">
        <v>1692</v>
      </c>
      <c r="C1392">
        <v>131.99</v>
      </c>
      <c r="D1392">
        <v>11.66</v>
      </c>
      <c r="E1392">
        <f t="shared" ca="1" si="84"/>
        <v>120.28944459940327</v>
      </c>
      <c r="F1392">
        <f t="shared" ca="1" si="85"/>
        <v>11.700555400596741</v>
      </c>
      <c r="G1392">
        <f t="shared" ca="1" si="86"/>
        <v>9.7270009347559874E-2</v>
      </c>
      <c r="H1392" t="str">
        <f t="shared" ca="1" si="87"/>
        <v>overpriced</v>
      </c>
    </row>
    <row r="1393" spans="1:8" x14ac:dyDescent="0.3">
      <c r="A1393" t="s">
        <v>1693</v>
      </c>
      <c r="B1393" t="s">
        <v>1694</v>
      </c>
      <c r="C1393">
        <v>159</v>
      </c>
      <c r="D1393">
        <v>27.43</v>
      </c>
      <c r="E1393">
        <f t="shared" ca="1" si="84"/>
        <v>168.38893686276532</v>
      </c>
      <c r="F1393">
        <f t="shared" ca="1" si="85"/>
        <v>-9.3889368627653198</v>
      </c>
      <c r="G1393">
        <f t="shared" ca="1" si="86"/>
        <v>-5.5757444863596801E-2</v>
      </c>
      <c r="H1393" t="str">
        <f t="shared" ca="1" si="87"/>
        <v>underprived</v>
      </c>
    </row>
    <row r="1394" spans="1:8" x14ac:dyDescent="0.3">
      <c r="A1394" t="s">
        <v>1039</v>
      </c>
      <c r="B1394" t="s">
        <v>1040</v>
      </c>
      <c r="C1394">
        <v>59.9</v>
      </c>
      <c r="D1394">
        <v>16.18</v>
      </c>
      <c r="E1394">
        <f t="shared" ca="1" si="84"/>
        <v>65.029540317392161</v>
      </c>
      <c r="F1394">
        <f t="shared" ca="1" si="85"/>
        <v>-5.1295403173921628</v>
      </c>
      <c r="G1394">
        <f t="shared" ca="1" si="86"/>
        <v>-7.8880156500510681E-2</v>
      </c>
      <c r="H1394" t="str">
        <f t="shared" ca="1" si="87"/>
        <v>underprived</v>
      </c>
    </row>
    <row r="1395" spans="1:8" x14ac:dyDescent="0.3">
      <c r="A1395" t="s">
        <v>1695</v>
      </c>
      <c r="B1395" t="s">
        <v>483</v>
      </c>
      <c r="C1395">
        <v>179</v>
      </c>
      <c r="D1395">
        <v>44.83</v>
      </c>
      <c r="E1395">
        <f t="shared" ca="1" si="84"/>
        <v>177.57569268124033</v>
      </c>
      <c r="F1395">
        <f t="shared" ca="1" si="85"/>
        <v>1.4243073187596735</v>
      </c>
      <c r="G1395">
        <f t="shared" ca="1" si="86"/>
        <v>8.0208461938334995E-3</v>
      </c>
      <c r="H1395" t="str">
        <f t="shared" ca="1" si="87"/>
        <v>competitive</v>
      </c>
    </row>
    <row r="1396" spans="1:8" x14ac:dyDescent="0.3">
      <c r="A1396" t="s">
        <v>224</v>
      </c>
      <c r="B1396" t="s">
        <v>225</v>
      </c>
      <c r="C1396">
        <v>49</v>
      </c>
      <c r="D1396">
        <v>10.96</v>
      </c>
      <c r="E1396">
        <f t="shared" ca="1" si="84"/>
        <v>47.887299273991125</v>
      </c>
      <c r="F1396">
        <f t="shared" ca="1" si="85"/>
        <v>1.1127007260088746</v>
      </c>
      <c r="G1396">
        <f t="shared" ca="1" si="86"/>
        <v>2.3235821248604266E-2</v>
      </c>
      <c r="H1396" t="str">
        <f t="shared" ca="1" si="87"/>
        <v>competitive</v>
      </c>
    </row>
    <row r="1397" spans="1:8" x14ac:dyDescent="0.3">
      <c r="A1397" t="s">
        <v>1696</v>
      </c>
      <c r="B1397" t="s">
        <v>61</v>
      </c>
      <c r="C1397">
        <v>139.9</v>
      </c>
      <c r="D1397">
        <v>25.63</v>
      </c>
      <c r="E1397">
        <f t="shared" ca="1" si="84"/>
        <v>146.75274734687568</v>
      </c>
      <c r="F1397">
        <f t="shared" ca="1" si="85"/>
        <v>-6.8527473468756739</v>
      </c>
      <c r="G1397">
        <f t="shared" ca="1" si="86"/>
        <v>-4.6695870917346519E-2</v>
      </c>
      <c r="H1397" t="str">
        <f t="shared" ca="1" si="87"/>
        <v>competitive</v>
      </c>
    </row>
    <row r="1398" spans="1:8" x14ac:dyDescent="0.3">
      <c r="A1398" t="s">
        <v>1697</v>
      </c>
      <c r="B1398" t="s">
        <v>1698</v>
      </c>
      <c r="C1398">
        <v>1199.9000000000001</v>
      </c>
      <c r="D1398">
        <v>26.94</v>
      </c>
      <c r="E1398">
        <f t="shared" ca="1" si="84"/>
        <v>1310.7784633603019</v>
      </c>
      <c r="F1398">
        <f t="shared" ca="1" si="85"/>
        <v>-110.87846336030179</v>
      </c>
      <c r="G1398">
        <f t="shared" ca="1" si="86"/>
        <v>-8.4589781156500385E-2</v>
      </c>
      <c r="H1398" t="str">
        <f t="shared" ca="1" si="87"/>
        <v>underprived</v>
      </c>
    </row>
    <row r="1399" spans="1:8" x14ac:dyDescent="0.3">
      <c r="A1399" t="s">
        <v>1699</v>
      </c>
      <c r="B1399" t="s">
        <v>241</v>
      </c>
      <c r="C1399">
        <v>27.3</v>
      </c>
      <c r="D1399">
        <v>8.11</v>
      </c>
      <c r="E1399">
        <f t="shared" ca="1" si="84"/>
        <v>29.450847002041421</v>
      </c>
      <c r="F1399">
        <f t="shared" ca="1" si="85"/>
        <v>-2.1508470020414201</v>
      </c>
      <c r="G1399">
        <f t="shared" ca="1" si="86"/>
        <v>-7.303175361619757E-2</v>
      </c>
      <c r="H1399" t="str">
        <f t="shared" ca="1" si="87"/>
        <v>underprived</v>
      </c>
    </row>
    <row r="1400" spans="1:8" x14ac:dyDescent="0.3">
      <c r="A1400" t="s">
        <v>1700</v>
      </c>
      <c r="B1400" t="s">
        <v>288</v>
      </c>
      <c r="C1400">
        <v>49</v>
      </c>
      <c r="D1400">
        <v>14.1</v>
      </c>
      <c r="E1400">
        <f t="shared" ca="1" si="84"/>
        <v>50.03860986439102</v>
      </c>
      <c r="F1400">
        <f t="shared" ca="1" si="85"/>
        <v>-1.0386098643910202</v>
      </c>
      <c r="G1400">
        <f t="shared" ca="1" si="86"/>
        <v>-2.0756169430080955E-2</v>
      </c>
      <c r="H1400" t="str">
        <f t="shared" ca="1" si="87"/>
        <v>competitive</v>
      </c>
    </row>
    <row r="1401" spans="1:8" x14ac:dyDescent="0.3">
      <c r="A1401" t="s">
        <v>1701</v>
      </c>
      <c r="B1401" t="s">
        <v>644</v>
      </c>
      <c r="C1401">
        <v>259.89999999999998</v>
      </c>
      <c r="D1401">
        <v>20.73</v>
      </c>
      <c r="E1401">
        <f t="shared" ca="1" si="84"/>
        <v>243.07362762704565</v>
      </c>
      <c r="F1401">
        <f t="shared" ca="1" si="85"/>
        <v>16.826372372954324</v>
      </c>
      <c r="G1401">
        <f t="shared" ca="1" si="86"/>
        <v>6.9223356467002159E-2</v>
      </c>
      <c r="H1401" t="str">
        <f t="shared" ca="1" si="87"/>
        <v>overpriced</v>
      </c>
    </row>
    <row r="1402" spans="1:8" x14ac:dyDescent="0.3">
      <c r="A1402" t="s">
        <v>787</v>
      </c>
      <c r="B1402" t="s">
        <v>79</v>
      </c>
      <c r="C1402">
        <v>89.8</v>
      </c>
      <c r="D1402">
        <v>14.21</v>
      </c>
      <c r="E1402">
        <f t="shared" ca="1" si="84"/>
        <v>85.139625308007993</v>
      </c>
      <c r="F1402">
        <f t="shared" ca="1" si="85"/>
        <v>4.6603746919920042</v>
      </c>
      <c r="G1402">
        <f t="shared" ca="1" si="86"/>
        <v>5.4738022103483025E-2</v>
      </c>
      <c r="H1402" t="str">
        <f t="shared" ca="1" si="87"/>
        <v>overpriced</v>
      </c>
    </row>
    <row r="1403" spans="1:8" x14ac:dyDescent="0.3">
      <c r="A1403" t="s">
        <v>764</v>
      </c>
      <c r="B1403" t="s">
        <v>79</v>
      </c>
      <c r="C1403">
        <v>89.99</v>
      </c>
      <c r="D1403">
        <v>14.2</v>
      </c>
      <c r="E1403">
        <f t="shared" ca="1" si="84"/>
        <v>90.105672126536419</v>
      </c>
      <c r="F1403">
        <f t="shared" ca="1" si="85"/>
        <v>-0.115672126536424</v>
      </c>
      <c r="G1403">
        <f t="shared" ca="1" si="86"/>
        <v>-1.2837385683554341E-3</v>
      </c>
      <c r="H1403" t="str">
        <f t="shared" ca="1" si="87"/>
        <v>competitive</v>
      </c>
    </row>
    <row r="1404" spans="1:8" x14ac:dyDescent="0.3">
      <c r="A1404" t="s">
        <v>1702</v>
      </c>
      <c r="B1404" t="s">
        <v>1703</v>
      </c>
      <c r="C1404">
        <v>129.9</v>
      </c>
      <c r="D1404">
        <v>15.67</v>
      </c>
      <c r="E1404">
        <f t="shared" ca="1" si="84"/>
        <v>129.4668721293117</v>
      </c>
      <c r="F1404">
        <f t="shared" ca="1" si="85"/>
        <v>0.43312787068830971</v>
      </c>
      <c r="G1404">
        <f t="shared" ca="1" si="86"/>
        <v>3.3454725797013229E-3</v>
      </c>
      <c r="H1404" t="str">
        <f t="shared" ca="1" si="87"/>
        <v>competitive</v>
      </c>
    </row>
    <row r="1405" spans="1:8" x14ac:dyDescent="0.3">
      <c r="A1405" t="s">
        <v>460</v>
      </c>
      <c r="B1405" t="s">
        <v>461</v>
      </c>
      <c r="C1405">
        <v>170</v>
      </c>
      <c r="D1405">
        <v>25.54</v>
      </c>
      <c r="E1405">
        <f t="shared" ca="1" si="84"/>
        <v>178.5941951426413</v>
      </c>
      <c r="F1405">
        <f t="shared" ca="1" si="85"/>
        <v>-8.594195142641297</v>
      </c>
      <c r="G1405">
        <f t="shared" ca="1" si="86"/>
        <v>-4.8121357672219998E-2</v>
      </c>
      <c r="H1405" t="str">
        <f t="shared" ca="1" si="87"/>
        <v>competitive</v>
      </c>
    </row>
    <row r="1406" spans="1:8" x14ac:dyDescent="0.3">
      <c r="A1406" t="s">
        <v>460</v>
      </c>
      <c r="B1406" t="s">
        <v>461</v>
      </c>
      <c r="C1406">
        <v>170</v>
      </c>
      <c r="D1406">
        <v>25.54</v>
      </c>
      <c r="E1406">
        <f t="shared" ca="1" si="84"/>
        <v>171.33189976606761</v>
      </c>
      <c r="F1406">
        <f t="shared" ca="1" si="85"/>
        <v>-1.3318997660676075</v>
      </c>
      <c r="G1406">
        <f t="shared" ca="1" si="86"/>
        <v>-7.7737990875379947E-3</v>
      </c>
      <c r="H1406" t="str">
        <f t="shared" ca="1" si="87"/>
        <v>competitive</v>
      </c>
    </row>
    <row r="1407" spans="1:8" x14ac:dyDescent="0.3">
      <c r="A1407" t="s">
        <v>1219</v>
      </c>
      <c r="B1407" t="s">
        <v>1220</v>
      </c>
      <c r="C1407">
        <v>42.97</v>
      </c>
      <c r="D1407">
        <v>14.61</v>
      </c>
      <c r="E1407">
        <f t="shared" ca="1" si="84"/>
        <v>40.909089853364627</v>
      </c>
      <c r="F1407">
        <f t="shared" ca="1" si="85"/>
        <v>2.0609101466353721</v>
      </c>
      <c r="G1407">
        <f t="shared" ca="1" si="86"/>
        <v>5.0377804884502206E-2</v>
      </c>
      <c r="H1407" t="str">
        <f t="shared" ca="1" si="87"/>
        <v>overpriced</v>
      </c>
    </row>
    <row r="1408" spans="1:8" x14ac:dyDescent="0.3">
      <c r="A1408" t="s">
        <v>1704</v>
      </c>
      <c r="B1408" t="s">
        <v>867</v>
      </c>
      <c r="C1408">
        <v>184.9</v>
      </c>
      <c r="D1408">
        <v>21.78</v>
      </c>
      <c r="E1408">
        <f t="shared" ca="1" si="84"/>
        <v>177.48115606022083</v>
      </c>
      <c r="F1408">
        <f t="shared" ca="1" si="85"/>
        <v>7.4188439397791797</v>
      </c>
      <c r="G1408">
        <f t="shared" ca="1" si="86"/>
        <v>4.180074157992246E-2</v>
      </c>
      <c r="H1408" t="str">
        <f t="shared" ca="1" si="87"/>
        <v>competitive</v>
      </c>
    </row>
    <row r="1409" spans="1:8" x14ac:dyDescent="0.3">
      <c r="A1409" t="s">
        <v>1705</v>
      </c>
      <c r="B1409" t="s">
        <v>1706</v>
      </c>
      <c r="C1409">
        <v>89</v>
      </c>
      <c r="D1409">
        <v>12.75</v>
      </c>
      <c r="E1409">
        <f t="shared" ca="1" si="84"/>
        <v>87.155489443819363</v>
      </c>
      <c r="F1409">
        <f t="shared" ca="1" si="85"/>
        <v>1.8445105561806372</v>
      </c>
      <c r="G1409">
        <f t="shared" ca="1" si="86"/>
        <v>2.1163446708306458E-2</v>
      </c>
      <c r="H1409" t="str">
        <f t="shared" ca="1" si="87"/>
        <v>competitive</v>
      </c>
    </row>
    <row r="1410" spans="1:8" x14ac:dyDescent="0.3">
      <c r="A1410" t="s">
        <v>1707</v>
      </c>
      <c r="B1410" t="s">
        <v>190</v>
      </c>
      <c r="C1410">
        <v>102.9</v>
      </c>
      <c r="D1410">
        <v>22.43</v>
      </c>
      <c r="E1410">
        <f t="shared" ca="1" si="84"/>
        <v>100.90221507456891</v>
      </c>
      <c r="F1410">
        <f t="shared" ca="1" si="85"/>
        <v>1.9977849254310911</v>
      </c>
      <c r="G1410">
        <f t="shared" ca="1" si="86"/>
        <v>1.9799217727328233E-2</v>
      </c>
      <c r="H1410" t="str">
        <f t="shared" ca="1" si="87"/>
        <v>competitive</v>
      </c>
    </row>
    <row r="1411" spans="1:8" x14ac:dyDescent="0.3">
      <c r="A1411" t="s">
        <v>1708</v>
      </c>
      <c r="B1411" t="s">
        <v>789</v>
      </c>
      <c r="C1411">
        <v>23.8</v>
      </c>
      <c r="D1411">
        <v>7.78</v>
      </c>
      <c r="E1411">
        <f t="shared" ref="E1411:E1474" ca="1" si="88">C1411*(1+RAND()*0.2-0.1)</f>
        <v>22.05574077298321</v>
      </c>
      <c r="F1411">
        <f t="shared" ref="F1411:F1474" ca="1" si="89">C1411-E1411</f>
        <v>1.7442592270167907</v>
      </c>
      <c r="G1411">
        <f t="shared" ref="G1411:G1474" ca="1" si="90">(C1411-E1411)/E1411</f>
        <v>7.9084137094746335E-2</v>
      </c>
      <c r="H1411" t="str">
        <f t="shared" ref="H1411:H1474" ca="1" si="91">IF(E1411="","competitive",IF(ABS(C1411-E1411)/E1411&lt;=0.05,"competitive",IF(C1411&gt;E1411,"overpriced","underprived")))</f>
        <v>overpriced</v>
      </c>
    </row>
    <row r="1412" spans="1:8" x14ac:dyDescent="0.3">
      <c r="A1412" t="s">
        <v>1708</v>
      </c>
      <c r="B1412" t="s">
        <v>789</v>
      </c>
      <c r="C1412">
        <v>23.8</v>
      </c>
      <c r="D1412">
        <v>7.78</v>
      </c>
      <c r="E1412">
        <f t="shared" ca="1" si="88"/>
        <v>22.999164063107344</v>
      </c>
      <c r="F1412">
        <f t="shared" ca="1" si="89"/>
        <v>0.80083593689265697</v>
      </c>
      <c r="G1412">
        <f t="shared" ca="1" si="90"/>
        <v>3.4820219321678191E-2</v>
      </c>
      <c r="H1412" t="str">
        <f t="shared" ca="1" si="91"/>
        <v>competitive</v>
      </c>
    </row>
    <row r="1413" spans="1:8" x14ac:dyDescent="0.3">
      <c r="A1413" t="s">
        <v>1709</v>
      </c>
      <c r="B1413" t="s">
        <v>839</v>
      </c>
      <c r="C1413">
        <v>44.99</v>
      </c>
      <c r="D1413">
        <v>8.49</v>
      </c>
      <c r="E1413">
        <f t="shared" ca="1" si="88"/>
        <v>43.133647015286883</v>
      </c>
      <c r="F1413">
        <f t="shared" ca="1" si="89"/>
        <v>1.8563529847131193</v>
      </c>
      <c r="G1413">
        <f t="shared" ca="1" si="90"/>
        <v>4.3037236894325537E-2</v>
      </c>
      <c r="H1413" t="str">
        <f t="shared" ca="1" si="91"/>
        <v>competitive</v>
      </c>
    </row>
    <row r="1414" spans="1:8" x14ac:dyDescent="0.3">
      <c r="A1414" t="s">
        <v>1710</v>
      </c>
      <c r="B1414" t="s">
        <v>839</v>
      </c>
      <c r="C1414">
        <v>49.99</v>
      </c>
      <c r="D1414">
        <v>8.49</v>
      </c>
      <c r="E1414">
        <f t="shared" ca="1" si="88"/>
        <v>52.655681288305225</v>
      </c>
      <c r="F1414">
        <f t="shared" ca="1" si="89"/>
        <v>-2.6656812883052226</v>
      </c>
      <c r="G1414">
        <f t="shared" ca="1" si="90"/>
        <v>-5.0624761147991595E-2</v>
      </c>
      <c r="H1414" t="str">
        <f t="shared" ca="1" si="91"/>
        <v>underprived</v>
      </c>
    </row>
    <row r="1415" spans="1:8" x14ac:dyDescent="0.3">
      <c r="A1415" t="s">
        <v>1711</v>
      </c>
      <c r="B1415" t="s">
        <v>147</v>
      </c>
      <c r="C1415">
        <v>60.08</v>
      </c>
      <c r="D1415">
        <v>17.670000000000002</v>
      </c>
      <c r="E1415">
        <f t="shared" ca="1" si="88"/>
        <v>65.492450113910962</v>
      </c>
      <c r="F1415">
        <f t="shared" ca="1" si="89"/>
        <v>-5.412450113910964</v>
      </c>
      <c r="G1415">
        <f t="shared" ca="1" si="90"/>
        <v>-8.2642351973351041E-2</v>
      </c>
      <c r="H1415" t="str">
        <f t="shared" ca="1" si="91"/>
        <v>underprived</v>
      </c>
    </row>
    <row r="1416" spans="1:8" x14ac:dyDescent="0.3">
      <c r="A1416" t="s">
        <v>1712</v>
      </c>
      <c r="B1416" t="s">
        <v>109</v>
      </c>
      <c r="C1416">
        <v>44.99</v>
      </c>
      <c r="D1416">
        <v>7.39</v>
      </c>
      <c r="E1416">
        <f t="shared" ca="1" si="88"/>
        <v>43.819830838278399</v>
      </c>
      <c r="F1416">
        <f t="shared" ca="1" si="89"/>
        <v>1.1701691617216028</v>
      </c>
      <c r="G1416">
        <f t="shared" ca="1" si="90"/>
        <v>2.6704100388708314E-2</v>
      </c>
      <c r="H1416" t="str">
        <f t="shared" ca="1" si="91"/>
        <v>competitive</v>
      </c>
    </row>
    <row r="1417" spans="1:8" x14ac:dyDescent="0.3">
      <c r="A1417" t="s">
        <v>1712</v>
      </c>
      <c r="B1417" t="s">
        <v>109</v>
      </c>
      <c r="C1417">
        <v>44.99</v>
      </c>
      <c r="D1417">
        <v>7.39</v>
      </c>
      <c r="E1417">
        <f t="shared" ca="1" si="88"/>
        <v>48.890885495016768</v>
      </c>
      <c r="F1417">
        <f t="shared" ca="1" si="89"/>
        <v>-3.900885495016766</v>
      </c>
      <c r="G1417">
        <f t="shared" ca="1" si="90"/>
        <v>-7.9787581172248684E-2</v>
      </c>
      <c r="H1417" t="str">
        <f t="shared" ca="1" si="91"/>
        <v>underprived</v>
      </c>
    </row>
    <row r="1418" spans="1:8" x14ac:dyDescent="0.3">
      <c r="A1418" t="s">
        <v>1713</v>
      </c>
      <c r="B1418" t="s">
        <v>47</v>
      </c>
      <c r="C1418">
        <v>99.99</v>
      </c>
      <c r="D1418">
        <v>20</v>
      </c>
      <c r="E1418">
        <f t="shared" ca="1" si="88"/>
        <v>101.72104602342979</v>
      </c>
      <c r="F1418">
        <f t="shared" ca="1" si="89"/>
        <v>-1.7310460234297977</v>
      </c>
      <c r="G1418">
        <f t="shared" ca="1" si="90"/>
        <v>-1.7017579852954712E-2</v>
      </c>
      <c r="H1418" t="str">
        <f t="shared" ca="1" si="91"/>
        <v>competitive</v>
      </c>
    </row>
    <row r="1419" spans="1:8" x14ac:dyDescent="0.3">
      <c r="A1419" t="s">
        <v>1714</v>
      </c>
      <c r="B1419" t="s">
        <v>176</v>
      </c>
      <c r="C1419">
        <v>69.989999999999995</v>
      </c>
      <c r="D1419">
        <v>15.93</v>
      </c>
      <c r="E1419">
        <f t="shared" ca="1" si="88"/>
        <v>71.649820536628866</v>
      </c>
      <c r="F1419">
        <f t="shared" ca="1" si="89"/>
        <v>-1.659820536628871</v>
      </c>
      <c r="G1419">
        <f t="shared" ca="1" si="90"/>
        <v>-2.3165731947372242E-2</v>
      </c>
      <c r="H1419" t="str">
        <f t="shared" ca="1" si="91"/>
        <v>competitive</v>
      </c>
    </row>
    <row r="1420" spans="1:8" x14ac:dyDescent="0.3">
      <c r="A1420" t="s">
        <v>1715</v>
      </c>
      <c r="B1420" t="s">
        <v>763</v>
      </c>
      <c r="C1420">
        <v>45</v>
      </c>
      <c r="D1420">
        <v>22.06</v>
      </c>
      <c r="E1420">
        <f t="shared" ca="1" si="88"/>
        <v>41.380345133103994</v>
      </c>
      <c r="F1420">
        <f t="shared" ca="1" si="89"/>
        <v>3.6196548668960062</v>
      </c>
      <c r="G1420">
        <f t="shared" ca="1" si="90"/>
        <v>8.7472805150682689E-2</v>
      </c>
      <c r="H1420" t="str">
        <f t="shared" ca="1" si="91"/>
        <v>overpriced</v>
      </c>
    </row>
    <row r="1421" spans="1:8" x14ac:dyDescent="0.3">
      <c r="A1421" t="s">
        <v>1716</v>
      </c>
      <c r="B1421" t="s">
        <v>202</v>
      </c>
      <c r="C1421">
        <v>69.900000000000006</v>
      </c>
      <c r="D1421">
        <v>12.62</v>
      </c>
      <c r="E1421">
        <f t="shared" ca="1" si="88"/>
        <v>71.61049534570266</v>
      </c>
      <c r="F1421">
        <f t="shared" ca="1" si="89"/>
        <v>-1.7104953457026539</v>
      </c>
      <c r="G1421">
        <f t="shared" ca="1" si="90"/>
        <v>-2.3886098503371134E-2</v>
      </c>
      <c r="H1421" t="str">
        <f t="shared" ca="1" si="91"/>
        <v>competitive</v>
      </c>
    </row>
    <row r="1422" spans="1:8" x14ac:dyDescent="0.3">
      <c r="A1422" t="s">
        <v>1716</v>
      </c>
      <c r="B1422" t="s">
        <v>202</v>
      </c>
      <c r="C1422">
        <v>69.900000000000006</v>
      </c>
      <c r="D1422">
        <v>12.62</v>
      </c>
      <c r="E1422">
        <f t="shared" ca="1" si="88"/>
        <v>67.83000087377205</v>
      </c>
      <c r="F1422">
        <f t="shared" ca="1" si="89"/>
        <v>2.0699991262279553</v>
      </c>
      <c r="G1422">
        <f t="shared" ca="1" si="90"/>
        <v>3.0517456871040165E-2</v>
      </c>
      <c r="H1422" t="str">
        <f t="shared" ca="1" si="91"/>
        <v>competitive</v>
      </c>
    </row>
    <row r="1423" spans="1:8" x14ac:dyDescent="0.3">
      <c r="A1423" t="s">
        <v>1717</v>
      </c>
      <c r="B1423" t="s">
        <v>1718</v>
      </c>
      <c r="C1423">
        <v>62.49</v>
      </c>
      <c r="D1423">
        <v>57.21</v>
      </c>
      <c r="E1423">
        <f t="shared" ca="1" si="88"/>
        <v>59.81016990458663</v>
      </c>
      <c r="F1423">
        <f t="shared" ca="1" si="89"/>
        <v>2.6798300954133722</v>
      </c>
      <c r="G1423">
        <f t="shared" ca="1" si="90"/>
        <v>4.4805592421630382E-2</v>
      </c>
      <c r="H1423" t="str">
        <f t="shared" ca="1" si="91"/>
        <v>competitive</v>
      </c>
    </row>
    <row r="1424" spans="1:8" x14ac:dyDescent="0.3">
      <c r="A1424" t="s">
        <v>1719</v>
      </c>
      <c r="B1424" t="s">
        <v>401</v>
      </c>
      <c r="C1424">
        <v>35</v>
      </c>
      <c r="D1424">
        <v>8.27</v>
      </c>
      <c r="E1424">
        <f t="shared" ca="1" si="88"/>
        <v>35.114362149406901</v>
      </c>
      <c r="F1424">
        <f t="shared" ca="1" si="89"/>
        <v>-0.11436214940690093</v>
      </c>
      <c r="G1424">
        <f t="shared" ca="1" si="90"/>
        <v>-3.2568482639754445E-3</v>
      </c>
      <c r="H1424" t="str">
        <f t="shared" ca="1" si="91"/>
        <v>competitive</v>
      </c>
    </row>
    <row r="1425" spans="1:8" x14ac:dyDescent="0.3">
      <c r="A1425" t="s">
        <v>1720</v>
      </c>
      <c r="B1425" t="s">
        <v>186</v>
      </c>
      <c r="C1425">
        <v>109</v>
      </c>
      <c r="D1425">
        <v>18.010000000000002</v>
      </c>
      <c r="E1425">
        <f t="shared" ca="1" si="88"/>
        <v>104.21496993072054</v>
      </c>
      <c r="F1425">
        <f t="shared" ca="1" si="89"/>
        <v>4.7850300692794576</v>
      </c>
      <c r="G1425">
        <f t="shared" ca="1" si="90"/>
        <v>4.5914997360364099E-2</v>
      </c>
      <c r="H1425" t="str">
        <f t="shared" ca="1" si="91"/>
        <v>competitive</v>
      </c>
    </row>
    <row r="1426" spans="1:8" x14ac:dyDescent="0.3">
      <c r="A1426" t="s">
        <v>843</v>
      </c>
      <c r="B1426" t="s">
        <v>25</v>
      </c>
      <c r="C1426">
        <v>58.99</v>
      </c>
      <c r="D1426">
        <v>11.73</v>
      </c>
      <c r="E1426">
        <f t="shared" ca="1" si="88"/>
        <v>57.53514191012993</v>
      </c>
      <c r="F1426">
        <f t="shared" ca="1" si="89"/>
        <v>1.454858089870072</v>
      </c>
      <c r="G1426">
        <f t="shared" ca="1" si="90"/>
        <v>2.5286425679501495E-2</v>
      </c>
      <c r="H1426" t="str">
        <f t="shared" ca="1" si="91"/>
        <v>competitive</v>
      </c>
    </row>
    <row r="1427" spans="1:8" x14ac:dyDescent="0.3">
      <c r="A1427" t="s">
        <v>314</v>
      </c>
      <c r="B1427" t="s">
        <v>315</v>
      </c>
      <c r="C1427">
        <v>49.9</v>
      </c>
      <c r="D1427">
        <v>16.95</v>
      </c>
      <c r="E1427">
        <f t="shared" ca="1" si="88"/>
        <v>46.421967774286259</v>
      </c>
      <c r="F1427">
        <f t="shared" ca="1" si="89"/>
        <v>3.4780322257137399</v>
      </c>
      <c r="G1427">
        <f t="shared" ca="1" si="90"/>
        <v>7.4922119687487007E-2</v>
      </c>
      <c r="H1427" t="str">
        <f t="shared" ca="1" si="91"/>
        <v>overpriced</v>
      </c>
    </row>
    <row r="1428" spans="1:8" x14ac:dyDescent="0.3">
      <c r="A1428" t="s">
        <v>1451</v>
      </c>
      <c r="B1428" t="s">
        <v>49</v>
      </c>
      <c r="C1428">
        <v>29</v>
      </c>
      <c r="D1428">
        <v>7.78</v>
      </c>
      <c r="E1428">
        <f t="shared" ca="1" si="88"/>
        <v>30.881052440487331</v>
      </c>
      <c r="F1428">
        <f t="shared" ca="1" si="89"/>
        <v>-1.8810524404873306</v>
      </c>
      <c r="G1428">
        <f t="shared" ca="1" si="90"/>
        <v>-6.0912834629338358E-2</v>
      </c>
      <c r="H1428" t="str">
        <f t="shared" ca="1" si="91"/>
        <v>underprived</v>
      </c>
    </row>
    <row r="1429" spans="1:8" x14ac:dyDescent="0.3">
      <c r="A1429" t="s">
        <v>1721</v>
      </c>
      <c r="B1429" t="s">
        <v>49</v>
      </c>
      <c r="C1429">
        <v>29</v>
      </c>
      <c r="D1429">
        <v>7.78</v>
      </c>
      <c r="E1429">
        <f t="shared" ca="1" si="88"/>
        <v>28.216231213642139</v>
      </c>
      <c r="F1429">
        <f t="shared" ca="1" si="89"/>
        <v>0.78376878635786085</v>
      </c>
      <c r="G1429">
        <f t="shared" ca="1" si="90"/>
        <v>2.7777231495711589E-2</v>
      </c>
      <c r="H1429" t="str">
        <f t="shared" ca="1" si="91"/>
        <v>competitive</v>
      </c>
    </row>
    <row r="1430" spans="1:8" x14ac:dyDescent="0.3">
      <c r="A1430" t="s">
        <v>1722</v>
      </c>
      <c r="B1430" t="s">
        <v>49</v>
      </c>
      <c r="C1430">
        <v>49</v>
      </c>
      <c r="D1430">
        <v>7.78</v>
      </c>
      <c r="E1430">
        <f t="shared" ca="1" si="88"/>
        <v>50.823369968111642</v>
      </c>
      <c r="F1430">
        <f t="shared" ca="1" si="89"/>
        <v>-1.823369968111642</v>
      </c>
      <c r="G1430">
        <f t="shared" ca="1" si="90"/>
        <v>-3.5876604980261795E-2</v>
      </c>
      <c r="H1430" t="str">
        <f t="shared" ca="1" si="91"/>
        <v>competitive</v>
      </c>
    </row>
    <row r="1431" spans="1:8" x14ac:dyDescent="0.3">
      <c r="A1431" t="s">
        <v>1723</v>
      </c>
      <c r="B1431" t="s">
        <v>241</v>
      </c>
      <c r="C1431">
        <v>10.5</v>
      </c>
      <c r="D1431">
        <v>15.1</v>
      </c>
      <c r="E1431">
        <f t="shared" ca="1" si="88"/>
        <v>9.6327880894914184</v>
      </c>
      <c r="F1431">
        <f t="shared" ca="1" si="89"/>
        <v>0.8672119105085816</v>
      </c>
      <c r="G1431">
        <f t="shared" ca="1" si="90"/>
        <v>9.002709313772185E-2</v>
      </c>
      <c r="H1431" t="str">
        <f t="shared" ca="1" si="91"/>
        <v>overpriced</v>
      </c>
    </row>
    <row r="1432" spans="1:8" x14ac:dyDescent="0.3">
      <c r="A1432" t="s">
        <v>1724</v>
      </c>
      <c r="B1432" t="s">
        <v>241</v>
      </c>
      <c r="C1432">
        <v>13.3</v>
      </c>
      <c r="D1432">
        <v>15.1</v>
      </c>
      <c r="E1432">
        <f t="shared" ca="1" si="88"/>
        <v>13.309932335261523</v>
      </c>
      <c r="F1432">
        <f t="shared" ca="1" si="89"/>
        <v>-9.9323352615225957E-3</v>
      </c>
      <c r="G1432">
        <f t="shared" ca="1" si="90"/>
        <v>-7.4623484262269452E-4</v>
      </c>
      <c r="H1432" t="str">
        <f t="shared" ca="1" si="91"/>
        <v>competitive</v>
      </c>
    </row>
    <row r="1433" spans="1:8" x14ac:dyDescent="0.3">
      <c r="A1433" t="s">
        <v>734</v>
      </c>
      <c r="B1433" t="s">
        <v>31</v>
      </c>
      <c r="C1433">
        <v>49.91</v>
      </c>
      <c r="D1433">
        <v>20.99</v>
      </c>
      <c r="E1433">
        <f t="shared" ca="1" si="88"/>
        <v>53.425265985782509</v>
      </c>
      <c r="F1433">
        <f t="shared" ca="1" si="89"/>
        <v>-3.5152659857825128</v>
      </c>
      <c r="G1433">
        <f t="shared" ca="1" si="90"/>
        <v>-6.5797819082791142E-2</v>
      </c>
      <c r="H1433" t="str">
        <f t="shared" ca="1" si="91"/>
        <v>underprived</v>
      </c>
    </row>
    <row r="1434" spans="1:8" x14ac:dyDescent="0.3">
      <c r="A1434" t="s">
        <v>392</v>
      </c>
      <c r="B1434" t="s">
        <v>393</v>
      </c>
      <c r="C1434">
        <v>119.9</v>
      </c>
      <c r="D1434">
        <v>17.55</v>
      </c>
      <c r="E1434">
        <f t="shared" ca="1" si="88"/>
        <v>131.76731204686686</v>
      </c>
      <c r="F1434">
        <f t="shared" ca="1" si="89"/>
        <v>-11.867312046866857</v>
      </c>
      <c r="G1434">
        <f t="shared" ca="1" si="90"/>
        <v>-9.0062640441856356E-2</v>
      </c>
      <c r="H1434" t="str">
        <f t="shared" ca="1" si="91"/>
        <v>underprived</v>
      </c>
    </row>
    <row r="1435" spans="1:8" x14ac:dyDescent="0.3">
      <c r="A1435" t="s">
        <v>1725</v>
      </c>
      <c r="B1435" t="s">
        <v>29</v>
      </c>
      <c r="C1435">
        <v>69.900000000000006</v>
      </c>
      <c r="D1435">
        <v>12.83</v>
      </c>
      <c r="E1435">
        <f t="shared" ca="1" si="88"/>
        <v>65.68965624556968</v>
      </c>
      <c r="F1435">
        <f t="shared" ca="1" si="89"/>
        <v>4.2103437544303262</v>
      </c>
      <c r="G1435">
        <f t="shared" ca="1" si="90"/>
        <v>6.409447080512444E-2</v>
      </c>
      <c r="H1435" t="str">
        <f t="shared" ca="1" si="91"/>
        <v>overpriced</v>
      </c>
    </row>
    <row r="1436" spans="1:8" x14ac:dyDescent="0.3">
      <c r="A1436" t="s">
        <v>1726</v>
      </c>
      <c r="B1436" t="s">
        <v>691</v>
      </c>
      <c r="C1436">
        <v>86.99</v>
      </c>
      <c r="D1436">
        <v>17.04</v>
      </c>
      <c r="E1436">
        <f t="shared" ca="1" si="88"/>
        <v>84.30668975073803</v>
      </c>
      <c r="F1436">
        <f t="shared" ca="1" si="89"/>
        <v>2.6833102492619645</v>
      </c>
      <c r="G1436">
        <f t="shared" ca="1" si="90"/>
        <v>3.1827963560133427E-2</v>
      </c>
      <c r="H1436" t="str">
        <f t="shared" ca="1" si="91"/>
        <v>competitive</v>
      </c>
    </row>
    <row r="1437" spans="1:8" x14ac:dyDescent="0.3">
      <c r="A1437" t="s">
        <v>1727</v>
      </c>
      <c r="B1437" t="s">
        <v>691</v>
      </c>
      <c r="C1437">
        <v>63.99</v>
      </c>
      <c r="D1437">
        <v>17.03</v>
      </c>
      <c r="E1437">
        <f t="shared" ca="1" si="88"/>
        <v>67.998333733417013</v>
      </c>
      <c r="F1437">
        <f t="shared" ca="1" si="89"/>
        <v>-4.008333733417011</v>
      </c>
      <c r="G1437">
        <f t="shared" ca="1" si="90"/>
        <v>-5.8947528760504915E-2</v>
      </c>
      <c r="H1437" t="str">
        <f t="shared" ca="1" si="91"/>
        <v>underprived</v>
      </c>
    </row>
    <row r="1438" spans="1:8" x14ac:dyDescent="0.3">
      <c r="A1438" t="s">
        <v>1728</v>
      </c>
      <c r="B1438" t="s">
        <v>1252</v>
      </c>
      <c r="C1438">
        <v>52.99</v>
      </c>
      <c r="D1438">
        <v>11.76</v>
      </c>
      <c r="E1438">
        <f t="shared" ca="1" si="88"/>
        <v>57.269704803918458</v>
      </c>
      <c r="F1438">
        <f t="shared" ca="1" si="89"/>
        <v>-4.279704803918456</v>
      </c>
      <c r="G1438">
        <f t="shared" ca="1" si="90"/>
        <v>-7.472894820344235E-2</v>
      </c>
      <c r="H1438" t="str">
        <f t="shared" ca="1" si="91"/>
        <v>underprived</v>
      </c>
    </row>
    <row r="1439" spans="1:8" x14ac:dyDescent="0.3">
      <c r="A1439" t="s">
        <v>1729</v>
      </c>
      <c r="B1439" t="s">
        <v>23</v>
      </c>
      <c r="C1439">
        <v>37.5</v>
      </c>
      <c r="D1439">
        <v>16.32</v>
      </c>
      <c r="E1439">
        <f t="shared" ca="1" si="88"/>
        <v>34.63565819492657</v>
      </c>
      <c r="F1439">
        <f t="shared" ca="1" si="89"/>
        <v>2.8643418050734297</v>
      </c>
      <c r="G1439">
        <f t="shared" ca="1" si="90"/>
        <v>8.2699216771142475E-2</v>
      </c>
      <c r="H1439" t="str">
        <f t="shared" ca="1" si="91"/>
        <v>overpriced</v>
      </c>
    </row>
    <row r="1440" spans="1:8" x14ac:dyDescent="0.3">
      <c r="A1440" t="s">
        <v>1730</v>
      </c>
      <c r="B1440" t="s">
        <v>45</v>
      </c>
      <c r="C1440">
        <v>29.98</v>
      </c>
      <c r="D1440">
        <v>7.78</v>
      </c>
      <c r="E1440">
        <f t="shared" ca="1" si="88"/>
        <v>31.313625251817346</v>
      </c>
      <c r="F1440">
        <f t="shared" ca="1" si="89"/>
        <v>-1.3336252518173453</v>
      </c>
      <c r="G1440">
        <f t="shared" ca="1" si="90"/>
        <v>-4.2589295908494203E-2</v>
      </c>
      <c r="H1440" t="str">
        <f t="shared" ca="1" si="91"/>
        <v>competitive</v>
      </c>
    </row>
    <row r="1441" spans="1:8" x14ac:dyDescent="0.3">
      <c r="A1441" t="s">
        <v>1731</v>
      </c>
      <c r="B1441" t="s">
        <v>1732</v>
      </c>
      <c r="C1441">
        <v>29</v>
      </c>
      <c r="D1441">
        <v>15.79</v>
      </c>
      <c r="E1441">
        <f t="shared" ca="1" si="88"/>
        <v>29.725067824339892</v>
      </c>
      <c r="F1441">
        <f t="shared" ca="1" si="89"/>
        <v>-0.72506782433989159</v>
      </c>
      <c r="G1441">
        <f t="shared" ca="1" si="90"/>
        <v>-2.4392469972639778E-2</v>
      </c>
      <c r="H1441" t="str">
        <f t="shared" ca="1" si="91"/>
        <v>competitive</v>
      </c>
    </row>
    <row r="1442" spans="1:8" x14ac:dyDescent="0.3">
      <c r="A1442" t="s">
        <v>1731</v>
      </c>
      <c r="B1442" t="s">
        <v>1732</v>
      </c>
      <c r="C1442">
        <v>29</v>
      </c>
      <c r="D1442">
        <v>15.79</v>
      </c>
      <c r="E1442">
        <f t="shared" ca="1" si="88"/>
        <v>28.879804693759912</v>
      </c>
      <c r="F1442">
        <f t="shared" ca="1" si="89"/>
        <v>0.12019530624008823</v>
      </c>
      <c r="G1442">
        <f t="shared" ca="1" si="90"/>
        <v>4.1619154808917027E-3</v>
      </c>
      <c r="H1442" t="str">
        <f t="shared" ca="1" si="91"/>
        <v>competitive</v>
      </c>
    </row>
    <row r="1443" spans="1:8" x14ac:dyDescent="0.3">
      <c r="A1443" t="s">
        <v>469</v>
      </c>
      <c r="B1443" t="s">
        <v>25</v>
      </c>
      <c r="C1443">
        <v>89.99</v>
      </c>
      <c r="D1443">
        <v>16.39</v>
      </c>
      <c r="E1443">
        <f t="shared" ca="1" si="88"/>
        <v>83.506913790655432</v>
      </c>
      <c r="F1443">
        <f t="shared" ca="1" si="89"/>
        <v>6.4830862093445631</v>
      </c>
      <c r="G1443">
        <f t="shared" ca="1" si="90"/>
        <v>7.7635322814073773E-2</v>
      </c>
      <c r="H1443" t="str">
        <f t="shared" ca="1" si="91"/>
        <v>overpriced</v>
      </c>
    </row>
    <row r="1444" spans="1:8" x14ac:dyDescent="0.3">
      <c r="A1444" t="s">
        <v>1733</v>
      </c>
      <c r="B1444" t="s">
        <v>378</v>
      </c>
      <c r="C1444">
        <v>62.34</v>
      </c>
      <c r="D1444">
        <v>15.19</v>
      </c>
      <c r="E1444">
        <f t="shared" ca="1" si="88"/>
        <v>59.349234404558388</v>
      </c>
      <c r="F1444">
        <f t="shared" ca="1" si="89"/>
        <v>2.9907655954416157</v>
      </c>
      <c r="G1444">
        <f t="shared" ca="1" si="90"/>
        <v>5.0392656711539759E-2</v>
      </c>
      <c r="H1444" t="str">
        <f t="shared" ca="1" si="91"/>
        <v>overpriced</v>
      </c>
    </row>
    <row r="1445" spans="1:8" x14ac:dyDescent="0.3">
      <c r="A1445" t="s">
        <v>1734</v>
      </c>
      <c r="B1445" t="s">
        <v>1735</v>
      </c>
      <c r="C1445">
        <v>89.99</v>
      </c>
      <c r="D1445">
        <v>45.09</v>
      </c>
      <c r="E1445">
        <f t="shared" ca="1" si="88"/>
        <v>92.627304549659954</v>
      </c>
      <c r="F1445">
        <f t="shared" ca="1" si="89"/>
        <v>-2.6373045496599588</v>
      </c>
      <c r="G1445">
        <f t="shared" ca="1" si="90"/>
        <v>-2.8472215212157339E-2</v>
      </c>
      <c r="H1445" t="str">
        <f t="shared" ca="1" si="91"/>
        <v>competitive</v>
      </c>
    </row>
    <row r="1446" spans="1:8" x14ac:dyDescent="0.3">
      <c r="A1446" t="s">
        <v>912</v>
      </c>
      <c r="B1446" t="s">
        <v>913</v>
      </c>
      <c r="C1446">
        <v>89</v>
      </c>
      <c r="D1446">
        <v>15.37</v>
      </c>
      <c r="E1446">
        <f t="shared" ca="1" si="88"/>
        <v>96.684760459204156</v>
      </c>
      <c r="F1446">
        <f t="shared" ca="1" si="89"/>
        <v>-7.6847604592041563</v>
      </c>
      <c r="G1446">
        <f t="shared" ca="1" si="90"/>
        <v>-7.9482644655738871E-2</v>
      </c>
      <c r="H1446" t="str">
        <f t="shared" ca="1" si="91"/>
        <v>underprived</v>
      </c>
    </row>
    <row r="1447" spans="1:8" x14ac:dyDescent="0.3">
      <c r="A1447" t="s">
        <v>1736</v>
      </c>
      <c r="B1447" t="s">
        <v>839</v>
      </c>
      <c r="C1447">
        <v>139.99</v>
      </c>
      <c r="D1447">
        <v>17.37</v>
      </c>
      <c r="E1447">
        <f t="shared" ca="1" si="88"/>
        <v>137.94504792258866</v>
      </c>
      <c r="F1447">
        <f t="shared" ca="1" si="89"/>
        <v>2.0449520774113523</v>
      </c>
      <c r="G1447">
        <f t="shared" ca="1" si="90"/>
        <v>1.4824396440522669E-2</v>
      </c>
      <c r="H1447" t="str">
        <f t="shared" ca="1" si="91"/>
        <v>competitive</v>
      </c>
    </row>
    <row r="1448" spans="1:8" x14ac:dyDescent="0.3">
      <c r="A1448" t="s">
        <v>1737</v>
      </c>
      <c r="B1448" t="s">
        <v>909</v>
      </c>
      <c r="C1448">
        <v>69.5</v>
      </c>
      <c r="D1448">
        <v>18.59</v>
      </c>
      <c r="E1448">
        <f t="shared" ca="1" si="88"/>
        <v>70.067141581262121</v>
      </c>
      <c r="F1448">
        <f t="shared" ca="1" si="89"/>
        <v>-0.56714158126212055</v>
      </c>
      <c r="G1448">
        <f t="shared" ca="1" si="90"/>
        <v>-8.094258856048293E-3</v>
      </c>
      <c r="H1448" t="str">
        <f t="shared" ca="1" si="91"/>
        <v>competitive</v>
      </c>
    </row>
    <row r="1449" spans="1:8" x14ac:dyDescent="0.3">
      <c r="A1449" t="s">
        <v>1738</v>
      </c>
      <c r="B1449" t="s">
        <v>1172</v>
      </c>
      <c r="C1449">
        <v>89.99</v>
      </c>
      <c r="D1449">
        <v>13.65</v>
      </c>
      <c r="E1449">
        <f t="shared" ca="1" si="88"/>
        <v>93.051869057479934</v>
      </c>
      <c r="F1449">
        <f t="shared" ca="1" si="89"/>
        <v>-3.0618690574799388</v>
      </c>
      <c r="G1449">
        <f t="shared" ca="1" si="90"/>
        <v>-3.2904971049948099E-2</v>
      </c>
      <c r="H1449" t="str">
        <f t="shared" ca="1" si="91"/>
        <v>competitive</v>
      </c>
    </row>
    <row r="1450" spans="1:8" x14ac:dyDescent="0.3">
      <c r="A1450" t="s">
        <v>897</v>
      </c>
      <c r="B1450" t="s">
        <v>25</v>
      </c>
      <c r="C1450">
        <v>56.99</v>
      </c>
      <c r="D1450">
        <v>15.15</v>
      </c>
      <c r="E1450">
        <f t="shared" ca="1" si="88"/>
        <v>59.648892844721708</v>
      </c>
      <c r="F1450">
        <f t="shared" ca="1" si="89"/>
        <v>-2.6588928447217057</v>
      </c>
      <c r="G1450">
        <f t="shared" ca="1" si="90"/>
        <v>-4.4575728365040215E-2</v>
      </c>
      <c r="H1450" t="str">
        <f t="shared" ca="1" si="91"/>
        <v>competitive</v>
      </c>
    </row>
    <row r="1451" spans="1:8" x14ac:dyDescent="0.3">
      <c r="A1451" t="s">
        <v>1739</v>
      </c>
      <c r="B1451" t="s">
        <v>1740</v>
      </c>
      <c r="C1451">
        <v>139.99</v>
      </c>
      <c r="D1451">
        <v>15.74</v>
      </c>
      <c r="E1451">
        <f t="shared" ca="1" si="88"/>
        <v>140.13171484497548</v>
      </c>
      <c r="F1451">
        <f t="shared" ca="1" si="89"/>
        <v>-0.14171484497546771</v>
      </c>
      <c r="G1451">
        <f t="shared" ca="1" si="90"/>
        <v>-1.0112974434962393E-3</v>
      </c>
      <c r="H1451" t="str">
        <f t="shared" ca="1" si="91"/>
        <v>competitive</v>
      </c>
    </row>
    <row r="1452" spans="1:8" x14ac:dyDescent="0.3">
      <c r="A1452" t="s">
        <v>1741</v>
      </c>
      <c r="B1452" t="s">
        <v>71</v>
      </c>
      <c r="C1452">
        <v>12.95</v>
      </c>
      <c r="D1452">
        <v>7.39</v>
      </c>
      <c r="E1452">
        <f t="shared" ca="1" si="88"/>
        <v>14.241901925971211</v>
      </c>
      <c r="F1452">
        <f t="shared" ca="1" si="89"/>
        <v>-1.2919019259712119</v>
      </c>
      <c r="G1452">
        <f t="shared" ca="1" si="90"/>
        <v>-9.0711334250612174E-2</v>
      </c>
      <c r="H1452" t="str">
        <f t="shared" ca="1" si="91"/>
        <v>underprived</v>
      </c>
    </row>
    <row r="1453" spans="1:8" x14ac:dyDescent="0.3">
      <c r="A1453" t="s">
        <v>1742</v>
      </c>
      <c r="B1453" t="s">
        <v>1743</v>
      </c>
      <c r="C1453">
        <v>179.99</v>
      </c>
      <c r="D1453">
        <v>23.58</v>
      </c>
      <c r="E1453">
        <f t="shared" ca="1" si="88"/>
        <v>174.67211941449935</v>
      </c>
      <c r="F1453">
        <f t="shared" ca="1" si="89"/>
        <v>5.3178805855006601</v>
      </c>
      <c r="G1453">
        <f t="shared" ca="1" si="90"/>
        <v>3.0444930784181166E-2</v>
      </c>
      <c r="H1453" t="str">
        <f t="shared" ca="1" si="91"/>
        <v>competitive</v>
      </c>
    </row>
    <row r="1454" spans="1:8" x14ac:dyDescent="0.3">
      <c r="A1454" t="s">
        <v>1744</v>
      </c>
      <c r="B1454" t="s">
        <v>1745</v>
      </c>
      <c r="C1454">
        <v>39.99</v>
      </c>
      <c r="D1454">
        <v>18.23</v>
      </c>
      <c r="E1454">
        <f t="shared" ca="1" si="88"/>
        <v>36.170807589956958</v>
      </c>
      <c r="F1454">
        <f t="shared" ca="1" si="89"/>
        <v>3.8191924100430441</v>
      </c>
      <c r="G1454">
        <f t="shared" ca="1" si="90"/>
        <v>0.10558770081493746</v>
      </c>
      <c r="H1454" t="str">
        <f t="shared" ca="1" si="91"/>
        <v>overpriced</v>
      </c>
    </row>
    <row r="1455" spans="1:8" x14ac:dyDescent="0.3">
      <c r="A1455" t="s">
        <v>1746</v>
      </c>
      <c r="B1455" t="s">
        <v>1747</v>
      </c>
      <c r="C1455">
        <v>148.5</v>
      </c>
      <c r="D1455">
        <v>165.32</v>
      </c>
      <c r="E1455">
        <f t="shared" ca="1" si="88"/>
        <v>135.60957690393099</v>
      </c>
      <c r="F1455">
        <f t="shared" ca="1" si="89"/>
        <v>12.890423096069014</v>
      </c>
      <c r="G1455">
        <f t="shared" ca="1" si="90"/>
        <v>9.5055403831846574E-2</v>
      </c>
      <c r="H1455" t="str">
        <f t="shared" ca="1" si="91"/>
        <v>overpriced</v>
      </c>
    </row>
    <row r="1456" spans="1:8" x14ac:dyDescent="0.3">
      <c r="A1456" t="s">
        <v>1748</v>
      </c>
      <c r="B1456" t="s">
        <v>131</v>
      </c>
      <c r="C1456">
        <v>45.91</v>
      </c>
      <c r="D1456">
        <v>17.600000000000001</v>
      </c>
      <c r="E1456">
        <f t="shared" ca="1" si="88"/>
        <v>42.080481516876027</v>
      </c>
      <c r="F1456">
        <f t="shared" ca="1" si="89"/>
        <v>3.8295184831239695</v>
      </c>
      <c r="G1456">
        <f t="shared" ca="1" si="90"/>
        <v>9.100462601855383E-2</v>
      </c>
      <c r="H1456" t="str">
        <f t="shared" ca="1" si="91"/>
        <v>overpriced</v>
      </c>
    </row>
    <row r="1457" spans="1:8" x14ac:dyDescent="0.3">
      <c r="A1457" t="s">
        <v>258</v>
      </c>
      <c r="B1457" t="s">
        <v>213</v>
      </c>
      <c r="C1457">
        <v>69.900000000000006</v>
      </c>
      <c r="D1457">
        <v>19.190000000000001</v>
      </c>
      <c r="E1457">
        <f t="shared" ca="1" si="88"/>
        <v>71.570703120854915</v>
      </c>
      <c r="F1457">
        <f t="shared" ca="1" si="89"/>
        <v>-1.6707031208549097</v>
      </c>
      <c r="G1457">
        <f t="shared" ca="1" si="90"/>
        <v>-2.3343393986695167E-2</v>
      </c>
      <c r="H1457" t="str">
        <f t="shared" ca="1" si="91"/>
        <v>competitive</v>
      </c>
    </row>
    <row r="1458" spans="1:8" x14ac:dyDescent="0.3">
      <c r="A1458" t="s">
        <v>1749</v>
      </c>
      <c r="B1458" t="s">
        <v>1750</v>
      </c>
      <c r="C1458">
        <v>239.99</v>
      </c>
      <c r="D1458">
        <v>70.540000000000006</v>
      </c>
      <c r="E1458">
        <f t="shared" ca="1" si="88"/>
        <v>219.61721273584669</v>
      </c>
      <c r="F1458">
        <f t="shared" ca="1" si="89"/>
        <v>20.372787264153317</v>
      </c>
      <c r="G1458">
        <f t="shared" ca="1" si="90"/>
        <v>9.2764984175705278E-2</v>
      </c>
      <c r="H1458" t="str">
        <f t="shared" ca="1" si="91"/>
        <v>overpriced</v>
      </c>
    </row>
    <row r="1459" spans="1:8" x14ac:dyDescent="0.3">
      <c r="A1459" t="s">
        <v>1751</v>
      </c>
      <c r="B1459" t="s">
        <v>665</v>
      </c>
      <c r="C1459">
        <v>159</v>
      </c>
      <c r="D1459">
        <v>64.48</v>
      </c>
      <c r="E1459">
        <f t="shared" ca="1" si="88"/>
        <v>150.4892294786552</v>
      </c>
      <c r="F1459">
        <f t="shared" ca="1" si="89"/>
        <v>8.5107705213447957</v>
      </c>
      <c r="G1459">
        <f t="shared" ca="1" si="90"/>
        <v>5.655401752556604E-2</v>
      </c>
      <c r="H1459" t="str">
        <f t="shared" ca="1" si="91"/>
        <v>overpriced</v>
      </c>
    </row>
    <row r="1460" spans="1:8" x14ac:dyDescent="0.3">
      <c r="A1460" t="s">
        <v>1752</v>
      </c>
      <c r="B1460" t="s">
        <v>81</v>
      </c>
      <c r="C1460">
        <v>99.89</v>
      </c>
      <c r="D1460">
        <v>8.2799999999999994</v>
      </c>
      <c r="E1460">
        <f t="shared" ca="1" si="88"/>
        <v>92.931182747619232</v>
      </c>
      <c r="F1460">
        <f t="shared" ca="1" si="89"/>
        <v>6.9588172523807685</v>
      </c>
      <c r="G1460">
        <f t="shared" ca="1" si="90"/>
        <v>7.4881401986235274E-2</v>
      </c>
      <c r="H1460" t="str">
        <f t="shared" ca="1" si="91"/>
        <v>overpriced</v>
      </c>
    </row>
    <row r="1461" spans="1:8" x14ac:dyDescent="0.3">
      <c r="A1461" t="s">
        <v>1753</v>
      </c>
      <c r="B1461" t="s">
        <v>1754</v>
      </c>
      <c r="C1461">
        <v>19.899999999999999</v>
      </c>
      <c r="D1461">
        <v>24.84</v>
      </c>
      <c r="E1461">
        <f t="shared" ca="1" si="88"/>
        <v>20.095003651208444</v>
      </c>
      <c r="F1461">
        <f t="shared" ca="1" si="89"/>
        <v>-0.19500365120844521</v>
      </c>
      <c r="G1461">
        <f t="shared" ca="1" si="90"/>
        <v>-9.7040863785420785E-3</v>
      </c>
      <c r="H1461" t="str">
        <f t="shared" ca="1" si="91"/>
        <v>competitive</v>
      </c>
    </row>
    <row r="1462" spans="1:8" x14ac:dyDescent="0.3">
      <c r="A1462" t="s">
        <v>1755</v>
      </c>
      <c r="B1462" t="s">
        <v>1242</v>
      </c>
      <c r="C1462">
        <v>63.99</v>
      </c>
      <c r="D1462">
        <v>8.2899999999999991</v>
      </c>
      <c r="E1462">
        <f t="shared" ca="1" si="88"/>
        <v>65.798889013736726</v>
      </c>
      <c r="F1462">
        <f t="shared" ca="1" si="89"/>
        <v>-1.8088890137367244</v>
      </c>
      <c r="G1462">
        <f t="shared" ca="1" si="90"/>
        <v>-2.7491178663504267E-2</v>
      </c>
      <c r="H1462" t="str">
        <f t="shared" ca="1" si="91"/>
        <v>competitive</v>
      </c>
    </row>
    <row r="1463" spans="1:8" x14ac:dyDescent="0.3">
      <c r="A1463" t="s">
        <v>1756</v>
      </c>
      <c r="B1463" t="s">
        <v>227</v>
      </c>
      <c r="C1463">
        <v>69.900000000000006</v>
      </c>
      <c r="D1463">
        <v>38.04</v>
      </c>
      <c r="E1463">
        <f t="shared" ca="1" si="88"/>
        <v>73.809787513618076</v>
      </c>
      <c r="F1463">
        <f t="shared" ca="1" si="89"/>
        <v>-3.9097875136180704</v>
      </c>
      <c r="G1463">
        <f t="shared" ca="1" si="90"/>
        <v>-5.2971125447241064E-2</v>
      </c>
      <c r="H1463" t="str">
        <f t="shared" ca="1" si="91"/>
        <v>underprived</v>
      </c>
    </row>
    <row r="1464" spans="1:8" x14ac:dyDescent="0.3">
      <c r="A1464" t="s">
        <v>195</v>
      </c>
      <c r="B1464" t="s">
        <v>1757</v>
      </c>
      <c r="C1464">
        <v>79.900000000000006</v>
      </c>
      <c r="D1464">
        <v>13.9</v>
      </c>
      <c r="E1464">
        <f t="shared" ca="1" si="88"/>
        <v>77.720906972595785</v>
      </c>
      <c r="F1464">
        <f t="shared" ca="1" si="89"/>
        <v>2.1790930274042211</v>
      </c>
      <c r="G1464">
        <f t="shared" ca="1" si="90"/>
        <v>2.8037411197125689E-2</v>
      </c>
      <c r="H1464" t="str">
        <f t="shared" ca="1" si="91"/>
        <v>competitive</v>
      </c>
    </row>
    <row r="1465" spans="1:8" x14ac:dyDescent="0.3">
      <c r="A1465" t="s">
        <v>1758</v>
      </c>
      <c r="B1465" t="s">
        <v>1395</v>
      </c>
      <c r="C1465">
        <v>39.9</v>
      </c>
      <c r="D1465">
        <v>11.15</v>
      </c>
      <c r="E1465">
        <f t="shared" ca="1" si="88"/>
        <v>39.321492417883604</v>
      </c>
      <c r="F1465">
        <f t="shared" ca="1" si="89"/>
        <v>0.5785075821163943</v>
      </c>
      <c r="G1465">
        <f t="shared" ca="1" si="90"/>
        <v>1.4712248862998045E-2</v>
      </c>
      <c r="H1465" t="str">
        <f t="shared" ca="1" si="91"/>
        <v>competitive</v>
      </c>
    </row>
    <row r="1466" spans="1:8" x14ac:dyDescent="0.3">
      <c r="A1466" t="s">
        <v>1759</v>
      </c>
      <c r="B1466" t="s">
        <v>45</v>
      </c>
      <c r="C1466">
        <v>24.99</v>
      </c>
      <c r="D1466">
        <v>7.78</v>
      </c>
      <c r="E1466">
        <f t="shared" ca="1" si="88"/>
        <v>27.424873293762229</v>
      </c>
      <c r="F1466">
        <f t="shared" ca="1" si="89"/>
        <v>-2.4348732937622302</v>
      </c>
      <c r="G1466">
        <f t="shared" ca="1" si="90"/>
        <v>-8.8783392640725184E-2</v>
      </c>
      <c r="H1466" t="str">
        <f t="shared" ca="1" si="91"/>
        <v>underprived</v>
      </c>
    </row>
    <row r="1467" spans="1:8" x14ac:dyDescent="0.3">
      <c r="A1467" t="s">
        <v>1259</v>
      </c>
      <c r="B1467" t="s">
        <v>109</v>
      </c>
      <c r="C1467">
        <v>99</v>
      </c>
      <c r="D1467">
        <v>15.57</v>
      </c>
      <c r="E1467">
        <f t="shared" ca="1" si="88"/>
        <v>106.93088950370584</v>
      </c>
      <c r="F1467">
        <f t="shared" ca="1" si="89"/>
        <v>-7.930889503705842</v>
      </c>
      <c r="G1467">
        <f t="shared" ca="1" si="90"/>
        <v>-7.4168367442889224E-2</v>
      </c>
      <c r="H1467" t="str">
        <f t="shared" ca="1" si="91"/>
        <v>underprived</v>
      </c>
    </row>
    <row r="1468" spans="1:8" x14ac:dyDescent="0.3">
      <c r="A1468" t="s">
        <v>1760</v>
      </c>
      <c r="B1468" t="s">
        <v>416</v>
      </c>
      <c r="C1468">
        <v>18.989999999999998</v>
      </c>
      <c r="D1468">
        <v>14.52</v>
      </c>
      <c r="E1468">
        <f t="shared" ca="1" si="88"/>
        <v>18.506396990115039</v>
      </c>
      <c r="F1468">
        <f t="shared" ca="1" si="89"/>
        <v>0.48360300988495908</v>
      </c>
      <c r="G1468">
        <f t="shared" ca="1" si="90"/>
        <v>2.6131667344176695E-2</v>
      </c>
      <c r="H1468" t="str">
        <f t="shared" ca="1" si="91"/>
        <v>competitive</v>
      </c>
    </row>
    <row r="1469" spans="1:8" x14ac:dyDescent="0.3">
      <c r="A1469" t="s">
        <v>1761</v>
      </c>
      <c r="B1469" t="s">
        <v>416</v>
      </c>
      <c r="C1469">
        <v>18.989999999999998</v>
      </c>
      <c r="D1469">
        <v>14.52</v>
      </c>
      <c r="E1469">
        <f t="shared" ca="1" si="88"/>
        <v>19.218718039085079</v>
      </c>
      <c r="F1469">
        <f t="shared" ca="1" si="89"/>
        <v>-0.2287180390850807</v>
      </c>
      <c r="G1469">
        <f t="shared" ca="1" si="90"/>
        <v>-1.1900795808541295E-2</v>
      </c>
      <c r="H1469" t="str">
        <f t="shared" ca="1" si="91"/>
        <v>competitive</v>
      </c>
    </row>
    <row r="1470" spans="1:8" x14ac:dyDescent="0.3">
      <c r="A1470" t="s">
        <v>1762</v>
      </c>
      <c r="B1470" t="s">
        <v>1763</v>
      </c>
      <c r="C1470">
        <v>336</v>
      </c>
      <c r="D1470">
        <v>17.100000000000001</v>
      </c>
      <c r="E1470">
        <f t="shared" ca="1" si="88"/>
        <v>334.18630693503093</v>
      </c>
      <c r="F1470">
        <f t="shared" ca="1" si="89"/>
        <v>1.8136930649690726</v>
      </c>
      <c r="G1470">
        <f t="shared" ca="1" si="90"/>
        <v>5.4271914418135394E-3</v>
      </c>
      <c r="H1470" t="str">
        <f t="shared" ca="1" si="91"/>
        <v>competitive</v>
      </c>
    </row>
    <row r="1471" spans="1:8" x14ac:dyDescent="0.3">
      <c r="A1471" t="s">
        <v>1764</v>
      </c>
      <c r="B1471" t="s">
        <v>141</v>
      </c>
      <c r="C1471">
        <v>630</v>
      </c>
      <c r="D1471">
        <v>64.489999999999995</v>
      </c>
      <c r="E1471">
        <f t="shared" ca="1" si="88"/>
        <v>624.9507829460307</v>
      </c>
      <c r="F1471">
        <f t="shared" ca="1" si="89"/>
        <v>5.0492170539693007</v>
      </c>
      <c r="G1471">
        <f t="shared" ca="1" si="90"/>
        <v>8.0793835158781448E-3</v>
      </c>
      <c r="H1471" t="str">
        <f t="shared" ca="1" si="91"/>
        <v>competitive</v>
      </c>
    </row>
    <row r="1472" spans="1:8" x14ac:dyDescent="0.3">
      <c r="A1472" t="s">
        <v>1764</v>
      </c>
      <c r="B1472" t="s">
        <v>141</v>
      </c>
      <c r="C1472">
        <v>630</v>
      </c>
      <c r="D1472">
        <v>64.489999999999995</v>
      </c>
      <c r="E1472">
        <f t="shared" ca="1" si="88"/>
        <v>624.99190326342193</v>
      </c>
      <c r="F1472">
        <f t="shared" ca="1" si="89"/>
        <v>5.008096736578068</v>
      </c>
      <c r="G1472">
        <f t="shared" ca="1" si="90"/>
        <v>8.0130585859241963E-3</v>
      </c>
      <c r="H1472" t="str">
        <f t="shared" ca="1" si="91"/>
        <v>competitive</v>
      </c>
    </row>
    <row r="1473" spans="1:8" x14ac:dyDescent="0.3">
      <c r="A1473" t="s">
        <v>1765</v>
      </c>
      <c r="B1473" t="s">
        <v>225</v>
      </c>
      <c r="C1473">
        <v>49.9</v>
      </c>
      <c r="D1473">
        <v>15.1</v>
      </c>
      <c r="E1473">
        <f t="shared" ca="1" si="88"/>
        <v>46.899260083890603</v>
      </c>
      <c r="F1473">
        <f t="shared" ca="1" si="89"/>
        <v>3.0007399161093957</v>
      </c>
      <c r="G1473">
        <f t="shared" ca="1" si="90"/>
        <v>6.3982670744524558E-2</v>
      </c>
      <c r="H1473" t="str">
        <f t="shared" ca="1" si="91"/>
        <v>overpriced</v>
      </c>
    </row>
    <row r="1474" spans="1:8" x14ac:dyDescent="0.3">
      <c r="A1474" t="s">
        <v>1766</v>
      </c>
      <c r="B1474" t="s">
        <v>551</v>
      </c>
      <c r="C1474">
        <v>479</v>
      </c>
      <c r="D1474">
        <v>18.100000000000001</v>
      </c>
      <c r="E1474">
        <f t="shared" ca="1" si="88"/>
        <v>517.44256928238212</v>
      </c>
      <c r="F1474">
        <f t="shared" ca="1" si="89"/>
        <v>-38.442569282382124</v>
      </c>
      <c r="G1474">
        <f t="shared" ca="1" si="90"/>
        <v>-7.4293402909807751E-2</v>
      </c>
      <c r="H1474" t="str">
        <f t="shared" ca="1" si="91"/>
        <v>underprived</v>
      </c>
    </row>
    <row r="1475" spans="1:8" x14ac:dyDescent="0.3">
      <c r="A1475" t="s">
        <v>1767</v>
      </c>
      <c r="B1475" t="s">
        <v>644</v>
      </c>
      <c r="C1475">
        <v>168.8</v>
      </c>
      <c r="D1475">
        <v>15.93</v>
      </c>
      <c r="E1475">
        <f t="shared" ref="E1475:E1538" ca="1" si="92">C1475*(1+RAND()*0.2-0.1)</f>
        <v>180.84857446084294</v>
      </c>
      <c r="F1475">
        <f t="shared" ref="F1475:F1538" ca="1" si="93">C1475-E1475</f>
        <v>-12.048574460842929</v>
      </c>
      <c r="G1475">
        <f t="shared" ref="G1475:G1538" ca="1" si="94">(C1475-E1475)/E1475</f>
        <v>-6.6622446412767641E-2</v>
      </c>
      <c r="H1475" t="str">
        <f t="shared" ref="H1475:H1538" ca="1" si="95">IF(E1475="","competitive",IF(ABS(C1475-E1475)/E1475&lt;=0.05,"competitive",IF(C1475&gt;E1475,"overpriced","underprived")))</f>
        <v>underprived</v>
      </c>
    </row>
    <row r="1476" spans="1:8" x14ac:dyDescent="0.3">
      <c r="A1476" t="s">
        <v>1768</v>
      </c>
      <c r="B1476" t="s">
        <v>1340</v>
      </c>
      <c r="C1476">
        <v>129.9</v>
      </c>
      <c r="D1476">
        <v>71.459999999999994</v>
      </c>
      <c r="E1476">
        <f t="shared" ca="1" si="92"/>
        <v>120.63898644504613</v>
      </c>
      <c r="F1476">
        <f t="shared" ca="1" si="93"/>
        <v>9.2610135549538768</v>
      </c>
      <c r="G1476">
        <f t="shared" ca="1" si="94"/>
        <v>7.6766340864215438E-2</v>
      </c>
      <c r="H1476" t="str">
        <f t="shared" ca="1" si="95"/>
        <v>overpriced</v>
      </c>
    </row>
    <row r="1477" spans="1:8" x14ac:dyDescent="0.3">
      <c r="A1477" t="s">
        <v>1769</v>
      </c>
      <c r="B1477" t="s">
        <v>1770</v>
      </c>
      <c r="C1477">
        <v>40.85</v>
      </c>
      <c r="D1477">
        <v>71.459999999999994</v>
      </c>
      <c r="E1477">
        <f t="shared" ca="1" si="92"/>
        <v>39.831271791412476</v>
      </c>
      <c r="F1477">
        <f t="shared" ca="1" si="93"/>
        <v>1.0187282085875253</v>
      </c>
      <c r="G1477">
        <f t="shared" ca="1" si="94"/>
        <v>2.5576090412638058E-2</v>
      </c>
      <c r="H1477" t="str">
        <f t="shared" ca="1" si="95"/>
        <v>competitive</v>
      </c>
    </row>
    <row r="1478" spans="1:8" x14ac:dyDescent="0.3">
      <c r="A1478" t="s">
        <v>1771</v>
      </c>
      <c r="B1478" t="s">
        <v>1772</v>
      </c>
      <c r="C1478">
        <v>36.9</v>
      </c>
      <c r="D1478">
        <v>19.32</v>
      </c>
      <c r="E1478">
        <f t="shared" ca="1" si="92"/>
        <v>37.180235893914151</v>
      </c>
      <c r="F1478">
        <f t="shared" ca="1" si="93"/>
        <v>-0.28023589391415271</v>
      </c>
      <c r="G1478">
        <f t="shared" ca="1" si="94"/>
        <v>-7.5372274321697658E-3</v>
      </c>
      <c r="H1478" t="str">
        <f t="shared" ca="1" si="95"/>
        <v>competitive</v>
      </c>
    </row>
    <row r="1479" spans="1:8" x14ac:dyDescent="0.3">
      <c r="A1479" t="s">
        <v>1773</v>
      </c>
      <c r="B1479" t="s">
        <v>1774</v>
      </c>
      <c r="C1479">
        <v>14.99</v>
      </c>
      <c r="D1479">
        <v>14.1</v>
      </c>
      <c r="E1479">
        <f t="shared" ca="1" si="92"/>
        <v>14.897771174835958</v>
      </c>
      <c r="F1479">
        <f t="shared" ca="1" si="93"/>
        <v>9.2228825164042405E-2</v>
      </c>
      <c r="G1479">
        <f t="shared" ca="1" si="94"/>
        <v>6.1907800892946627E-3</v>
      </c>
      <c r="H1479" t="str">
        <f t="shared" ca="1" si="95"/>
        <v>competitive</v>
      </c>
    </row>
    <row r="1480" spans="1:8" x14ac:dyDescent="0.3">
      <c r="A1480" t="s">
        <v>615</v>
      </c>
      <c r="B1480" t="s">
        <v>186</v>
      </c>
      <c r="C1480">
        <v>85.71</v>
      </c>
      <c r="D1480">
        <v>11.69</v>
      </c>
      <c r="E1480">
        <f t="shared" ca="1" si="92"/>
        <v>88.900264204980829</v>
      </c>
      <c r="F1480">
        <f t="shared" ca="1" si="93"/>
        <v>-3.190264204980835</v>
      </c>
      <c r="G1480">
        <f t="shared" ca="1" si="94"/>
        <v>-3.5885879907228593E-2</v>
      </c>
      <c r="H1480" t="str">
        <f t="shared" ca="1" si="95"/>
        <v>competitive</v>
      </c>
    </row>
    <row r="1481" spans="1:8" x14ac:dyDescent="0.3">
      <c r="A1481" t="s">
        <v>914</v>
      </c>
      <c r="B1481" t="s">
        <v>915</v>
      </c>
      <c r="C1481">
        <v>143</v>
      </c>
      <c r="D1481">
        <v>38.549999999999997</v>
      </c>
      <c r="E1481">
        <f t="shared" ca="1" si="92"/>
        <v>135.00588489410154</v>
      </c>
      <c r="F1481">
        <f t="shared" ca="1" si="93"/>
        <v>7.9941151058984588</v>
      </c>
      <c r="G1481">
        <f t="shared" ca="1" si="94"/>
        <v>5.9213086245603543E-2</v>
      </c>
      <c r="H1481" t="str">
        <f t="shared" ca="1" si="95"/>
        <v>overpriced</v>
      </c>
    </row>
    <row r="1482" spans="1:8" x14ac:dyDescent="0.3">
      <c r="A1482" t="s">
        <v>201</v>
      </c>
      <c r="B1482" t="s">
        <v>1775</v>
      </c>
      <c r="C1482">
        <v>84.89</v>
      </c>
      <c r="D1482">
        <v>7.94</v>
      </c>
      <c r="E1482">
        <f t="shared" ca="1" si="92"/>
        <v>92.558674533749326</v>
      </c>
      <c r="F1482">
        <f t="shared" ca="1" si="93"/>
        <v>-7.668674533749325</v>
      </c>
      <c r="G1482">
        <f t="shared" ca="1" si="94"/>
        <v>-8.2852034910602834E-2</v>
      </c>
      <c r="H1482" t="str">
        <f t="shared" ca="1" si="95"/>
        <v>underprived</v>
      </c>
    </row>
    <row r="1483" spans="1:8" x14ac:dyDescent="0.3">
      <c r="A1483" t="s">
        <v>1776</v>
      </c>
      <c r="B1483" t="s">
        <v>1335</v>
      </c>
      <c r="C1483">
        <v>159</v>
      </c>
      <c r="D1483">
        <v>26.61</v>
      </c>
      <c r="E1483">
        <f t="shared" ca="1" si="92"/>
        <v>157.96138340897392</v>
      </c>
      <c r="F1483">
        <f t="shared" ca="1" si="93"/>
        <v>1.0386165910260843</v>
      </c>
      <c r="G1483">
        <f t="shared" ca="1" si="94"/>
        <v>6.5751297476107041E-3</v>
      </c>
      <c r="H1483" t="str">
        <f t="shared" ca="1" si="95"/>
        <v>competitive</v>
      </c>
    </row>
    <row r="1484" spans="1:8" x14ac:dyDescent="0.3">
      <c r="A1484" t="s">
        <v>1777</v>
      </c>
      <c r="B1484" t="s">
        <v>1778</v>
      </c>
      <c r="C1484">
        <v>70</v>
      </c>
      <c r="D1484">
        <v>16.739999999999998</v>
      </c>
      <c r="E1484">
        <f t="shared" ca="1" si="92"/>
        <v>76.955738331513203</v>
      </c>
      <c r="F1484">
        <f t="shared" ca="1" si="93"/>
        <v>-6.9557383315132029</v>
      </c>
      <c r="G1484">
        <f t="shared" ca="1" si="94"/>
        <v>-9.0386220473241088E-2</v>
      </c>
      <c r="H1484" t="str">
        <f t="shared" ca="1" si="95"/>
        <v>underprived</v>
      </c>
    </row>
    <row r="1485" spans="1:8" x14ac:dyDescent="0.3">
      <c r="A1485" t="s">
        <v>1779</v>
      </c>
      <c r="B1485" t="s">
        <v>1780</v>
      </c>
      <c r="C1485">
        <v>99</v>
      </c>
      <c r="D1485">
        <v>23.01</v>
      </c>
      <c r="E1485">
        <f t="shared" ca="1" si="92"/>
        <v>100.08188966903391</v>
      </c>
      <c r="F1485">
        <f t="shared" ca="1" si="93"/>
        <v>-1.081889669033913</v>
      </c>
      <c r="G1485">
        <f t="shared" ca="1" si="94"/>
        <v>-1.0810044380773296E-2</v>
      </c>
      <c r="H1485" t="str">
        <f t="shared" ca="1" si="95"/>
        <v>competitive</v>
      </c>
    </row>
    <row r="1486" spans="1:8" x14ac:dyDescent="0.3">
      <c r="A1486" t="s">
        <v>1781</v>
      </c>
      <c r="B1486" t="s">
        <v>313</v>
      </c>
      <c r="C1486">
        <v>174.9</v>
      </c>
      <c r="D1486">
        <v>18.47</v>
      </c>
      <c r="E1486">
        <f t="shared" ca="1" si="92"/>
        <v>185.60453424874677</v>
      </c>
      <c r="F1486">
        <f t="shared" ca="1" si="93"/>
        <v>-10.704534248746768</v>
      </c>
      <c r="G1486">
        <f t="shared" ca="1" si="94"/>
        <v>-5.7673883302875435E-2</v>
      </c>
      <c r="H1486" t="str">
        <f t="shared" ca="1" si="95"/>
        <v>underprived</v>
      </c>
    </row>
    <row r="1487" spans="1:8" x14ac:dyDescent="0.3">
      <c r="A1487" t="s">
        <v>28</v>
      </c>
      <c r="B1487" t="s">
        <v>29</v>
      </c>
      <c r="C1487">
        <v>89.9</v>
      </c>
      <c r="D1487">
        <v>15.38</v>
      </c>
      <c r="E1487">
        <f t="shared" ca="1" si="92"/>
        <v>95.61380171427885</v>
      </c>
      <c r="F1487">
        <f t="shared" ca="1" si="93"/>
        <v>-5.7138017142788442</v>
      </c>
      <c r="G1487">
        <f t="shared" ca="1" si="94"/>
        <v>-5.9759172962845927E-2</v>
      </c>
      <c r="H1487" t="str">
        <f t="shared" ca="1" si="95"/>
        <v>underprived</v>
      </c>
    </row>
    <row r="1488" spans="1:8" x14ac:dyDescent="0.3">
      <c r="A1488" t="s">
        <v>1782</v>
      </c>
      <c r="B1488" t="s">
        <v>1783</v>
      </c>
      <c r="C1488">
        <v>48.9</v>
      </c>
      <c r="D1488">
        <v>18.63</v>
      </c>
      <c r="E1488">
        <f t="shared" ca="1" si="92"/>
        <v>50.38975757848609</v>
      </c>
      <c r="F1488">
        <f t="shared" ca="1" si="93"/>
        <v>-1.4897575784860919</v>
      </c>
      <c r="G1488">
        <f t="shared" ca="1" si="94"/>
        <v>-2.9564690327507033E-2</v>
      </c>
      <c r="H1488" t="str">
        <f t="shared" ca="1" si="95"/>
        <v>competitive</v>
      </c>
    </row>
    <row r="1489" spans="1:8" x14ac:dyDescent="0.3">
      <c r="A1489" t="s">
        <v>1784</v>
      </c>
      <c r="B1489" t="s">
        <v>99</v>
      </c>
      <c r="C1489">
        <v>49.99</v>
      </c>
      <c r="D1489">
        <v>9.34</v>
      </c>
      <c r="E1489">
        <f t="shared" ca="1" si="92"/>
        <v>53.126246992507987</v>
      </c>
      <c r="F1489">
        <f t="shared" ca="1" si="93"/>
        <v>-3.136246992507985</v>
      </c>
      <c r="G1489">
        <f t="shared" ca="1" si="94"/>
        <v>-5.9033851816226869E-2</v>
      </c>
      <c r="H1489" t="str">
        <f t="shared" ca="1" si="95"/>
        <v>underprived</v>
      </c>
    </row>
    <row r="1490" spans="1:8" x14ac:dyDescent="0.3">
      <c r="A1490" t="s">
        <v>1785</v>
      </c>
      <c r="B1490" t="s">
        <v>143</v>
      </c>
      <c r="C1490">
        <v>200</v>
      </c>
      <c r="D1490">
        <v>20.37</v>
      </c>
      <c r="E1490">
        <f t="shared" ca="1" si="92"/>
        <v>219.75758971231934</v>
      </c>
      <c r="F1490">
        <f t="shared" ca="1" si="93"/>
        <v>-19.757589712319344</v>
      </c>
      <c r="G1490">
        <f t="shared" ca="1" si="94"/>
        <v>-8.9906290554895713E-2</v>
      </c>
      <c r="H1490" t="str">
        <f t="shared" ca="1" si="95"/>
        <v>underprived</v>
      </c>
    </row>
    <row r="1491" spans="1:8" x14ac:dyDescent="0.3">
      <c r="A1491" t="s">
        <v>1786</v>
      </c>
      <c r="B1491" t="s">
        <v>1787</v>
      </c>
      <c r="C1491">
        <v>53.8</v>
      </c>
      <c r="D1491">
        <v>22.31</v>
      </c>
      <c r="E1491">
        <f t="shared" ca="1" si="92"/>
        <v>49.034051476741787</v>
      </c>
      <c r="F1491">
        <f t="shared" ca="1" si="93"/>
        <v>4.7659485232582099</v>
      </c>
      <c r="G1491">
        <f t="shared" ca="1" si="94"/>
        <v>9.7196710851413778E-2</v>
      </c>
      <c r="H1491" t="str">
        <f t="shared" ca="1" si="95"/>
        <v>overpriced</v>
      </c>
    </row>
    <row r="1492" spans="1:8" x14ac:dyDescent="0.3">
      <c r="A1492" t="s">
        <v>1788</v>
      </c>
      <c r="B1492" t="s">
        <v>763</v>
      </c>
      <c r="C1492">
        <v>115</v>
      </c>
      <c r="D1492">
        <v>37.72</v>
      </c>
      <c r="E1492">
        <f t="shared" ca="1" si="92"/>
        <v>126.24853994872466</v>
      </c>
      <c r="F1492">
        <f t="shared" ca="1" si="93"/>
        <v>-11.248539948724655</v>
      </c>
      <c r="G1492">
        <f t="shared" ca="1" si="94"/>
        <v>-8.9098376530082693E-2</v>
      </c>
      <c r="H1492" t="str">
        <f t="shared" ca="1" si="95"/>
        <v>underprived</v>
      </c>
    </row>
    <row r="1493" spans="1:8" x14ac:dyDescent="0.3">
      <c r="A1493" t="s">
        <v>1789</v>
      </c>
      <c r="B1493" t="s">
        <v>640</v>
      </c>
      <c r="C1493">
        <v>29.6</v>
      </c>
      <c r="D1493">
        <v>7.78</v>
      </c>
      <c r="E1493">
        <f t="shared" ca="1" si="92"/>
        <v>32.265191920101962</v>
      </c>
      <c r="F1493">
        <f t="shared" ca="1" si="93"/>
        <v>-2.6651919201019609</v>
      </c>
      <c r="G1493">
        <f t="shared" ca="1" si="94"/>
        <v>-8.2602698496316226E-2</v>
      </c>
      <c r="H1493" t="str">
        <f t="shared" ca="1" si="95"/>
        <v>underprived</v>
      </c>
    </row>
    <row r="1494" spans="1:8" x14ac:dyDescent="0.3">
      <c r="A1494" t="s">
        <v>1790</v>
      </c>
      <c r="B1494" t="s">
        <v>1791</v>
      </c>
      <c r="C1494">
        <v>138</v>
      </c>
      <c r="D1494">
        <v>21.46</v>
      </c>
      <c r="E1494">
        <f t="shared" ca="1" si="92"/>
        <v>128.27618419211447</v>
      </c>
      <c r="F1494">
        <f t="shared" ca="1" si="93"/>
        <v>9.7238158078855292</v>
      </c>
      <c r="G1494">
        <f t="shared" ca="1" si="94"/>
        <v>7.5803750081328669E-2</v>
      </c>
      <c r="H1494" t="str">
        <f t="shared" ca="1" si="95"/>
        <v>overpriced</v>
      </c>
    </row>
    <row r="1495" spans="1:8" x14ac:dyDescent="0.3">
      <c r="A1495" t="s">
        <v>715</v>
      </c>
      <c r="B1495" t="s">
        <v>49</v>
      </c>
      <c r="C1495">
        <v>55</v>
      </c>
      <c r="D1495">
        <v>14.14</v>
      </c>
      <c r="E1495">
        <f t="shared" ca="1" si="92"/>
        <v>56.357366646755736</v>
      </c>
      <c r="F1495">
        <f t="shared" ca="1" si="93"/>
        <v>-1.3573666467557359</v>
      </c>
      <c r="G1495">
        <f t="shared" ca="1" si="94"/>
        <v>-2.4084990614689661E-2</v>
      </c>
      <c r="H1495" t="str">
        <f t="shared" ca="1" si="95"/>
        <v>competitive</v>
      </c>
    </row>
    <row r="1496" spans="1:8" x14ac:dyDescent="0.3">
      <c r="A1496" t="s">
        <v>954</v>
      </c>
      <c r="B1496" t="s">
        <v>29</v>
      </c>
      <c r="C1496">
        <v>79.900000000000006</v>
      </c>
      <c r="D1496">
        <v>26.86</v>
      </c>
      <c r="E1496">
        <f t="shared" ca="1" si="92"/>
        <v>74.35657342040021</v>
      </c>
      <c r="F1496">
        <f t="shared" ca="1" si="93"/>
        <v>5.5434265795997959</v>
      </c>
      <c r="G1496">
        <f t="shared" ca="1" si="94"/>
        <v>7.455193703262987E-2</v>
      </c>
      <c r="H1496" t="str">
        <f t="shared" ca="1" si="95"/>
        <v>overpriced</v>
      </c>
    </row>
    <row r="1497" spans="1:8" x14ac:dyDescent="0.3">
      <c r="A1497" t="s">
        <v>1792</v>
      </c>
      <c r="B1497" t="s">
        <v>1793</v>
      </c>
      <c r="C1497">
        <v>69.900000000000006</v>
      </c>
      <c r="D1497">
        <v>15.24</v>
      </c>
      <c r="E1497">
        <f t="shared" ca="1" si="92"/>
        <v>69.330588830604327</v>
      </c>
      <c r="F1497">
        <f t="shared" ca="1" si="93"/>
        <v>0.56941116939567848</v>
      </c>
      <c r="G1497">
        <f t="shared" ca="1" si="94"/>
        <v>8.2129862013277117E-3</v>
      </c>
      <c r="H1497" t="str">
        <f t="shared" ca="1" si="95"/>
        <v>competitive</v>
      </c>
    </row>
    <row r="1498" spans="1:8" x14ac:dyDescent="0.3">
      <c r="A1498" t="s">
        <v>1794</v>
      </c>
      <c r="B1498" t="s">
        <v>1795</v>
      </c>
      <c r="C1498">
        <v>32</v>
      </c>
      <c r="D1498">
        <v>14.1</v>
      </c>
      <c r="E1498">
        <f t="shared" ca="1" si="92"/>
        <v>28.948267957583031</v>
      </c>
      <c r="F1498">
        <f t="shared" ca="1" si="93"/>
        <v>3.0517320424169689</v>
      </c>
      <c r="G1498">
        <f t="shared" ca="1" si="94"/>
        <v>0.10542019463439312</v>
      </c>
      <c r="H1498" t="str">
        <f t="shared" ca="1" si="95"/>
        <v>overpriced</v>
      </c>
    </row>
    <row r="1499" spans="1:8" x14ac:dyDescent="0.3">
      <c r="A1499" t="s">
        <v>1796</v>
      </c>
      <c r="B1499" t="s">
        <v>845</v>
      </c>
      <c r="C1499">
        <v>179</v>
      </c>
      <c r="D1499">
        <v>15</v>
      </c>
      <c r="E1499">
        <f t="shared" ca="1" si="92"/>
        <v>189.59835670414589</v>
      </c>
      <c r="F1499">
        <f t="shared" ca="1" si="93"/>
        <v>-10.598356704145885</v>
      </c>
      <c r="G1499">
        <f t="shared" ca="1" si="94"/>
        <v>-5.5898990309730542E-2</v>
      </c>
      <c r="H1499" t="str">
        <f t="shared" ca="1" si="95"/>
        <v>underprived</v>
      </c>
    </row>
    <row r="1500" spans="1:8" x14ac:dyDescent="0.3">
      <c r="A1500" t="s">
        <v>1797</v>
      </c>
      <c r="B1500" t="s">
        <v>667</v>
      </c>
      <c r="C1500">
        <v>177</v>
      </c>
      <c r="D1500">
        <v>27.78</v>
      </c>
      <c r="E1500">
        <f t="shared" ca="1" si="92"/>
        <v>181.51450502056437</v>
      </c>
      <c r="F1500">
        <f t="shared" ca="1" si="93"/>
        <v>-4.5145050205643713</v>
      </c>
      <c r="G1500">
        <f t="shared" ca="1" si="94"/>
        <v>-2.4871318245629506E-2</v>
      </c>
      <c r="H1500" t="str">
        <f t="shared" ca="1" si="95"/>
        <v>competitive</v>
      </c>
    </row>
    <row r="1501" spans="1:8" x14ac:dyDescent="0.3">
      <c r="A1501" t="s">
        <v>1797</v>
      </c>
      <c r="B1501" t="s">
        <v>667</v>
      </c>
      <c r="C1501">
        <v>177</v>
      </c>
      <c r="D1501">
        <v>27.78</v>
      </c>
      <c r="E1501">
        <f t="shared" ca="1" si="92"/>
        <v>161.85108696556071</v>
      </c>
      <c r="F1501">
        <f t="shared" ca="1" si="93"/>
        <v>15.148913034439289</v>
      </c>
      <c r="G1501">
        <f t="shared" ca="1" si="94"/>
        <v>9.3597845516247488E-2</v>
      </c>
      <c r="H1501" t="str">
        <f t="shared" ca="1" si="95"/>
        <v>overpriced</v>
      </c>
    </row>
    <row r="1502" spans="1:8" x14ac:dyDescent="0.3">
      <c r="A1502" t="s">
        <v>1797</v>
      </c>
      <c r="B1502" t="s">
        <v>667</v>
      </c>
      <c r="C1502">
        <v>177</v>
      </c>
      <c r="D1502">
        <v>27.78</v>
      </c>
      <c r="E1502">
        <f t="shared" ca="1" si="92"/>
        <v>184.63852109736089</v>
      </c>
      <c r="F1502">
        <f t="shared" ca="1" si="93"/>
        <v>-7.6385210973608935</v>
      </c>
      <c r="G1502">
        <f t="shared" ca="1" si="94"/>
        <v>-4.1370137997005833E-2</v>
      </c>
      <c r="H1502" t="str">
        <f t="shared" ca="1" si="95"/>
        <v>competitive</v>
      </c>
    </row>
    <row r="1503" spans="1:8" x14ac:dyDescent="0.3">
      <c r="A1503" t="s">
        <v>1797</v>
      </c>
      <c r="B1503" t="s">
        <v>667</v>
      </c>
      <c r="C1503">
        <v>177</v>
      </c>
      <c r="D1503">
        <v>27.78</v>
      </c>
      <c r="E1503">
        <f t="shared" ca="1" si="92"/>
        <v>189.11228015825793</v>
      </c>
      <c r="F1503">
        <f t="shared" ca="1" si="93"/>
        <v>-12.112280158257931</v>
      </c>
      <c r="G1503">
        <f t="shared" ca="1" si="94"/>
        <v>-6.4048089040657827E-2</v>
      </c>
      <c r="H1503" t="str">
        <f t="shared" ca="1" si="95"/>
        <v>underprived</v>
      </c>
    </row>
    <row r="1504" spans="1:8" x14ac:dyDescent="0.3">
      <c r="A1504" t="s">
        <v>1797</v>
      </c>
      <c r="B1504" t="s">
        <v>667</v>
      </c>
      <c r="C1504">
        <v>177</v>
      </c>
      <c r="D1504">
        <v>27.78</v>
      </c>
      <c r="E1504">
        <f t="shared" ca="1" si="92"/>
        <v>193.95275303408386</v>
      </c>
      <c r="F1504">
        <f t="shared" ca="1" si="93"/>
        <v>-16.952753034083855</v>
      </c>
      <c r="G1504">
        <f t="shared" ca="1" si="94"/>
        <v>-8.7406612017024071E-2</v>
      </c>
      <c r="H1504" t="str">
        <f t="shared" ca="1" si="95"/>
        <v>underprived</v>
      </c>
    </row>
    <row r="1505" spans="1:8" x14ac:dyDescent="0.3">
      <c r="A1505" t="s">
        <v>1798</v>
      </c>
      <c r="B1505" t="s">
        <v>1799</v>
      </c>
      <c r="C1505">
        <v>177.99</v>
      </c>
      <c r="D1505">
        <v>18.82</v>
      </c>
      <c r="E1505">
        <f t="shared" ca="1" si="92"/>
        <v>189.53951854383419</v>
      </c>
      <c r="F1505">
        <f t="shared" ca="1" si="93"/>
        <v>-11.549518543834182</v>
      </c>
      <c r="G1505">
        <f t="shared" ca="1" si="94"/>
        <v>-6.0934620033674732E-2</v>
      </c>
      <c r="H1505" t="str">
        <f t="shared" ca="1" si="95"/>
        <v>underprived</v>
      </c>
    </row>
    <row r="1506" spans="1:8" x14ac:dyDescent="0.3">
      <c r="A1506" t="s">
        <v>1800</v>
      </c>
      <c r="B1506" t="s">
        <v>524</v>
      </c>
      <c r="C1506">
        <v>19.95</v>
      </c>
      <c r="D1506">
        <v>11.85</v>
      </c>
      <c r="E1506">
        <f t="shared" ca="1" si="92"/>
        <v>18.767572785789451</v>
      </c>
      <c r="F1506">
        <f t="shared" ca="1" si="93"/>
        <v>1.1824272142105485</v>
      </c>
      <c r="G1506">
        <f t="shared" ca="1" si="94"/>
        <v>6.300373669555534E-2</v>
      </c>
      <c r="H1506" t="str">
        <f t="shared" ca="1" si="95"/>
        <v>overpriced</v>
      </c>
    </row>
    <row r="1507" spans="1:8" x14ac:dyDescent="0.3">
      <c r="A1507" t="s">
        <v>1801</v>
      </c>
      <c r="B1507" t="s">
        <v>1802</v>
      </c>
      <c r="C1507">
        <v>99</v>
      </c>
      <c r="D1507">
        <v>44.49</v>
      </c>
      <c r="E1507">
        <f t="shared" ca="1" si="92"/>
        <v>97.436003206430954</v>
      </c>
      <c r="F1507">
        <f t="shared" ca="1" si="93"/>
        <v>1.5639967935690464</v>
      </c>
      <c r="G1507">
        <f t="shared" ca="1" si="94"/>
        <v>1.6051528614689933E-2</v>
      </c>
      <c r="H1507" t="str">
        <f t="shared" ca="1" si="95"/>
        <v>competitive</v>
      </c>
    </row>
    <row r="1508" spans="1:8" x14ac:dyDescent="0.3">
      <c r="A1508" t="s">
        <v>843</v>
      </c>
      <c r="B1508" t="s">
        <v>25</v>
      </c>
      <c r="C1508">
        <v>58.99</v>
      </c>
      <c r="D1508">
        <v>17.66</v>
      </c>
      <c r="E1508">
        <f t="shared" ca="1" si="92"/>
        <v>55.334760948788826</v>
      </c>
      <c r="F1508">
        <f t="shared" ca="1" si="93"/>
        <v>3.6552390512111756</v>
      </c>
      <c r="G1508">
        <f t="shared" ca="1" si="94"/>
        <v>6.6056832785344882E-2</v>
      </c>
      <c r="H1508" t="str">
        <f t="shared" ca="1" si="95"/>
        <v>overpriced</v>
      </c>
    </row>
    <row r="1509" spans="1:8" x14ac:dyDescent="0.3">
      <c r="A1509" t="s">
        <v>1803</v>
      </c>
      <c r="B1509" t="s">
        <v>1804</v>
      </c>
      <c r="C1509">
        <v>90</v>
      </c>
      <c r="D1509">
        <v>17.760000000000002</v>
      </c>
      <c r="E1509">
        <f t="shared" ca="1" si="92"/>
        <v>94.293493216060497</v>
      </c>
      <c r="F1509">
        <f t="shared" ca="1" si="93"/>
        <v>-4.2934932160604973</v>
      </c>
      <c r="G1509">
        <f t="shared" ca="1" si="94"/>
        <v>-4.5533292591277232E-2</v>
      </c>
      <c r="H1509" t="str">
        <f t="shared" ca="1" si="95"/>
        <v>competitive</v>
      </c>
    </row>
    <row r="1510" spans="1:8" x14ac:dyDescent="0.3">
      <c r="A1510" t="s">
        <v>1805</v>
      </c>
      <c r="B1510" t="s">
        <v>1033</v>
      </c>
      <c r="C1510">
        <v>22.9</v>
      </c>
      <c r="D1510">
        <v>11.85</v>
      </c>
      <c r="E1510">
        <f t="shared" ca="1" si="92"/>
        <v>24.153054419851493</v>
      </c>
      <c r="F1510">
        <f t="shared" ca="1" si="93"/>
        <v>-1.2530544198514946</v>
      </c>
      <c r="G1510">
        <f t="shared" ca="1" si="94"/>
        <v>-5.1879749785253004E-2</v>
      </c>
      <c r="H1510" t="str">
        <f t="shared" ca="1" si="95"/>
        <v>underprived</v>
      </c>
    </row>
    <row r="1511" spans="1:8" x14ac:dyDescent="0.3">
      <c r="A1511" t="s">
        <v>1288</v>
      </c>
      <c r="B1511" t="s">
        <v>141</v>
      </c>
      <c r="C1511">
        <v>56.99</v>
      </c>
      <c r="D1511">
        <v>9.94</v>
      </c>
      <c r="E1511">
        <f t="shared" ca="1" si="92"/>
        <v>58.393205908328497</v>
      </c>
      <c r="F1511">
        <f t="shared" ca="1" si="93"/>
        <v>-1.4032059083284949</v>
      </c>
      <c r="G1511">
        <f t="shared" ca="1" si="94"/>
        <v>-2.4030294047074383E-2</v>
      </c>
      <c r="H1511" t="str">
        <f t="shared" ca="1" si="95"/>
        <v>competitive</v>
      </c>
    </row>
    <row r="1512" spans="1:8" x14ac:dyDescent="0.3">
      <c r="A1512" t="s">
        <v>195</v>
      </c>
      <c r="B1512" t="s">
        <v>257</v>
      </c>
      <c r="C1512">
        <v>98.9</v>
      </c>
      <c r="D1512">
        <v>16.45</v>
      </c>
      <c r="E1512">
        <f t="shared" ca="1" si="92"/>
        <v>99.103185537113845</v>
      </c>
      <c r="F1512">
        <f t="shared" ca="1" si="93"/>
        <v>-0.20318553711383913</v>
      </c>
      <c r="G1512">
        <f t="shared" ca="1" si="94"/>
        <v>-2.0502422400715541E-3</v>
      </c>
      <c r="H1512" t="str">
        <f t="shared" ca="1" si="95"/>
        <v>competitive</v>
      </c>
    </row>
    <row r="1513" spans="1:8" x14ac:dyDescent="0.3">
      <c r="A1513" t="s">
        <v>578</v>
      </c>
      <c r="B1513" t="s">
        <v>31</v>
      </c>
      <c r="C1513">
        <v>59.9</v>
      </c>
      <c r="D1513">
        <v>13</v>
      </c>
      <c r="E1513">
        <f t="shared" ca="1" si="92"/>
        <v>64.771372466331769</v>
      </c>
      <c r="F1513">
        <f t="shared" ca="1" si="93"/>
        <v>-4.8713724663317706</v>
      </c>
      <c r="G1513">
        <f t="shared" ca="1" si="94"/>
        <v>-7.5208726955167046E-2</v>
      </c>
      <c r="H1513" t="str">
        <f t="shared" ca="1" si="95"/>
        <v>underprived</v>
      </c>
    </row>
    <row r="1514" spans="1:8" x14ac:dyDescent="0.3">
      <c r="A1514" t="s">
        <v>1806</v>
      </c>
      <c r="B1514" t="s">
        <v>109</v>
      </c>
      <c r="C1514">
        <v>24.99</v>
      </c>
      <c r="D1514">
        <v>17.059999999999999</v>
      </c>
      <c r="E1514">
        <f t="shared" ca="1" si="92"/>
        <v>26.897908508259693</v>
      </c>
      <c r="F1514">
        <f t="shared" ca="1" si="93"/>
        <v>-1.9079085082596947</v>
      </c>
      <c r="G1514">
        <f t="shared" ca="1" si="94"/>
        <v>-7.0931481816655831E-2</v>
      </c>
      <c r="H1514" t="str">
        <f t="shared" ca="1" si="95"/>
        <v>underprived</v>
      </c>
    </row>
    <row r="1515" spans="1:8" x14ac:dyDescent="0.3">
      <c r="A1515" t="s">
        <v>1807</v>
      </c>
      <c r="B1515" t="s">
        <v>346</v>
      </c>
      <c r="C1515">
        <v>96.49</v>
      </c>
      <c r="D1515">
        <v>15.56</v>
      </c>
      <c r="E1515">
        <f t="shared" ca="1" si="92"/>
        <v>96.934984026008294</v>
      </c>
      <c r="F1515">
        <f t="shared" ca="1" si="93"/>
        <v>-0.44498402600829934</v>
      </c>
      <c r="G1515">
        <f t="shared" ca="1" si="94"/>
        <v>-4.5905410773978894E-3</v>
      </c>
      <c r="H1515" t="str">
        <f t="shared" ca="1" si="95"/>
        <v>competitive</v>
      </c>
    </row>
    <row r="1516" spans="1:8" x14ac:dyDescent="0.3">
      <c r="A1516" t="s">
        <v>1679</v>
      </c>
      <c r="B1516" t="s">
        <v>524</v>
      </c>
      <c r="C1516">
        <v>98</v>
      </c>
      <c r="D1516">
        <v>13.03</v>
      </c>
      <c r="E1516">
        <f t="shared" ca="1" si="92"/>
        <v>97.66448198278384</v>
      </c>
      <c r="F1516">
        <f t="shared" ca="1" si="93"/>
        <v>0.33551801721615959</v>
      </c>
      <c r="G1516">
        <f t="shared" ca="1" si="94"/>
        <v>3.4354149062635099E-3</v>
      </c>
      <c r="H1516" t="str">
        <f t="shared" ca="1" si="95"/>
        <v>competitive</v>
      </c>
    </row>
    <row r="1517" spans="1:8" x14ac:dyDescent="0.3">
      <c r="A1517" t="s">
        <v>1808</v>
      </c>
      <c r="B1517" t="s">
        <v>57</v>
      </c>
      <c r="C1517">
        <v>29.9</v>
      </c>
      <c r="D1517">
        <v>9.34</v>
      </c>
      <c r="E1517">
        <f t="shared" ca="1" si="92"/>
        <v>28.739854590357254</v>
      </c>
      <c r="F1517">
        <f t="shared" ca="1" si="93"/>
        <v>1.1601454096427446</v>
      </c>
      <c r="G1517">
        <f t="shared" ca="1" si="94"/>
        <v>4.0367128719989924E-2</v>
      </c>
      <c r="H1517" t="str">
        <f t="shared" ca="1" si="95"/>
        <v>competitive</v>
      </c>
    </row>
    <row r="1518" spans="1:8" x14ac:dyDescent="0.3">
      <c r="A1518" t="s">
        <v>1809</v>
      </c>
      <c r="B1518" t="s">
        <v>1810</v>
      </c>
      <c r="C1518">
        <v>229.9</v>
      </c>
      <c r="D1518">
        <v>16.489999999999998</v>
      </c>
      <c r="E1518">
        <f t="shared" ca="1" si="92"/>
        <v>247.63949868497139</v>
      </c>
      <c r="F1518">
        <f t="shared" ca="1" si="93"/>
        <v>-17.73949868497138</v>
      </c>
      <c r="G1518">
        <f t="shared" ca="1" si="94"/>
        <v>-7.1634366808092501E-2</v>
      </c>
      <c r="H1518" t="str">
        <f t="shared" ca="1" si="95"/>
        <v>underprived</v>
      </c>
    </row>
    <row r="1519" spans="1:8" x14ac:dyDescent="0.3">
      <c r="A1519" t="s">
        <v>1811</v>
      </c>
      <c r="B1519" t="s">
        <v>79</v>
      </c>
      <c r="C1519">
        <v>89.99</v>
      </c>
      <c r="D1519">
        <v>42.91</v>
      </c>
      <c r="E1519">
        <f t="shared" ca="1" si="92"/>
        <v>81.003314377270428</v>
      </c>
      <c r="F1519">
        <f t="shared" ca="1" si="93"/>
        <v>8.9866856227295671</v>
      </c>
      <c r="G1519">
        <f t="shared" ca="1" si="94"/>
        <v>0.11094219652388984</v>
      </c>
      <c r="H1519" t="str">
        <f t="shared" ca="1" si="95"/>
        <v>overpriced</v>
      </c>
    </row>
    <row r="1520" spans="1:8" x14ac:dyDescent="0.3">
      <c r="A1520" t="s">
        <v>1812</v>
      </c>
      <c r="B1520" t="s">
        <v>747</v>
      </c>
      <c r="C1520">
        <v>199.9</v>
      </c>
      <c r="D1520">
        <v>21.89</v>
      </c>
      <c r="E1520">
        <f t="shared" ca="1" si="92"/>
        <v>215.93651920001523</v>
      </c>
      <c r="F1520">
        <f t="shared" ca="1" si="93"/>
        <v>-16.036519200015221</v>
      </c>
      <c r="G1520">
        <f t="shared" ca="1" si="94"/>
        <v>-7.4264970369190289E-2</v>
      </c>
      <c r="H1520" t="str">
        <f t="shared" ca="1" si="95"/>
        <v>underprived</v>
      </c>
    </row>
    <row r="1521" spans="1:8" x14ac:dyDescent="0.3">
      <c r="A1521" t="s">
        <v>1813</v>
      </c>
      <c r="B1521" t="s">
        <v>1382</v>
      </c>
      <c r="C1521">
        <v>174</v>
      </c>
      <c r="D1521">
        <v>14.97</v>
      </c>
      <c r="E1521">
        <f t="shared" ca="1" si="92"/>
        <v>184.95806593974299</v>
      </c>
      <c r="F1521">
        <f t="shared" ca="1" si="93"/>
        <v>-10.958065939742994</v>
      </c>
      <c r="G1521">
        <f t="shared" ca="1" si="94"/>
        <v>-5.9246218239073681E-2</v>
      </c>
      <c r="H1521" t="str">
        <f t="shared" ca="1" si="95"/>
        <v>underprived</v>
      </c>
    </row>
    <row r="1522" spans="1:8" x14ac:dyDescent="0.3">
      <c r="A1522" t="s">
        <v>1814</v>
      </c>
      <c r="B1522" t="s">
        <v>223</v>
      </c>
      <c r="C1522">
        <v>110.32</v>
      </c>
      <c r="D1522">
        <v>8.0299999999999994</v>
      </c>
      <c r="E1522">
        <f t="shared" ca="1" si="92"/>
        <v>117.19127537006257</v>
      </c>
      <c r="F1522">
        <f t="shared" ca="1" si="93"/>
        <v>-6.8712753700625768</v>
      </c>
      <c r="G1522">
        <f t="shared" ca="1" si="94"/>
        <v>-5.8632994208525337E-2</v>
      </c>
      <c r="H1522" t="str">
        <f t="shared" ca="1" si="95"/>
        <v>underprived</v>
      </c>
    </row>
    <row r="1523" spans="1:8" x14ac:dyDescent="0.3">
      <c r="A1523" t="s">
        <v>1815</v>
      </c>
      <c r="B1523" t="s">
        <v>1360</v>
      </c>
      <c r="C1523">
        <v>538.9</v>
      </c>
      <c r="D1523">
        <v>24.17</v>
      </c>
      <c r="E1523">
        <f t="shared" ca="1" si="92"/>
        <v>579.86292527794524</v>
      </c>
      <c r="F1523">
        <f t="shared" ca="1" si="93"/>
        <v>-40.96292527794526</v>
      </c>
      <c r="G1523">
        <f t="shared" ca="1" si="94"/>
        <v>-7.064242856759731E-2</v>
      </c>
      <c r="H1523" t="str">
        <f t="shared" ca="1" si="95"/>
        <v>underprived</v>
      </c>
    </row>
    <row r="1524" spans="1:8" x14ac:dyDescent="0.3">
      <c r="A1524" t="s">
        <v>1816</v>
      </c>
      <c r="B1524" t="s">
        <v>352</v>
      </c>
      <c r="C1524">
        <v>49.9</v>
      </c>
      <c r="D1524">
        <v>11.85</v>
      </c>
      <c r="E1524">
        <f t="shared" ca="1" si="92"/>
        <v>45.359750264729094</v>
      </c>
      <c r="F1524">
        <f t="shared" ca="1" si="93"/>
        <v>4.5402497352709048</v>
      </c>
      <c r="G1524">
        <f t="shared" ca="1" si="94"/>
        <v>0.10009424013079983</v>
      </c>
      <c r="H1524" t="str">
        <f t="shared" ca="1" si="95"/>
        <v>overpriced</v>
      </c>
    </row>
    <row r="1525" spans="1:8" x14ac:dyDescent="0.3">
      <c r="A1525" t="s">
        <v>1817</v>
      </c>
      <c r="B1525" t="s">
        <v>1818</v>
      </c>
      <c r="C1525">
        <v>119.9</v>
      </c>
      <c r="D1525">
        <v>12.04</v>
      </c>
      <c r="E1525">
        <f t="shared" ca="1" si="92"/>
        <v>125.78749678107003</v>
      </c>
      <c r="F1525">
        <f t="shared" ca="1" si="93"/>
        <v>-5.8874967810700269</v>
      </c>
      <c r="G1525">
        <f t="shared" ca="1" si="94"/>
        <v>-4.6805103303049801E-2</v>
      </c>
      <c r="H1525" t="str">
        <f t="shared" ca="1" si="95"/>
        <v>competitive</v>
      </c>
    </row>
    <row r="1526" spans="1:8" x14ac:dyDescent="0.3">
      <c r="A1526" t="s">
        <v>1819</v>
      </c>
      <c r="B1526" t="s">
        <v>922</v>
      </c>
      <c r="C1526">
        <v>108.9</v>
      </c>
      <c r="D1526">
        <v>21.25</v>
      </c>
      <c r="E1526">
        <f t="shared" ca="1" si="92"/>
        <v>103.52199831465818</v>
      </c>
      <c r="F1526">
        <f t="shared" ca="1" si="93"/>
        <v>5.3780016853418289</v>
      </c>
      <c r="G1526">
        <f t="shared" ca="1" si="94"/>
        <v>5.1950327204805628E-2</v>
      </c>
      <c r="H1526" t="str">
        <f t="shared" ca="1" si="95"/>
        <v>overpriced</v>
      </c>
    </row>
    <row r="1527" spans="1:8" x14ac:dyDescent="0.3">
      <c r="A1527" t="s">
        <v>1820</v>
      </c>
      <c r="B1527" t="s">
        <v>1821</v>
      </c>
      <c r="C1527">
        <v>89.15</v>
      </c>
      <c r="D1527">
        <v>21.04</v>
      </c>
      <c r="E1527">
        <f t="shared" ca="1" si="92"/>
        <v>85.434737466002503</v>
      </c>
      <c r="F1527">
        <f t="shared" ca="1" si="93"/>
        <v>3.7152625339975032</v>
      </c>
      <c r="G1527">
        <f t="shared" ca="1" si="94"/>
        <v>4.3486556454579585E-2</v>
      </c>
      <c r="H1527" t="str">
        <f t="shared" ca="1" si="95"/>
        <v>competitive</v>
      </c>
    </row>
    <row r="1528" spans="1:8" x14ac:dyDescent="0.3">
      <c r="A1528" t="s">
        <v>1822</v>
      </c>
      <c r="B1528" t="s">
        <v>1823</v>
      </c>
      <c r="C1528">
        <v>36.9</v>
      </c>
      <c r="D1528">
        <v>12.92</v>
      </c>
      <c r="E1528">
        <f t="shared" ca="1" si="92"/>
        <v>33.412394494482463</v>
      </c>
      <c r="F1528">
        <f t="shared" ca="1" si="93"/>
        <v>3.4876055055175357</v>
      </c>
      <c r="G1528">
        <f t="shared" ca="1" si="94"/>
        <v>0.10438059164222604</v>
      </c>
      <c r="H1528" t="str">
        <f t="shared" ca="1" si="95"/>
        <v>overpriced</v>
      </c>
    </row>
    <row r="1529" spans="1:8" x14ac:dyDescent="0.3">
      <c r="A1529" t="s">
        <v>1822</v>
      </c>
      <c r="B1529" t="s">
        <v>1823</v>
      </c>
      <c r="C1529">
        <v>36.9</v>
      </c>
      <c r="D1529">
        <v>12.92</v>
      </c>
      <c r="E1529">
        <f t="shared" ca="1" si="92"/>
        <v>37.370095254891318</v>
      </c>
      <c r="F1529">
        <f t="shared" ca="1" si="93"/>
        <v>-0.47009525489131931</v>
      </c>
      <c r="G1529">
        <f t="shared" ca="1" si="94"/>
        <v>-1.2579450271264407E-2</v>
      </c>
      <c r="H1529" t="str">
        <f t="shared" ca="1" si="95"/>
        <v>competitive</v>
      </c>
    </row>
    <row r="1530" spans="1:8" x14ac:dyDescent="0.3">
      <c r="A1530" t="s">
        <v>1824</v>
      </c>
      <c r="B1530" t="s">
        <v>49</v>
      </c>
      <c r="C1530">
        <v>69</v>
      </c>
      <c r="D1530">
        <v>7.39</v>
      </c>
      <c r="E1530">
        <f t="shared" ca="1" si="92"/>
        <v>75.797439951226224</v>
      </c>
      <c r="F1530">
        <f t="shared" ca="1" si="93"/>
        <v>-6.7974399512262238</v>
      </c>
      <c r="G1530">
        <f t="shared" ca="1" si="94"/>
        <v>-8.9679017597430841E-2</v>
      </c>
      <c r="H1530" t="str">
        <f t="shared" ca="1" si="95"/>
        <v>underprived</v>
      </c>
    </row>
    <row r="1531" spans="1:8" x14ac:dyDescent="0.3">
      <c r="A1531" t="s">
        <v>1825</v>
      </c>
      <c r="B1531" t="s">
        <v>965</v>
      </c>
      <c r="C1531">
        <v>75.900000000000006</v>
      </c>
      <c r="D1531">
        <v>19.5</v>
      </c>
      <c r="E1531">
        <f t="shared" ca="1" si="92"/>
        <v>74.191558428096926</v>
      </c>
      <c r="F1531">
        <f t="shared" ca="1" si="93"/>
        <v>1.7084415719030801</v>
      </c>
      <c r="G1531">
        <f t="shared" ca="1" si="94"/>
        <v>2.3027438809751163E-2</v>
      </c>
      <c r="H1531" t="str">
        <f t="shared" ca="1" si="95"/>
        <v>competitive</v>
      </c>
    </row>
    <row r="1532" spans="1:8" x14ac:dyDescent="0.3">
      <c r="A1532" t="s">
        <v>1826</v>
      </c>
      <c r="B1532" t="s">
        <v>1827</v>
      </c>
      <c r="C1532">
        <v>70</v>
      </c>
      <c r="D1532">
        <v>7.78</v>
      </c>
      <c r="E1532">
        <f t="shared" ca="1" si="92"/>
        <v>76.572460951060222</v>
      </c>
      <c r="F1532">
        <f t="shared" ca="1" si="93"/>
        <v>-6.5724609510602221</v>
      </c>
      <c r="G1532">
        <f t="shared" ca="1" si="94"/>
        <v>-8.5833220839811861E-2</v>
      </c>
      <c r="H1532" t="str">
        <f t="shared" ca="1" si="95"/>
        <v>underprived</v>
      </c>
    </row>
    <row r="1533" spans="1:8" x14ac:dyDescent="0.3">
      <c r="A1533" t="s">
        <v>1828</v>
      </c>
      <c r="B1533" t="s">
        <v>202</v>
      </c>
      <c r="C1533">
        <v>74.900000000000006</v>
      </c>
      <c r="D1533">
        <v>16.96</v>
      </c>
      <c r="E1533">
        <f t="shared" ca="1" si="92"/>
        <v>75.72072850741958</v>
      </c>
      <c r="F1533">
        <f t="shared" ca="1" si="93"/>
        <v>-0.82072850741957382</v>
      </c>
      <c r="G1533">
        <f t="shared" ca="1" si="94"/>
        <v>-1.0838888156486157E-2</v>
      </c>
      <c r="H1533" t="str">
        <f t="shared" ca="1" si="95"/>
        <v>competitive</v>
      </c>
    </row>
    <row r="1534" spans="1:8" x14ac:dyDescent="0.3">
      <c r="A1534" t="s">
        <v>1829</v>
      </c>
      <c r="B1534" t="s">
        <v>141</v>
      </c>
      <c r="C1534">
        <v>28.99</v>
      </c>
      <c r="D1534">
        <v>15.1</v>
      </c>
      <c r="E1534">
        <f t="shared" ca="1" si="92"/>
        <v>27.869568426187982</v>
      </c>
      <c r="F1534">
        <f t="shared" ca="1" si="93"/>
        <v>1.1204315738120165</v>
      </c>
      <c r="G1534">
        <f t="shared" ca="1" si="94"/>
        <v>4.0202688347308217E-2</v>
      </c>
      <c r="H1534" t="str">
        <f t="shared" ca="1" si="95"/>
        <v>competitive</v>
      </c>
    </row>
    <row r="1535" spans="1:8" x14ac:dyDescent="0.3">
      <c r="A1535" t="s">
        <v>1830</v>
      </c>
      <c r="B1535" t="s">
        <v>49</v>
      </c>
      <c r="C1535">
        <v>55</v>
      </c>
      <c r="D1535">
        <v>15.49</v>
      </c>
      <c r="E1535">
        <f t="shared" ca="1" si="92"/>
        <v>59.544689384120161</v>
      </c>
      <c r="F1535">
        <f t="shared" ca="1" si="93"/>
        <v>-4.5446893841201614</v>
      </c>
      <c r="G1535">
        <f t="shared" ca="1" si="94"/>
        <v>-7.6324008591304782E-2</v>
      </c>
      <c r="H1535" t="str">
        <f t="shared" ca="1" si="95"/>
        <v>underprived</v>
      </c>
    </row>
    <row r="1536" spans="1:8" x14ac:dyDescent="0.3">
      <c r="A1536" t="s">
        <v>824</v>
      </c>
      <c r="B1536" t="s">
        <v>825</v>
      </c>
      <c r="C1536">
        <v>107.9</v>
      </c>
      <c r="D1536">
        <v>23.34</v>
      </c>
      <c r="E1536">
        <f t="shared" ca="1" si="92"/>
        <v>102.83787865235739</v>
      </c>
      <c r="F1536">
        <f t="shared" ca="1" si="93"/>
        <v>5.0621213476426163</v>
      </c>
      <c r="G1536">
        <f t="shared" ca="1" si="94"/>
        <v>4.9224287917831094E-2</v>
      </c>
      <c r="H1536" t="str">
        <f t="shared" ca="1" si="95"/>
        <v>competitive</v>
      </c>
    </row>
    <row r="1537" spans="1:8" x14ac:dyDescent="0.3">
      <c r="A1537" t="s">
        <v>1831</v>
      </c>
      <c r="B1537" t="s">
        <v>1360</v>
      </c>
      <c r="C1537">
        <v>79.900000000000006</v>
      </c>
      <c r="D1537">
        <v>18.440000000000001</v>
      </c>
      <c r="E1537">
        <f t="shared" ca="1" si="92"/>
        <v>76.448852055434671</v>
      </c>
      <c r="F1537">
        <f t="shared" ca="1" si="93"/>
        <v>3.451147944565335</v>
      </c>
      <c r="G1537">
        <f t="shared" ca="1" si="94"/>
        <v>4.5143227815413564E-2</v>
      </c>
      <c r="H1537" t="str">
        <f t="shared" ca="1" si="95"/>
        <v>competitive</v>
      </c>
    </row>
    <row r="1538" spans="1:8" x14ac:dyDescent="0.3">
      <c r="A1538" t="s">
        <v>1832</v>
      </c>
      <c r="B1538" t="s">
        <v>646</v>
      </c>
      <c r="C1538">
        <v>17</v>
      </c>
      <c r="D1538">
        <v>7.39</v>
      </c>
      <c r="E1538">
        <f t="shared" ca="1" si="92"/>
        <v>15.803095362299175</v>
      </c>
      <c r="F1538">
        <f t="shared" ca="1" si="93"/>
        <v>1.1969046377008254</v>
      </c>
      <c r="G1538">
        <f t="shared" ca="1" si="94"/>
        <v>7.573862020450968E-2</v>
      </c>
      <c r="H1538" t="str">
        <f t="shared" ca="1" si="95"/>
        <v>overpriced</v>
      </c>
    </row>
    <row r="1539" spans="1:8" x14ac:dyDescent="0.3">
      <c r="A1539" t="s">
        <v>294</v>
      </c>
      <c r="B1539" t="s">
        <v>295</v>
      </c>
      <c r="C1539">
        <v>99</v>
      </c>
      <c r="D1539">
        <v>33.08</v>
      </c>
      <c r="E1539">
        <f t="shared" ref="E1539:E1602" ca="1" si="96">C1539*(1+RAND()*0.2-0.1)</f>
        <v>100.96788559869576</v>
      </c>
      <c r="F1539">
        <f t="shared" ref="F1539:F1602" ca="1" si="97">C1539-E1539</f>
        <v>-1.9678855986957586</v>
      </c>
      <c r="G1539">
        <f t="shared" ref="G1539:G1602" ca="1" si="98">(C1539-E1539)/E1539</f>
        <v>-1.9490213021962882E-2</v>
      </c>
      <c r="H1539" t="str">
        <f t="shared" ref="H1539:H1602" ca="1" si="99">IF(E1539="","competitive",IF(ABS(C1539-E1539)/E1539&lt;=0.05,"competitive",IF(C1539&gt;E1539,"overpriced","underprived")))</f>
        <v>competitive</v>
      </c>
    </row>
    <row r="1540" spans="1:8" x14ac:dyDescent="0.3">
      <c r="A1540" t="s">
        <v>1833</v>
      </c>
      <c r="B1540" t="s">
        <v>69</v>
      </c>
      <c r="C1540">
        <v>18.95</v>
      </c>
      <c r="D1540">
        <v>24.35</v>
      </c>
      <c r="E1540">
        <f t="shared" ca="1" si="96"/>
        <v>20.73682335310928</v>
      </c>
      <c r="F1540">
        <f t="shared" ca="1" si="97"/>
        <v>-1.7868233531092805</v>
      </c>
      <c r="G1540">
        <f t="shared" ca="1" si="98"/>
        <v>-8.6166686318488811E-2</v>
      </c>
      <c r="H1540" t="str">
        <f t="shared" ca="1" si="99"/>
        <v>underprived</v>
      </c>
    </row>
    <row r="1541" spans="1:8" x14ac:dyDescent="0.3">
      <c r="A1541" t="s">
        <v>1834</v>
      </c>
      <c r="B1541" t="s">
        <v>304</v>
      </c>
      <c r="C1541">
        <v>159.9</v>
      </c>
      <c r="D1541">
        <v>9.4700000000000006</v>
      </c>
      <c r="E1541">
        <f t="shared" ca="1" si="96"/>
        <v>145.24609214650343</v>
      </c>
      <c r="F1541">
        <f t="shared" ca="1" si="97"/>
        <v>14.653907853496577</v>
      </c>
      <c r="G1541">
        <f t="shared" ca="1" si="98"/>
        <v>0.10089020390797032</v>
      </c>
      <c r="H1541" t="str">
        <f t="shared" ca="1" si="99"/>
        <v>overpriced</v>
      </c>
    </row>
    <row r="1542" spans="1:8" x14ac:dyDescent="0.3">
      <c r="A1542" t="s">
        <v>1835</v>
      </c>
      <c r="B1542" t="s">
        <v>1045</v>
      </c>
      <c r="C1542">
        <v>227.9</v>
      </c>
      <c r="D1542">
        <v>13.1</v>
      </c>
      <c r="E1542">
        <f t="shared" ca="1" si="96"/>
        <v>210.46669841126129</v>
      </c>
      <c r="F1542">
        <f t="shared" ca="1" si="97"/>
        <v>17.433301588738715</v>
      </c>
      <c r="G1542">
        <f t="shared" ca="1" si="98"/>
        <v>8.2831639020978357E-2</v>
      </c>
      <c r="H1542" t="str">
        <f t="shared" ca="1" si="99"/>
        <v>overpriced</v>
      </c>
    </row>
    <row r="1543" spans="1:8" x14ac:dyDescent="0.3">
      <c r="A1543" t="s">
        <v>1836</v>
      </c>
      <c r="B1543" t="s">
        <v>1837</v>
      </c>
      <c r="C1543">
        <v>189</v>
      </c>
      <c r="D1543">
        <v>8.51</v>
      </c>
      <c r="E1543">
        <f t="shared" ca="1" si="96"/>
        <v>172.15047212792658</v>
      </c>
      <c r="F1543">
        <f t="shared" ca="1" si="97"/>
        <v>16.849527872073423</v>
      </c>
      <c r="G1543">
        <f t="shared" ca="1" si="98"/>
        <v>9.7876745057965259E-2</v>
      </c>
      <c r="H1543" t="str">
        <f t="shared" ca="1" si="99"/>
        <v>overpriced</v>
      </c>
    </row>
    <row r="1544" spans="1:8" x14ac:dyDescent="0.3">
      <c r="A1544" t="s">
        <v>1838</v>
      </c>
      <c r="B1544" t="s">
        <v>661</v>
      </c>
      <c r="C1544">
        <v>17.899999999999999</v>
      </c>
      <c r="D1544">
        <v>15.23</v>
      </c>
      <c r="E1544">
        <f t="shared" ca="1" si="96"/>
        <v>18.686143951452483</v>
      </c>
      <c r="F1544">
        <f t="shared" ca="1" si="97"/>
        <v>-0.78614395145248395</v>
      </c>
      <c r="G1544">
        <f t="shared" ca="1" si="98"/>
        <v>-4.2070956613356102E-2</v>
      </c>
      <c r="H1544" t="str">
        <f t="shared" ca="1" si="99"/>
        <v>competitive</v>
      </c>
    </row>
    <row r="1545" spans="1:8" x14ac:dyDescent="0.3">
      <c r="A1545" t="s">
        <v>1839</v>
      </c>
      <c r="B1545" t="s">
        <v>456</v>
      </c>
      <c r="C1545">
        <v>39.9</v>
      </c>
      <c r="D1545">
        <v>11.85</v>
      </c>
      <c r="E1545">
        <f t="shared" ca="1" si="96"/>
        <v>42.155299049902133</v>
      </c>
      <c r="F1545">
        <f t="shared" ca="1" si="97"/>
        <v>-2.2552990499021348</v>
      </c>
      <c r="G1545">
        <f t="shared" ca="1" si="98"/>
        <v>-5.3499775846267437E-2</v>
      </c>
      <c r="H1545" t="str">
        <f t="shared" ca="1" si="99"/>
        <v>underprived</v>
      </c>
    </row>
    <row r="1546" spans="1:8" x14ac:dyDescent="0.3">
      <c r="A1546" t="s">
        <v>1840</v>
      </c>
      <c r="B1546" t="s">
        <v>839</v>
      </c>
      <c r="C1546">
        <v>19.989999999999998</v>
      </c>
      <c r="D1546">
        <v>7.4</v>
      </c>
      <c r="E1546">
        <f t="shared" ca="1" si="96"/>
        <v>20.69015762618773</v>
      </c>
      <c r="F1546">
        <f t="shared" ca="1" si="97"/>
        <v>-0.70015762618773181</v>
      </c>
      <c r="G1546">
        <f t="shared" ca="1" si="98"/>
        <v>-3.3840130115854489E-2</v>
      </c>
      <c r="H1546" t="str">
        <f t="shared" ca="1" si="99"/>
        <v>competitive</v>
      </c>
    </row>
    <row r="1547" spans="1:8" x14ac:dyDescent="0.3">
      <c r="A1547" t="s">
        <v>1841</v>
      </c>
      <c r="B1547" t="s">
        <v>563</v>
      </c>
      <c r="C1547">
        <v>122.99</v>
      </c>
      <c r="D1547">
        <v>22.57</v>
      </c>
      <c r="E1547">
        <f t="shared" ca="1" si="96"/>
        <v>118.31589295384109</v>
      </c>
      <c r="F1547">
        <f t="shared" ca="1" si="97"/>
        <v>4.6741070461589089</v>
      </c>
      <c r="G1547">
        <f t="shared" ca="1" si="98"/>
        <v>3.950531859639881E-2</v>
      </c>
      <c r="H1547" t="str">
        <f t="shared" ca="1" si="99"/>
        <v>competitive</v>
      </c>
    </row>
    <row r="1548" spans="1:8" x14ac:dyDescent="0.3">
      <c r="A1548" t="s">
        <v>1842</v>
      </c>
      <c r="B1548" t="s">
        <v>1560</v>
      </c>
      <c r="C1548">
        <v>30</v>
      </c>
      <c r="D1548">
        <v>8.2899999999999991</v>
      </c>
      <c r="E1548">
        <f t="shared" ca="1" si="96"/>
        <v>27.578479482867461</v>
      </c>
      <c r="F1548">
        <f t="shared" ca="1" si="97"/>
        <v>2.4215205171325387</v>
      </c>
      <c r="G1548">
        <f t="shared" ca="1" si="98"/>
        <v>8.7804714492575861E-2</v>
      </c>
      <c r="H1548" t="str">
        <f t="shared" ca="1" si="99"/>
        <v>overpriced</v>
      </c>
    </row>
    <row r="1549" spans="1:8" x14ac:dyDescent="0.3">
      <c r="A1549" t="s">
        <v>1843</v>
      </c>
      <c r="B1549" t="s">
        <v>1844</v>
      </c>
      <c r="C1549">
        <v>119.9</v>
      </c>
      <c r="D1549">
        <v>15.59</v>
      </c>
      <c r="E1549">
        <f t="shared" ca="1" si="96"/>
        <v>130.94564881855106</v>
      </c>
      <c r="F1549">
        <f t="shared" ca="1" si="97"/>
        <v>-11.045648818551058</v>
      </c>
      <c r="G1549">
        <f t="shared" ca="1" si="98"/>
        <v>-8.4352927479528605E-2</v>
      </c>
      <c r="H1549" t="str">
        <f t="shared" ca="1" si="99"/>
        <v>underprived</v>
      </c>
    </row>
    <row r="1550" spans="1:8" x14ac:dyDescent="0.3">
      <c r="A1550" t="s">
        <v>1193</v>
      </c>
      <c r="B1550" t="s">
        <v>1194</v>
      </c>
      <c r="C1550">
        <v>109.9</v>
      </c>
      <c r="D1550">
        <v>8.5299999999999994</v>
      </c>
      <c r="E1550">
        <f t="shared" ca="1" si="96"/>
        <v>119.03898445311842</v>
      </c>
      <c r="F1550">
        <f t="shared" ca="1" si="97"/>
        <v>-9.138984453118411</v>
      </c>
      <c r="G1550">
        <f t="shared" ca="1" si="98"/>
        <v>-7.6773037800214536E-2</v>
      </c>
      <c r="H1550" t="str">
        <f t="shared" ca="1" si="99"/>
        <v>underprived</v>
      </c>
    </row>
    <row r="1551" spans="1:8" x14ac:dyDescent="0.3">
      <c r="A1551" t="s">
        <v>1845</v>
      </c>
      <c r="B1551" t="s">
        <v>1846</v>
      </c>
      <c r="C1551">
        <v>139</v>
      </c>
      <c r="D1551">
        <v>17.41</v>
      </c>
      <c r="E1551">
        <f t="shared" ca="1" si="96"/>
        <v>151.12764197536342</v>
      </c>
      <c r="F1551">
        <f t="shared" ca="1" si="97"/>
        <v>-12.127641975363417</v>
      </c>
      <c r="G1551">
        <f t="shared" ca="1" si="98"/>
        <v>-8.0247675520143738E-2</v>
      </c>
      <c r="H1551" t="str">
        <f t="shared" ca="1" si="99"/>
        <v>underprived</v>
      </c>
    </row>
    <row r="1552" spans="1:8" x14ac:dyDescent="0.3">
      <c r="A1552" t="s">
        <v>1845</v>
      </c>
      <c r="B1552" t="s">
        <v>1846</v>
      </c>
      <c r="C1552">
        <v>139</v>
      </c>
      <c r="D1552">
        <v>17.41</v>
      </c>
      <c r="E1552">
        <f t="shared" ca="1" si="96"/>
        <v>135.90553406014411</v>
      </c>
      <c r="F1552">
        <f t="shared" ca="1" si="97"/>
        <v>3.094465939855894</v>
      </c>
      <c r="G1552">
        <f t="shared" ca="1" si="98"/>
        <v>2.2769241600466825E-2</v>
      </c>
      <c r="H1552" t="str">
        <f t="shared" ca="1" si="99"/>
        <v>competitive</v>
      </c>
    </row>
    <row r="1553" spans="1:8" x14ac:dyDescent="0.3">
      <c r="A1553" t="s">
        <v>1847</v>
      </c>
      <c r="B1553" t="s">
        <v>445</v>
      </c>
      <c r="C1553">
        <v>1149.6500000000001</v>
      </c>
      <c r="D1553">
        <v>22.8</v>
      </c>
      <c r="E1553">
        <f t="shared" ca="1" si="96"/>
        <v>1052.9769637477941</v>
      </c>
      <c r="F1553">
        <f t="shared" ca="1" si="97"/>
        <v>96.673036252205975</v>
      </c>
      <c r="G1553">
        <f t="shared" ca="1" si="98"/>
        <v>9.1809260392671621E-2</v>
      </c>
      <c r="H1553" t="str">
        <f t="shared" ca="1" si="99"/>
        <v>overpriced</v>
      </c>
    </row>
    <row r="1554" spans="1:8" x14ac:dyDescent="0.3">
      <c r="A1554" t="s">
        <v>1848</v>
      </c>
      <c r="B1554" t="s">
        <v>39</v>
      </c>
      <c r="C1554">
        <v>107</v>
      </c>
      <c r="D1554">
        <v>17.46</v>
      </c>
      <c r="E1554">
        <f t="shared" ca="1" si="96"/>
        <v>103.90343801239695</v>
      </c>
      <c r="F1554">
        <f t="shared" ca="1" si="97"/>
        <v>3.096561987603053</v>
      </c>
      <c r="G1554">
        <f t="shared" ca="1" si="98"/>
        <v>2.9802305360036262E-2</v>
      </c>
      <c r="H1554" t="str">
        <f t="shared" ca="1" si="99"/>
        <v>competitive</v>
      </c>
    </row>
    <row r="1555" spans="1:8" x14ac:dyDescent="0.3">
      <c r="A1555" t="s">
        <v>1849</v>
      </c>
      <c r="B1555" t="s">
        <v>1850</v>
      </c>
      <c r="C1555">
        <v>116</v>
      </c>
      <c r="D1555">
        <v>25.3</v>
      </c>
      <c r="E1555">
        <f t="shared" ca="1" si="96"/>
        <v>112.42494978341304</v>
      </c>
      <c r="F1555">
        <f t="shared" ca="1" si="97"/>
        <v>3.5750502165869591</v>
      </c>
      <c r="G1555">
        <f t="shared" ca="1" si="98"/>
        <v>3.179943796705538E-2</v>
      </c>
      <c r="H1555" t="str">
        <f t="shared" ca="1" si="99"/>
        <v>competitive</v>
      </c>
    </row>
    <row r="1556" spans="1:8" x14ac:dyDescent="0.3">
      <c r="A1556" t="s">
        <v>1851</v>
      </c>
      <c r="B1556" t="s">
        <v>657</v>
      </c>
      <c r="C1556">
        <v>84.9</v>
      </c>
      <c r="D1556">
        <v>17.84</v>
      </c>
      <c r="E1556">
        <f t="shared" ca="1" si="96"/>
        <v>90.406410882038571</v>
      </c>
      <c r="F1556">
        <f t="shared" ca="1" si="97"/>
        <v>-5.5064108820385655</v>
      </c>
      <c r="G1556">
        <f t="shared" ca="1" si="98"/>
        <v>-6.0907305447876682E-2</v>
      </c>
      <c r="H1556" t="str">
        <f t="shared" ca="1" si="99"/>
        <v>underprived</v>
      </c>
    </row>
    <row r="1557" spans="1:8" x14ac:dyDescent="0.3">
      <c r="A1557" t="s">
        <v>441</v>
      </c>
      <c r="B1557" t="s">
        <v>190</v>
      </c>
      <c r="C1557">
        <v>127</v>
      </c>
      <c r="D1557">
        <v>17.8</v>
      </c>
      <c r="E1557">
        <f t="shared" ca="1" si="96"/>
        <v>133.23047645204574</v>
      </c>
      <c r="F1557">
        <f t="shared" ca="1" si="97"/>
        <v>-6.2304764520457354</v>
      </c>
      <c r="G1557">
        <f t="shared" ca="1" si="98"/>
        <v>-4.6764648884884082E-2</v>
      </c>
      <c r="H1557" t="str">
        <f t="shared" ca="1" si="99"/>
        <v>competitive</v>
      </c>
    </row>
    <row r="1558" spans="1:8" x14ac:dyDescent="0.3">
      <c r="A1558" t="s">
        <v>1852</v>
      </c>
      <c r="B1558" t="s">
        <v>867</v>
      </c>
      <c r="C1558">
        <v>129.9</v>
      </c>
      <c r="D1558">
        <v>47.21</v>
      </c>
      <c r="E1558">
        <f t="shared" ca="1" si="96"/>
        <v>128.27391361767019</v>
      </c>
      <c r="F1558">
        <f t="shared" ca="1" si="97"/>
        <v>1.6260863823298166</v>
      </c>
      <c r="G1558">
        <f t="shared" ca="1" si="98"/>
        <v>1.2676672415067076E-2</v>
      </c>
      <c r="H1558" t="str">
        <f t="shared" ca="1" si="99"/>
        <v>competitive</v>
      </c>
    </row>
    <row r="1559" spans="1:8" x14ac:dyDescent="0.3">
      <c r="A1559" t="s">
        <v>1853</v>
      </c>
      <c r="B1559" t="s">
        <v>1467</v>
      </c>
      <c r="C1559">
        <v>66.5</v>
      </c>
      <c r="D1559">
        <v>18.71</v>
      </c>
      <c r="E1559">
        <f t="shared" ca="1" si="96"/>
        <v>64.024210455691204</v>
      </c>
      <c r="F1559">
        <f t="shared" ca="1" si="97"/>
        <v>2.4757895443087961</v>
      </c>
      <c r="G1559">
        <f t="shared" ca="1" si="98"/>
        <v>3.8669583376154226E-2</v>
      </c>
      <c r="H1559" t="str">
        <f t="shared" ca="1" si="99"/>
        <v>competitive</v>
      </c>
    </row>
    <row r="1560" spans="1:8" x14ac:dyDescent="0.3">
      <c r="A1560" t="s">
        <v>1854</v>
      </c>
      <c r="B1560" t="s">
        <v>747</v>
      </c>
      <c r="C1560">
        <v>159.9</v>
      </c>
      <c r="D1560">
        <v>14.14</v>
      </c>
      <c r="E1560">
        <f t="shared" ca="1" si="96"/>
        <v>147.68026874696844</v>
      </c>
      <c r="F1560">
        <f t="shared" ca="1" si="97"/>
        <v>12.219731253031568</v>
      </c>
      <c r="G1560">
        <f t="shared" ca="1" si="98"/>
        <v>8.2744508502815228E-2</v>
      </c>
      <c r="H1560" t="str">
        <f t="shared" ca="1" si="99"/>
        <v>overpriced</v>
      </c>
    </row>
    <row r="1561" spans="1:8" x14ac:dyDescent="0.3">
      <c r="A1561" t="s">
        <v>1855</v>
      </c>
      <c r="B1561" t="s">
        <v>1467</v>
      </c>
      <c r="C1561">
        <v>54.9</v>
      </c>
      <c r="D1561">
        <v>13.4</v>
      </c>
      <c r="E1561">
        <f t="shared" ca="1" si="96"/>
        <v>53.374577017469406</v>
      </c>
      <c r="F1561">
        <f t="shared" ca="1" si="97"/>
        <v>1.5254229825305927</v>
      </c>
      <c r="G1561">
        <f t="shared" ca="1" si="98"/>
        <v>2.857957978817002E-2</v>
      </c>
      <c r="H1561" t="str">
        <f t="shared" ca="1" si="99"/>
        <v>competitive</v>
      </c>
    </row>
    <row r="1562" spans="1:8" x14ac:dyDescent="0.3">
      <c r="A1562" t="s">
        <v>1856</v>
      </c>
      <c r="B1562" t="s">
        <v>1857</v>
      </c>
      <c r="C1562">
        <v>220</v>
      </c>
      <c r="D1562">
        <v>38.67</v>
      </c>
      <c r="E1562">
        <f t="shared" ca="1" si="96"/>
        <v>211.26620047669951</v>
      </c>
      <c r="F1562">
        <f t="shared" ca="1" si="97"/>
        <v>8.7337995233004904</v>
      </c>
      <c r="G1562">
        <f t="shared" ca="1" si="98"/>
        <v>4.1340259367535409E-2</v>
      </c>
      <c r="H1562" t="str">
        <f t="shared" ca="1" si="99"/>
        <v>competitive</v>
      </c>
    </row>
    <row r="1563" spans="1:8" x14ac:dyDescent="0.3">
      <c r="A1563" t="s">
        <v>1858</v>
      </c>
      <c r="B1563" t="s">
        <v>49</v>
      </c>
      <c r="C1563">
        <v>39</v>
      </c>
      <c r="D1563">
        <v>50.99</v>
      </c>
      <c r="E1563">
        <f t="shared" ca="1" si="96"/>
        <v>36.31659473117989</v>
      </c>
      <c r="F1563">
        <f t="shared" ca="1" si="97"/>
        <v>2.6834052688201098</v>
      </c>
      <c r="G1563">
        <f t="shared" ca="1" si="98"/>
        <v>7.3889231319263851E-2</v>
      </c>
      <c r="H1563" t="str">
        <f t="shared" ca="1" si="99"/>
        <v>overpriced</v>
      </c>
    </row>
    <row r="1564" spans="1:8" x14ac:dyDescent="0.3">
      <c r="A1564" t="s">
        <v>1859</v>
      </c>
      <c r="B1564" t="s">
        <v>1770</v>
      </c>
      <c r="C1564">
        <v>49</v>
      </c>
      <c r="D1564">
        <v>11.73</v>
      </c>
      <c r="E1564">
        <f t="shared" ca="1" si="96"/>
        <v>51.863654245967545</v>
      </c>
      <c r="F1564">
        <f t="shared" ca="1" si="97"/>
        <v>-2.8636542459675454</v>
      </c>
      <c r="G1564">
        <f t="shared" ca="1" si="98"/>
        <v>-5.5215049683665467E-2</v>
      </c>
      <c r="H1564" t="str">
        <f t="shared" ca="1" si="99"/>
        <v>underprived</v>
      </c>
    </row>
    <row r="1565" spans="1:8" x14ac:dyDescent="0.3">
      <c r="A1565" t="s">
        <v>1860</v>
      </c>
      <c r="B1565" t="s">
        <v>103</v>
      </c>
      <c r="C1565">
        <v>339.9</v>
      </c>
      <c r="D1565">
        <v>27.67</v>
      </c>
      <c r="E1565">
        <f t="shared" ca="1" si="96"/>
        <v>342.50244728004014</v>
      </c>
      <c r="F1565">
        <f t="shared" ca="1" si="97"/>
        <v>-2.6024472800401668</v>
      </c>
      <c r="G1565">
        <f t="shared" ca="1" si="98"/>
        <v>-7.5983319264061461E-3</v>
      </c>
      <c r="H1565" t="str">
        <f t="shared" ca="1" si="99"/>
        <v>competitive</v>
      </c>
    </row>
    <row r="1566" spans="1:8" x14ac:dyDescent="0.3">
      <c r="A1566" t="s">
        <v>1861</v>
      </c>
      <c r="B1566" t="s">
        <v>1862</v>
      </c>
      <c r="C1566">
        <v>99</v>
      </c>
      <c r="D1566">
        <v>8.4600000000000009</v>
      </c>
      <c r="E1566">
        <f t="shared" ca="1" si="96"/>
        <v>94.709090264171721</v>
      </c>
      <c r="F1566">
        <f t="shared" ca="1" si="97"/>
        <v>4.2909097358282793</v>
      </c>
      <c r="G1566">
        <f t="shared" ca="1" si="98"/>
        <v>4.5306207924283304E-2</v>
      </c>
      <c r="H1566" t="str">
        <f t="shared" ca="1" si="99"/>
        <v>competitive</v>
      </c>
    </row>
    <row r="1567" spans="1:8" x14ac:dyDescent="0.3">
      <c r="A1567" t="s">
        <v>787</v>
      </c>
      <c r="B1567" t="s">
        <v>79</v>
      </c>
      <c r="C1567">
        <v>99.99</v>
      </c>
      <c r="D1567">
        <v>11.9</v>
      </c>
      <c r="E1567">
        <f t="shared" ca="1" si="96"/>
        <v>107.3947102188296</v>
      </c>
      <c r="F1567">
        <f t="shared" ca="1" si="97"/>
        <v>-7.4047102188296066</v>
      </c>
      <c r="G1567">
        <f t="shared" ca="1" si="98"/>
        <v>-6.894855625329796E-2</v>
      </c>
      <c r="H1567" t="str">
        <f t="shared" ca="1" si="99"/>
        <v>underprived</v>
      </c>
    </row>
    <row r="1568" spans="1:8" x14ac:dyDescent="0.3">
      <c r="A1568" t="s">
        <v>1863</v>
      </c>
      <c r="B1568" t="s">
        <v>65</v>
      </c>
      <c r="C1568">
        <v>100</v>
      </c>
      <c r="D1568">
        <v>25.25</v>
      </c>
      <c r="E1568">
        <f t="shared" ca="1" si="96"/>
        <v>106.47935865613776</v>
      </c>
      <c r="F1568">
        <f t="shared" ca="1" si="97"/>
        <v>-6.4793586561377623</v>
      </c>
      <c r="G1568">
        <f t="shared" ca="1" si="98"/>
        <v>-6.0850842246919133E-2</v>
      </c>
      <c r="H1568" t="str">
        <f t="shared" ca="1" si="99"/>
        <v>underprived</v>
      </c>
    </row>
    <row r="1569" spans="1:8" x14ac:dyDescent="0.3">
      <c r="A1569" t="s">
        <v>1864</v>
      </c>
      <c r="B1569" t="s">
        <v>378</v>
      </c>
      <c r="C1569">
        <v>288.92</v>
      </c>
      <c r="D1569">
        <v>27.3</v>
      </c>
      <c r="E1569">
        <f t="shared" ca="1" si="96"/>
        <v>262.59936881377854</v>
      </c>
      <c r="F1569">
        <f t="shared" ca="1" si="97"/>
        <v>26.320631186221476</v>
      </c>
      <c r="G1569">
        <f t="shared" ca="1" si="98"/>
        <v>0.10023112890605104</v>
      </c>
      <c r="H1569" t="str">
        <f t="shared" ca="1" si="99"/>
        <v>overpriced</v>
      </c>
    </row>
    <row r="1570" spans="1:8" x14ac:dyDescent="0.3">
      <c r="A1570" t="s">
        <v>1450</v>
      </c>
      <c r="B1570" t="s">
        <v>747</v>
      </c>
      <c r="C1570">
        <v>29.9</v>
      </c>
      <c r="D1570">
        <v>8.11</v>
      </c>
      <c r="E1570">
        <f t="shared" ca="1" si="96"/>
        <v>28.546513279616203</v>
      </c>
      <c r="F1570">
        <f t="shared" ca="1" si="97"/>
        <v>1.3534867203837955</v>
      </c>
      <c r="G1570">
        <f t="shared" ca="1" si="98"/>
        <v>4.7413381351559321E-2</v>
      </c>
      <c r="H1570" t="str">
        <f t="shared" ca="1" si="99"/>
        <v>competitive</v>
      </c>
    </row>
    <row r="1571" spans="1:8" x14ac:dyDescent="0.3">
      <c r="A1571" t="s">
        <v>1125</v>
      </c>
      <c r="B1571" t="s">
        <v>49</v>
      </c>
      <c r="C1571">
        <v>78</v>
      </c>
      <c r="D1571">
        <v>23.05</v>
      </c>
      <c r="E1571">
        <f t="shared" ca="1" si="96"/>
        <v>72.444961207449069</v>
      </c>
      <c r="F1571">
        <f t="shared" ca="1" si="97"/>
        <v>5.5550387925509312</v>
      </c>
      <c r="G1571">
        <f t="shared" ca="1" si="98"/>
        <v>7.6679436360575212E-2</v>
      </c>
      <c r="H1571" t="str">
        <f t="shared" ca="1" si="99"/>
        <v>overpriced</v>
      </c>
    </row>
    <row r="1572" spans="1:8" x14ac:dyDescent="0.3">
      <c r="A1572" t="s">
        <v>1865</v>
      </c>
      <c r="B1572" t="s">
        <v>1866</v>
      </c>
      <c r="C1572">
        <v>69.900000000000006</v>
      </c>
      <c r="D1572">
        <v>14.22</v>
      </c>
      <c r="E1572">
        <f t="shared" ca="1" si="96"/>
        <v>68.348357945128924</v>
      </c>
      <c r="F1572">
        <f t="shared" ca="1" si="97"/>
        <v>1.5516420548710812</v>
      </c>
      <c r="G1572">
        <f t="shared" ca="1" si="98"/>
        <v>2.2701965365675099E-2</v>
      </c>
      <c r="H1572" t="str">
        <f t="shared" ca="1" si="99"/>
        <v>competitive</v>
      </c>
    </row>
    <row r="1573" spans="1:8" x14ac:dyDescent="0.3">
      <c r="A1573" t="s">
        <v>1867</v>
      </c>
      <c r="B1573" t="s">
        <v>297</v>
      </c>
      <c r="C1573">
        <v>139</v>
      </c>
      <c r="D1573">
        <v>14.58</v>
      </c>
      <c r="E1573">
        <f t="shared" ca="1" si="96"/>
        <v>149.79581353515294</v>
      </c>
      <c r="F1573">
        <f t="shared" ca="1" si="97"/>
        <v>-10.795813535152945</v>
      </c>
      <c r="G1573">
        <f t="shared" ca="1" si="98"/>
        <v>-7.2070195290334108E-2</v>
      </c>
      <c r="H1573" t="str">
        <f t="shared" ca="1" si="99"/>
        <v>underprived</v>
      </c>
    </row>
    <row r="1574" spans="1:8" x14ac:dyDescent="0.3">
      <c r="A1574" t="s">
        <v>1867</v>
      </c>
      <c r="B1574" t="s">
        <v>297</v>
      </c>
      <c r="C1574">
        <v>139</v>
      </c>
      <c r="D1574">
        <v>14.58</v>
      </c>
      <c r="E1574">
        <f t="shared" ca="1" si="96"/>
        <v>140.64938702611101</v>
      </c>
      <c r="F1574">
        <f t="shared" ca="1" si="97"/>
        <v>-1.6493870261110146</v>
      </c>
      <c r="G1574">
        <f t="shared" ca="1" si="98"/>
        <v>-1.1726940735296716E-2</v>
      </c>
      <c r="H1574" t="str">
        <f t="shared" ca="1" si="99"/>
        <v>competitive</v>
      </c>
    </row>
    <row r="1575" spans="1:8" x14ac:dyDescent="0.3">
      <c r="A1575" t="s">
        <v>1868</v>
      </c>
      <c r="B1575" t="s">
        <v>1172</v>
      </c>
      <c r="C1575">
        <v>28.69</v>
      </c>
      <c r="D1575">
        <v>12.69</v>
      </c>
      <c r="E1575">
        <f t="shared" ca="1" si="96"/>
        <v>29.986103339147732</v>
      </c>
      <c r="F1575">
        <f t="shared" ca="1" si="97"/>
        <v>-1.2961033391477308</v>
      </c>
      <c r="G1575">
        <f t="shared" ca="1" si="98"/>
        <v>-4.3223466700177418E-2</v>
      </c>
      <c r="H1575" t="str">
        <f t="shared" ca="1" si="99"/>
        <v>competitive</v>
      </c>
    </row>
    <row r="1576" spans="1:8" x14ac:dyDescent="0.3">
      <c r="A1576" t="s">
        <v>1869</v>
      </c>
      <c r="B1576" t="s">
        <v>1870</v>
      </c>
      <c r="C1576">
        <v>159</v>
      </c>
      <c r="D1576">
        <v>13.67</v>
      </c>
      <c r="E1576">
        <f t="shared" ca="1" si="96"/>
        <v>159.83480419657516</v>
      </c>
      <c r="F1576">
        <f t="shared" ca="1" si="97"/>
        <v>-0.83480419657516336</v>
      </c>
      <c r="G1576">
        <f t="shared" ca="1" si="98"/>
        <v>-5.2229187552197158E-3</v>
      </c>
      <c r="H1576" t="str">
        <f t="shared" ca="1" si="99"/>
        <v>competitive</v>
      </c>
    </row>
    <row r="1577" spans="1:8" x14ac:dyDescent="0.3">
      <c r="A1577" t="s">
        <v>1871</v>
      </c>
      <c r="B1577" t="s">
        <v>1872</v>
      </c>
      <c r="C1577">
        <v>13.49</v>
      </c>
      <c r="D1577">
        <v>18.23</v>
      </c>
      <c r="E1577">
        <f t="shared" ca="1" si="96"/>
        <v>12.850739509857359</v>
      </c>
      <c r="F1577">
        <f t="shared" ca="1" si="97"/>
        <v>0.6392604901426413</v>
      </c>
      <c r="G1577">
        <f t="shared" ca="1" si="98"/>
        <v>4.9745035268381761E-2</v>
      </c>
      <c r="H1577" t="str">
        <f t="shared" ca="1" si="99"/>
        <v>competitive</v>
      </c>
    </row>
    <row r="1578" spans="1:8" x14ac:dyDescent="0.3">
      <c r="A1578" t="s">
        <v>235</v>
      </c>
      <c r="B1578" t="s">
        <v>79</v>
      </c>
      <c r="C1578">
        <v>118.99</v>
      </c>
      <c r="D1578">
        <v>17.079999999999998</v>
      </c>
      <c r="E1578">
        <f t="shared" ca="1" si="96"/>
        <v>108.89743142819079</v>
      </c>
      <c r="F1578">
        <f t="shared" ca="1" si="97"/>
        <v>10.09256857180921</v>
      </c>
      <c r="G1578">
        <f t="shared" ca="1" si="98"/>
        <v>9.2679583342279825E-2</v>
      </c>
      <c r="H1578" t="str">
        <f t="shared" ca="1" si="99"/>
        <v>overpriced</v>
      </c>
    </row>
    <row r="1579" spans="1:8" x14ac:dyDescent="0.3">
      <c r="A1579" t="s">
        <v>1534</v>
      </c>
      <c r="B1579" t="s">
        <v>1389</v>
      </c>
      <c r="C1579">
        <v>129.99</v>
      </c>
      <c r="D1579">
        <v>25.75</v>
      </c>
      <c r="E1579">
        <f t="shared" ca="1" si="96"/>
        <v>131.4259880150062</v>
      </c>
      <c r="F1579">
        <f t="shared" ca="1" si="97"/>
        <v>-1.4359880150061883</v>
      </c>
      <c r="G1579">
        <f t="shared" ca="1" si="98"/>
        <v>-1.0926210536398839E-2</v>
      </c>
      <c r="H1579" t="str">
        <f t="shared" ca="1" si="99"/>
        <v>competitive</v>
      </c>
    </row>
    <row r="1580" spans="1:8" x14ac:dyDescent="0.3">
      <c r="A1580" t="s">
        <v>1873</v>
      </c>
      <c r="B1580" t="s">
        <v>1793</v>
      </c>
      <c r="C1580">
        <v>69.900000000000006</v>
      </c>
      <c r="D1580">
        <v>17.739999999999998</v>
      </c>
      <c r="E1580">
        <f t="shared" ca="1" si="96"/>
        <v>71.659657166423457</v>
      </c>
      <c r="F1580">
        <f t="shared" ca="1" si="97"/>
        <v>-1.7596571664234517</v>
      </c>
      <c r="G1580">
        <f t="shared" ca="1" si="98"/>
        <v>-2.4555757535049291E-2</v>
      </c>
      <c r="H1580" t="str">
        <f t="shared" ca="1" si="99"/>
        <v>competitive</v>
      </c>
    </row>
    <row r="1581" spans="1:8" x14ac:dyDescent="0.3">
      <c r="A1581" t="s">
        <v>1874</v>
      </c>
      <c r="B1581" t="s">
        <v>1519</v>
      </c>
      <c r="C1581">
        <v>1890</v>
      </c>
      <c r="D1581">
        <v>73.14</v>
      </c>
      <c r="E1581">
        <f t="shared" ca="1" si="96"/>
        <v>1956.2351146277633</v>
      </c>
      <c r="F1581">
        <f t="shared" ca="1" si="97"/>
        <v>-66.235114627763323</v>
      </c>
      <c r="G1581">
        <f t="shared" ca="1" si="98"/>
        <v>-3.385846319416809E-2</v>
      </c>
      <c r="H1581" t="str">
        <f t="shared" ca="1" si="99"/>
        <v>competitive</v>
      </c>
    </row>
    <row r="1582" spans="1:8" x14ac:dyDescent="0.3">
      <c r="A1582" t="s">
        <v>1875</v>
      </c>
      <c r="B1582" t="s">
        <v>1876</v>
      </c>
      <c r="C1582">
        <v>179.9</v>
      </c>
      <c r="D1582">
        <v>17.02</v>
      </c>
      <c r="E1582">
        <f t="shared" ca="1" si="96"/>
        <v>176.08940340013086</v>
      </c>
      <c r="F1582">
        <f t="shared" ca="1" si="97"/>
        <v>3.8105965998691431</v>
      </c>
      <c r="G1582">
        <f t="shared" ca="1" si="98"/>
        <v>2.1640124427080156E-2</v>
      </c>
      <c r="H1582" t="str">
        <f t="shared" ca="1" si="99"/>
        <v>competitive</v>
      </c>
    </row>
    <row r="1583" spans="1:8" x14ac:dyDescent="0.3">
      <c r="A1583" t="s">
        <v>1875</v>
      </c>
      <c r="B1583" t="s">
        <v>1876</v>
      </c>
      <c r="C1583">
        <v>179.9</v>
      </c>
      <c r="D1583">
        <v>17.02</v>
      </c>
      <c r="E1583">
        <f t="shared" ca="1" si="96"/>
        <v>189.23624916572021</v>
      </c>
      <c r="F1583">
        <f t="shared" ca="1" si="97"/>
        <v>-9.3362491657202042</v>
      </c>
      <c r="G1583">
        <f t="shared" ca="1" si="98"/>
        <v>-4.9336473360049288E-2</v>
      </c>
      <c r="H1583" t="str">
        <f t="shared" ca="1" si="99"/>
        <v>competitive</v>
      </c>
    </row>
    <row r="1584" spans="1:8" x14ac:dyDescent="0.3">
      <c r="A1584" t="s">
        <v>1877</v>
      </c>
      <c r="B1584" t="s">
        <v>101</v>
      </c>
      <c r="C1584">
        <v>114.9</v>
      </c>
      <c r="D1584">
        <v>14.97</v>
      </c>
      <c r="E1584">
        <f t="shared" ca="1" si="96"/>
        <v>121.34464793628197</v>
      </c>
      <c r="F1584">
        <f t="shared" ca="1" si="97"/>
        <v>-6.4446479362819673</v>
      </c>
      <c r="G1584">
        <f t="shared" ca="1" si="98"/>
        <v>-5.3110277592680062E-2</v>
      </c>
      <c r="H1584" t="str">
        <f t="shared" ca="1" si="99"/>
        <v>underprived</v>
      </c>
    </row>
    <row r="1585" spans="1:8" x14ac:dyDescent="0.3">
      <c r="A1585" t="s">
        <v>1475</v>
      </c>
      <c r="B1585" t="s">
        <v>257</v>
      </c>
      <c r="C1585">
        <v>75.900000000000006</v>
      </c>
      <c r="D1585">
        <v>25.81</v>
      </c>
      <c r="E1585">
        <f t="shared" ca="1" si="96"/>
        <v>69.85503084422183</v>
      </c>
      <c r="F1585">
        <f t="shared" ca="1" si="97"/>
        <v>6.0449691557781762</v>
      </c>
      <c r="G1585">
        <f t="shared" ca="1" si="98"/>
        <v>8.6535917065996046E-2</v>
      </c>
      <c r="H1585" t="str">
        <f t="shared" ca="1" si="99"/>
        <v>overpriced</v>
      </c>
    </row>
    <row r="1586" spans="1:8" x14ac:dyDescent="0.3">
      <c r="A1586" t="s">
        <v>91</v>
      </c>
      <c r="B1586" t="s">
        <v>29</v>
      </c>
      <c r="C1586">
        <v>69.900000000000006</v>
      </c>
      <c r="D1586">
        <v>10.210000000000001</v>
      </c>
      <c r="E1586">
        <f t="shared" ca="1" si="96"/>
        <v>72.29212175380016</v>
      </c>
      <c r="F1586">
        <f t="shared" ca="1" si="97"/>
        <v>-2.3921217538001542</v>
      </c>
      <c r="G1586">
        <f t="shared" ca="1" si="98"/>
        <v>-3.3089660335974415E-2</v>
      </c>
      <c r="H1586" t="str">
        <f t="shared" ca="1" si="99"/>
        <v>competitive</v>
      </c>
    </row>
    <row r="1587" spans="1:8" x14ac:dyDescent="0.3">
      <c r="A1587" t="s">
        <v>1878</v>
      </c>
      <c r="B1587" t="s">
        <v>168</v>
      </c>
      <c r="C1587">
        <v>65</v>
      </c>
      <c r="D1587">
        <v>16.420000000000002</v>
      </c>
      <c r="E1587">
        <f t="shared" ca="1" si="96"/>
        <v>68.944881256950708</v>
      </c>
      <c r="F1587">
        <f t="shared" ca="1" si="97"/>
        <v>-3.9448812569507083</v>
      </c>
      <c r="G1587">
        <f t="shared" ca="1" si="98"/>
        <v>-5.7217899067060957E-2</v>
      </c>
      <c r="H1587" t="str">
        <f t="shared" ca="1" si="99"/>
        <v>underprived</v>
      </c>
    </row>
    <row r="1588" spans="1:8" x14ac:dyDescent="0.3">
      <c r="A1588" t="s">
        <v>1879</v>
      </c>
      <c r="B1588" t="s">
        <v>176</v>
      </c>
      <c r="C1588">
        <v>299.99</v>
      </c>
      <c r="D1588">
        <v>14.93</v>
      </c>
      <c r="E1588">
        <f t="shared" ca="1" si="96"/>
        <v>322.48578526664664</v>
      </c>
      <c r="F1588">
        <f t="shared" ca="1" si="97"/>
        <v>-22.495785266646635</v>
      </c>
      <c r="G1588">
        <f t="shared" ca="1" si="98"/>
        <v>-6.9757447597406638E-2</v>
      </c>
      <c r="H1588" t="str">
        <f t="shared" ca="1" si="99"/>
        <v>underprived</v>
      </c>
    </row>
    <row r="1589" spans="1:8" x14ac:dyDescent="0.3">
      <c r="A1589" t="s">
        <v>1880</v>
      </c>
      <c r="B1589" t="s">
        <v>1881</v>
      </c>
      <c r="C1589">
        <v>89.9</v>
      </c>
      <c r="D1589">
        <v>19.600000000000001</v>
      </c>
      <c r="E1589">
        <f t="shared" ca="1" si="96"/>
        <v>92.030195471702157</v>
      </c>
      <c r="F1589">
        <f t="shared" ca="1" si="97"/>
        <v>-2.1301954717021516</v>
      </c>
      <c r="G1589">
        <f t="shared" ca="1" si="98"/>
        <v>-2.3146701588362413E-2</v>
      </c>
      <c r="H1589" t="str">
        <f t="shared" ca="1" si="99"/>
        <v>competitive</v>
      </c>
    </row>
    <row r="1590" spans="1:8" x14ac:dyDescent="0.3">
      <c r="A1590" t="s">
        <v>1882</v>
      </c>
      <c r="B1590" t="s">
        <v>329</v>
      </c>
      <c r="C1590">
        <v>49.9</v>
      </c>
      <c r="D1590">
        <v>23.5</v>
      </c>
      <c r="E1590">
        <f t="shared" ca="1" si="96"/>
        <v>53.389191408541429</v>
      </c>
      <c r="F1590">
        <f t="shared" ca="1" si="97"/>
        <v>-3.48919140854143</v>
      </c>
      <c r="G1590">
        <f t="shared" ca="1" si="98"/>
        <v>-6.5353891236929543E-2</v>
      </c>
      <c r="H1590" t="str">
        <f t="shared" ca="1" si="99"/>
        <v>underprived</v>
      </c>
    </row>
    <row r="1591" spans="1:8" x14ac:dyDescent="0.3">
      <c r="A1591" t="s">
        <v>1883</v>
      </c>
      <c r="B1591" t="s">
        <v>1884</v>
      </c>
      <c r="C1591">
        <v>314.99</v>
      </c>
      <c r="D1591">
        <v>18.91</v>
      </c>
      <c r="E1591">
        <f t="shared" ca="1" si="96"/>
        <v>302.76136520791363</v>
      </c>
      <c r="F1591">
        <f t="shared" ca="1" si="97"/>
        <v>12.228634792086382</v>
      </c>
      <c r="G1591">
        <f t="shared" ca="1" si="98"/>
        <v>4.0390341032082083E-2</v>
      </c>
      <c r="H1591" t="str">
        <f t="shared" ca="1" si="99"/>
        <v>competitive</v>
      </c>
    </row>
    <row r="1592" spans="1:8" x14ac:dyDescent="0.3">
      <c r="A1592" t="s">
        <v>1885</v>
      </c>
      <c r="B1592" t="s">
        <v>59</v>
      </c>
      <c r="C1592">
        <v>40</v>
      </c>
      <c r="D1592">
        <v>15.1</v>
      </c>
      <c r="E1592">
        <f t="shared" ca="1" si="96"/>
        <v>39.690176638030842</v>
      </c>
      <c r="F1592">
        <f t="shared" ca="1" si="97"/>
        <v>0.30982336196915838</v>
      </c>
      <c r="G1592">
        <f t="shared" ca="1" si="98"/>
        <v>7.8060464380067252E-3</v>
      </c>
      <c r="H1592" t="str">
        <f t="shared" ca="1" si="99"/>
        <v>competitive</v>
      </c>
    </row>
    <row r="1593" spans="1:8" x14ac:dyDescent="0.3">
      <c r="A1593" t="s">
        <v>1886</v>
      </c>
      <c r="B1593" t="s">
        <v>49</v>
      </c>
      <c r="C1593">
        <v>115</v>
      </c>
      <c r="D1593">
        <v>8.06</v>
      </c>
      <c r="E1593">
        <f t="shared" ca="1" si="96"/>
        <v>104.01449492314211</v>
      </c>
      <c r="F1593">
        <f t="shared" ca="1" si="97"/>
        <v>10.985505076857891</v>
      </c>
      <c r="G1593">
        <f t="shared" ca="1" si="98"/>
        <v>0.10561513647665402</v>
      </c>
      <c r="H1593" t="str">
        <f t="shared" ca="1" si="99"/>
        <v>overpriced</v>
      </c>
    </row>
    <row r="1594" spans="1:8" x14ac:dyDescent="0.3">
      <c r="A1594" t="s">
        <v>1887</v>
      </c>
      <c r="B1594" t="s">
        <v>747</v>
      </c>
      <c r="C1594">
        <v>184.9</v>
      </c>
      <c r="D1594">
        <v>14.41</v>
      </c>
      <c r="E1594">
        <f t="shared" ca="1" si="96"/>
        <v>197.82327855963857</v>
      </c>
      <c r="F1594">
        <f t="shared" ca="1" si="97"/>
        <v>-12.923278559638561</v>
      </c>
      <c r="G1594">
        <f t="shared" ca="1" si="98"/>
        <v>-6.5327390455428777E-2</v>
      </c>
      <c r="H1594" t="str">
        <f t="shared" ca="1" si="99"/>
        <v>underprived</v>
      </c>
    </row>
    <row r="1595" spans="1:8" x14ac:dyDescent="0.3">
      <c r="A1595" t="s">
        <v>460</v>
      </c>
      <c r="B1595" t="s">
        <v>461</v>
      </c>
      <c r="C1595">
        <v>170</v>
      </c>
      <c r="D1595">
        <v>30.44</v>
      </c>
      <c r="E1595">
        <f t="shared" ca="1" si="96"/>
        <v>174.87099988842135</v>
      </c>
      <c r="F1595">
        <f t="shared" ca="1" si="97"/>
        <v>-4.8709998884213519</v>
      </c>
      <c r="G1595">
        <f t="shared" ca="1" si="98"/>
        <v>-2.7854818074634188E-2</v>
      </c>
      <c r="H1595" t="str">
        <f t="shared" ca="1" si="99"/>
        <v>competitive</v>
      </c>
    </row>
    <row r="1596" spans="1:8" x14ac:dyDescent="0.3">
      <c r="A1596" t="s">
        <v>460</v>
      </c>
      <c r="B1596" t="s">
        <v>461</v>
      </c>
      <c r="C1596">
        <v>170</v>
      </c>
      <c r="D1596">
        <v>30.44</v>
      </c>
      <c r="E1596">
        <f t="shared" ca="1" si="96"/>
        <v>158.32596560016512</v>
      </c>
      <c r="F1596">
        <f t="shared" ca="1" si="97"/>
        <v>11.674034399834881</v>
      </c>
      <c r="G1596">
        <f t="shared" ca="1" si="98"/>
        <v>7.3734174654057544E-2</v>
      </c>
      <c r="H1596" t="str">
        <f t="shared" ca="1" si="99"/>
        <v>overpriced</v>
      </c>
    </row>
    <row r="1597" spans="1:8" x14ac:dyDescent="0.3">
      <c r="A1597" t="s">
        <v>460</v>
      </c>
      <c r="B1597" t="s">
        <v>461</v>
      </c>
      <c r="C1597">
        <v>170</v>
      </c>
      <c r="D1597">
        <v>30.44</v>
      </c>
      <c r="E1597">
        <f t="shared" ca="1" si="96"/>
        <v>162.69300030784399</v>
      </c>
      <c r="F1597">
        <f t="shared" ca="1" si="97"/>
        <v>7.3069996921560119</v>
      </c>
      <c r="G1597">
        <f t="shared" ca="1" si="98"/>
        <v>4.4912809268560255E-2</v>
      </c>
      <c r="H1597" t="str">
        <f t="shared" ca="1" si="99"/>
        <v>competitive</v>
      </c>
    </row>
    <row r="1598" spans="1:8" x14ac:dyDescent="0.3">
      <c r="A1598" t="s">
        <v>460</v>
      </c>
      <c r="B1598" t="s">
        <v>461</v>
      </c>
      <c r="C1598">
        <v>170</v>
      </c>
      <c r="D1598">
        <v>30.44</v>
      </c>
      <c r="E1598">
        <f t="shared" ca="1" si="96"/>
        <v>162.40413595605608</v>
      </c>
      <c r="F1598">
        <f t="shared" ca="1" si="97"/>
        <v>7.5958640439439193</v>
      </c>
      <c r="G1598">
        <f t="shared" ca="1" si="98"/>
        <v>4.6771370687254149E-2</v>
      </c>
      <c r="H1598" t="str">
        <f t="shared" ca="1" si="99"/>
        <v>competitive</v>
      </c>
    </row>
    <row r="1599" spans="1:8" x14ac:dyDescent="0.3">
      <c r="A1599" t="s">
        <v>460</v>
      </c>
      <c r="B1599" t="s">
        <v>461</v>
      </c>
      <c r="C1599">
        <v>170</v>
      </c>
      <c r="D1599">
        <v>30.44</v>
      </c>
      <c r="E1599">
        <f t="shared" ca="1" si="96"/>
        <v>182.15038553974171</v>
      </c>
      <c r="F1599">
        <f t="shared" ca="1" si="97"/>
        <v>-12.150385539741706</v>
      </c>
      <c r="G1599">
        <f t="shared" ca="1" si="98"/>
        <v>-6.670524195564069E-2</v>
      </c>
      <c r="H1599" t="str">
        <f t="shared" ca="1" si="99"/>
        <v>underprived</v>
      </c>
    </row>
    <row r="1600" spans="1:8" x14ac:dyDescent="0.3">
      <c r="A1600" t="s">
        <v>460</v>
      </c>
      <c r="B1600" t="s">
        <v>461</v>
      </c>
      <c r="C1600">
        <v>170</v>
      </c>
      <c r="D1600">
        <v>30.44</v>
      </c>
      <c r="E1600">
        <f t="shared" ca="1" si="96"/>
        <v>182.6068989181037</v>
      </c>
      <c r="F1600">
        <f t="shared" ca="1" si="97"/>
        <v>-12.606898918103695</v>
      </c>
      <c r="G1600">
        <f t="shared" ca="1" si="98"/>
        <v>-6.90384590768265E-2</v>
      </c>
      <c r="H1600" t="str">
        <f t="shared" ca="1" si="99"/>
        <v>underprived</v>
      </c>
    </row>
    <row r="1601" spans="1:8" x14ac:dyDescent="0.3">
      <c r="A1601" t="s">
        <v>715</v>
      </c>
      <c r="B1601" t="s">
        <v>49</v>
      </c>
      <c r="C1601">
        <v>55</v>
      </c>
      <c r="D1601">
        <v>37.299999999999997</v>
      </c>
      <c r="E1601">
        <f t="shared" ca="1" si="96"/>
        <v>57.05684973466105</v>
      </c>
      <c r="F1601">
        <f t="shared" ca="1" si="97"/>
        <v>-2.0568497346610499</v>
      </c>
      <c r="G1601">
        <f t="shared" ca="1" si="98"/>
        <v>-3.6049128969199803E-2</v>
      </c>
      <c r="H1601" t="str">
        <f t="shared" ca="1" si="99"/>
        <v>competitive</v>
      </c>
    </row>
    <row r="1602" spans="1:8" x14ac:dyDescent="0.3">
      <c r="A1602" t="s">
        <v>1888</v>
      </c>
      <c r="B1602" t="s">
        <v>1889</v>
      </c>
      <c r="C1602">
        <v>69.900000000000006</v>
      </c>
      <c r="D1602">
        <v>21.13</v>
      </c>
      <c r="E1602">
        <f t="shared" ca="1" si="96"/>
        <v>75.354653001217656</v>
      </c>
      <c r="F1602">
        <f t="shared" ca="1" si="97"/>
        <v>-5.4546530012176504</v>
      </c>
      <c r="G1602">
        <f t="shared" ca="1" si="98"/>
        <v>-7.2386412570030798E-2</v>
      </c>
      <c r="H1602" t="str">
        <f t="shared" ca="1" si="99"/>
        <v>underprived</v>
      </c>
    </row>
    <row r="1603" spans="1:8" x14ac:dyDescent="0.3">
      <c r="A1603" t="s">
        <v>1890</v>
      </c>
      <c r="B1603" t="s">
        <v>867</v>
      </c>
      <c r="C1603">
        <v>124.9</v>
      </c>
      <c r="D1603">
        <v>18.12</v>
      </c>
      <c r="E1603">
        <f t="shared" ref="E1603:E1666" ca="1" si="100">C1603*(1+RAND()*0.2-0.1)</f>
        <v>120.82295164990499</v>
      </c>
      <c r="F1603">
        <f t="shared" ref="F1603:F1666" ca="1" si="101">C1603-E1603</f>
        <v>4.0770483500950121</v>
      </c>
      <c r="G1603">
        <f t="shared" ref="G1603:G1666" ca="1" si="102">(C1603-E1603)/E1603</f>
        <v>3.3743988989017704E-2</v>
      </c>
      <c r="H1603" t="str">
        <f t="shared" ref="H1603:H1666" ca="1" si="103">IF(E1603="","competitive",IF(ABS(C1603-E1603)/E1603&lt;=0.05,"competitive",IF(C1603&gt;E1603,"overpriced","underprived")))</f>
        <v>competitive</v>
      </c>
    </row>
    <row r="1604" spans="1:8" x14ac:dyDescent="0.3">
      <c r="A1604" t="s">
        <v>463</v>
      </c>
      <c r="B1604" t="s">
        <v>464</v>
      </c>
      <c r="C1604">
        <v>59.89</v>
      </c>
      <c r="D1604">
        <v>15.3</v>
      </c>
      <c r="E1604">
        <f t="shared" ca="1" si="100"/>
        <v>60.098098088825154</v>
      </c>
      <c r="F1604">
        <f t="shared" ca="1" si="101"/>
        <v>-0.20809808882515313</v>
      </c>
      <c r="G1604">
        <f t="shared" ca="1" si="102"/>
        <v>-3.4626401740298599E-3</v>
      </c>
      <c r="H1604" t="str">
        <f t="shared" ca="1" si="103"/>
        <v>competitive</v>
      </c>
    </row>
    <row r="1605" spans="1:8" x14ac:dyDescent="0.3">
      <c r="A1605" t="s">
        <v>567</v>
      </c>
      <c r="B1605" t="s">
        <v>47</v>
      </c>
      <c r="C1605">
        <v>112.99</v>
      </c>
      <c r="D1605">
        <v>18.510000000000002</v>
      </c>
      <c r="E1605">
        <f t="shared" ca="1" si="100"/>
        <v>122.38795575579833</v>
      </c>
      <c r="F1605">
        <f t="shared" ca="1" si="101"/>
        <v>-9.3979557557983355</v>
      </c>
      <c r="G1605">
        <f t="shared" ca="1" si="102"/>
        <v>-7.6788240295067534E-2</v>
      </c>
      <c r="H1605" t="str">
        <f t="shared" ca="1" si="103"/>
        <v>underprived</v>
      </c>
    </row>
    <row r="1606" spans="1:8" x14ac:dyDescent="0.3">
      <c r="A1606" t="s">
        <v>1536</v>
      </c>
      <c r="B1606" t="s">
        <v>1066</v>
      </c>
      <c r="C1606">
        <v>125.9</v>
      </c>
      <c r="D1606">
        <v>23.46</v>
      </c>
      <c r="E1606">
        <f t="shared" ca="1" si="100"/>
        <v>126.74396293796862</v>
      </c>
      <c r="F1606">
        <f t="shared" ca="1" si="101"/>
        <v>-0.84396293796861244</v>
      </c>
      <c r="G1606">
        <f t="shared" ca="1" si="102"/>
        <v>-6.6588018743083417E-3</v>
      </c>
      <c r="H1606" t="str">
        <f t="shared" ca="1" si="103"/>
        <v>competitive</v>
      </c>
    </row>
    <row r="1607" spans="1:8" x14ac:dyDescent="0.3">
      <c r="A1607" t="s">
        <v>1891</v>
      </c>
      <c r="B1607" t="s">
        <v>1015</v>
      </c>
      <c r="C1607">
        <v>139.9</v>
      </c>
      <c r="D1607">
        <v>22.85</v>
      </c>
      <c r="E1607">
        <f t="shared" ca="1" si="100"/>
        <v>136.58699738003011</v>
      </c>
      <c r="F1607">
        <f t="shared" ca="1" si="101"/>
        <v>3.3130026199698932</v>
      </c>
      <c r="G1607">
        <f t="shared" ca="1" si="102"/>
        <v>2.4255622303139341E-2</v>
      </c>
      <c r="H1607" t="str">
        <f t="shared" ca="1" si="103"/>
        <v>competitive</v>
      </c>
    </row>
    <row r="1608" spans="1:8" x14ac:dyDescent="0.3">
      <c r="A1608" t="s">
        <v>1146</v>
      </c>
      <c r="B1608" t="s">
        <v>61</v>
      </c>
      <c r="C1608">
        <v>38.5</v>
      </c>
      <c r="D1608">
        <v>11.74</v>
      </c>
      <c r="E1608">
        <f t="shared" ca="1" si="100"/>
        <v>39.340397504806958</v>
      </c>
      <c r="F1608">
        <f t="shared" ca="1" si="101"/>
        <v>-0.8403975048069583</v>
      </c>
      <c r="G1608">
        <f t="shared" ca="1" si="102"/>
        <v>-2.1362201658086222E-2</v>
      </c>
      <c r="H1608" t="str">
        <f t="shared" ca="1" si="103"/>
        <v>competitive</v>
      </c>
    </row>
    <row r="1609" spans="1:8" x14ac:dyDescent="0.3">
      <c r="A1609" t="s">
        <v>1892</v>
      </c>
      <c r="B1609" t="s">
        <v>1893</v>
      </c>
      <c r="C1609">
        <v>1999</v>
      </c>
      <c r="D1609">
        <v>46.47</v>
      </c>
      <c r="E1609">
        <f t="shared" ca="1" si="100"/>
        <v>2061.5116512401555</v>
      </c>
      <c r="F1609">
        <f t="shared" ca="1" si="101"/>
        <v>-62.511651240155516</v>
      </c>
      <c r="G1609">
        <f t="shared" ca="1" si="102"/>
        <v>-3.0323210253286718E-2</v>
      </c>
      <c r="H1609" t="str">
        <f t="shared" ca="1" si="103"/>
        <v>competitive</v>
      </c>
    </row>
    <row r="1610" spans="1:8" x14ac:dyDescent="0.3">
      <c r="A1610" t="s">
        <v>398</v>
      </c>
      <c r="B1610" t="s">
        <v>25</v>
      </c>
      <c r="C1610">
        <v>84.99</v>
      </c>
      <c r="D1610">
        <v>27.13</v>
      </c>
      <c r="E1610">
        <f t="shared" ca="1" si="100"/>
        <v>92.180417504696649</v>
      </c>
      <c r="F1610">
        <f t="shared" ca="1" si="101"/>
        <v>-7.1904175046966543</v>
      </c>
      <c r="G1610">
        <f t="shared" ca="1" si="102"/>
        <v>-7.8003742002256585E-2</v>
      </c>
      <c r="H1610" t="str">
        <f t="shared" ca="1" si="103"/>
        <v>underprived</v>
      </c>
    </row>
    <row r="1611" spans="1:8" x14ac:dyDescent="0.3">
      <c r="A1611" t="s">
        <v>28</v>
      </c>
      <c r="B1611" t="s">
        <v>29</v>
      </c>
      <c r="C1611">
        <v>79.900000000000006</v>
      </c>
      <c r="D1611">
        <v>23.14</v>
      </c>
      <c r="E1611">
        <f t="shared" ca="1" si="100"/>
        <v>80.406952643968822</v>
      </c>
      <c r="F1611">
        <f t="shared" ca="1" si="101"/>
        <v>-0.50695264396881612</v>
      </c>
      <c r="G1611">
        <f t="shared" ca="1" si="102"/>
        <v>-6.3048359289716435E-3</v>
      </c>
      <c r="H1611" t="str">
        <f t="shared" ca="1" si="103"/>
        <v>competitive</v>
      </c>
    </row>
    <row r="1612" spans="1:8" x14ac:dyDescent="0.3">
      <c r="A1612" t="s">
        <v>1894</v>
      </c>
      <c r="B1612" t="s">
        <v>654</v>
      </c>
      <c r="C1612">
        <v>18</v>
      </c>
      <c r="D1612">
        <v>17.059999999999999</v>
      </c>
      <c r="E1612">
        <f t="shared" ca="1" si="100"/>
        <v>18.599109824925989</v>
      </c>
      <c r="F1612">
        <f t="shared" ca="1" si="101"/>
        <v>-0.59910982492598919</v>
      </c>
      <c r="G1612">
        <f t="shared" ca="1" si="102"/>
        <v>-3.2211747259166111E-2</v>
      </c>
      <c r="H1612" t="str">
        <f t="shared" ca="1" si="103"/>
        <v>competitive</v>
      </c>
    </row>
    <row r="1613" spans="1:8" x14ac:dyDescent="0.3">
      <c r="A1613" t="s">
        <v>1894</v>
      </c>
      <c r="B1613" t="s">
        <v>654</v>
      </c>
      <c r="C1613">
        <v>18</v>
      </c>
      <c r="D1613">
        <v>17.059999999999999</v>
      </c>
      <c r="E1613">
        <f t="shared" ca="1" si="100"/>
        <v>18.739826709157704</v>
      </c>
      <c r="F1613">
        <f t="shared" ca="1" si="101"/>
        <v>-0.73982670915770399</v>
      </c>
      <c r="G1613">
        <f t="shared" ca="1" si="102"/>
        <v>-3.9478844742794152E-2</v>
      </c>
      <c r="H1613" t="str">
        <f t="shared" ca="1" si="103"/>
        <v>competitive</v>
      </c>
    </row>
    <row r="1614" spans="1:8" x14ac:dyDescent="0.3">
      <c r="A1614" t="s">
        <v>1895</v>
      </c>
      <c r="B1614" t="s">
        <v>1896</v>
      </c>
      <c r="C1614">
        <v>101</v>
      </c>
      <c r="D1614">
        <v>42.86</v>
      </c>
      <c r="E1614">
        <f t="shared" ca="1" si="100"/>
        <v>98.139485948232718</v>
      </c>
      <c r="F1614">
        <f t="shared" ca="1" si="101"/>
        <v>2.8605140517672822</v>
      </c>
      <c r="G1614">
        <f t="shared" ca="1" si="102"/>
        <v>2.9147432596866928E-2</v>
      </c>
      <c r="H1614" t="str">
        <f t="shared" ca="1" si="103"/>
        <v>competitive</v>
      </c>
    </row>
    <row r="1615" spans="1:8" x14ac:dyDescent="0.3">
      <c r="A1615" t="s">
        <v>1897</v>
      </c>
      <c r="B1615" t="s">
        <v>1893</v>
      </c>
      <c r="C1615">
        <v>858.9</v>
      </c>
      <c r="D1615">
        <v>17.920000000000002</v>
      </c>
      <c r="E1615">
        <f t="shared" ca="1" si="100"/>
        <v>867.99948902832182</v>
      </c>
      <c r="F1615">
        <f t="shared" ca="1" si="101"/>
        <v>-9.099489028321841</v>
      </c>
      <c r="G1615">
        <f t="shared" ca="1" si="102"/>
        <v>-1.0483288461964677E-2</v>
      </c>
      <c r="H1615" t="str">
        <f t="shared" ca="1" si="103"/>
        <v>competitive</v>
      </c>
    </row>
    <row r="1616" spans="1:8" x14ac:dyDescent="0.3">
      <c r="A1616" t="s">
        <v>1898</v>
      </c>
      <c r="B1616" t="s">
        <v>1872</v>
      </c>
      <c r="C1616">
        <v>36.49</v>
      </c>
      <c r="D1616">
        <v>9.27</v>
      </c>
      <c r="E1616">
        <f t="shared" ca="1" si="100"/>
        <v>40.103197181914545</v>
      </c>
      <c r="F1616">
        <f t="shared" ca="1" si="101"/>
        <v>-3.6131971819145434</v>
      </c>
      <c r="G1616">
        <f t="shared" ca="1" si="102"/>
        <v>-9.0097484385708707E-2</v>
      </c>
      <c r="H1616" t="str">
        <f t="shared" ca="1" si="103"/>
        <v>underprived</v>
      </c>
    </row>
    <row r="1617" spans="1:8" x14ac:dyDescent="0.3">
      <c r="A1617" t="s">
        <v>1899</v>
      </c>
      <c r="B1617" t="s">
        <v>935</v>
      </c>
      <c r="C1617">
        <v>28.9</v>
      </c>
      <c r="D1617">
        <v>18.3</v>
      </c>
      <c r="E1617">
        <f t="shared" ca="1" si="100"/>
        <v>31.210667056969946</v>
      </c>
      <c r="F1617">
        <f t="shared" ca="1" si="101"/>
        <v>-2.3106670569699475</v>
      </c>
      <c r="G1617">
        <f t="shared" ca="1" si="102"/>
        <v>-7.4034529693075904E-2</v>
      </c>
      <c r="H1617" t="str">
        <f t="shared" ca="1" si="103"/>
        <v>underprived</v>
      </c>
    </row>
    <row r="1618" spans="1:8" x14ac:dyDescent="0.3">
      <c r="A1618" t="s">
        <v>1900</v>
      </c>
      <c r="B1618" t="s">
        <v>1901</v>
      </c>
      <c r="C1618">
        <v>270</v>
      </c>
      <c r="D1618">
        <v>16.64</v>
      </c>
      <c r="E1618">
        <f t="shared" ca="1" si="100"/>
        <v>281.62933337133404</v>
      </c>
      <c r="F1618">
        <f t="shared" ca="1" si="101"/>
        <v>-11.629333371334042</v>
      </c>
      <c r="G1618">
        <f t="shared" ca="1" si="102"/>
        <v>-4.1293047255132789E-2</v>
      </c>
      <c r="H1618" t="str">
        <f t="shared" ca="1" si="103"/>
        <v>competitive</v>
      </c>
    </row>
    <row r="1619" spans="1:8" x14ac:dyDescent="0.3">
      <c r="A1619" t="s">
        <v>1902</v>
      </c>
      <c r="B1619" t="s">
        <v>1903</v>
      </c>
      <c r="C1619">
        <v>10.99</v>
      </c>
      <c r="D1619">
        <v>15.1</v>
      </c>
      <c r="E1619">
        <f t="shared" ca="1" si="100"/>
        <v>10.130676864304727</v>
      </c>
      <c r="F1619">
        <f t="shared" ca="1" si="101"/>
        <v>0.85932313569527352</v>
      </c>
      <c r="G1619">
        <f t="shared" ca="1" si="102"/>
        <v>8.4823861939875358E-2</v>
      </c>
      <c r="H1619" t="str">
        <f t="shared" ca="1" si="103"/>
        <v>overpriced</v>
      </c>
    </row>
    <row r="1620" spans="1:8" x14ac:dyDescent="0.3">
      <c r="A1620" t="s">
        <v>1904</v>
      </c>
      <c r="B1620" t="s">
        <v>1905</v>
      </c>
      <c r="C1620">
        <v>34.9</v>
      </c>
      <c r="D1620">
        <v>16.600000000000001</v>
      </c>
      <c r="E1620">
        <f t="shared" ca="1" si="100"/>
        <v>34.046216107817663</v>
      </c>
      <c r="F1620">
        <f t="shared" ca="1" si="101"/>
        <v>0.85378389218233508</v>
      </c>
      <c r="G1620">
        <f t="shared" ca="1" si="102"/>
        <v>2.5077203571714682E-2</v>
      </c>
      <c r="H1620" t="str">
        <f t="shared" ca="1" si="103"/>
        <v>competitive</v>
      </c>
    </row>
    <row r="1621" spans="1:8" x14ac:dyDescent="0.3">
      <c r="A1621" t="s">
        <v>48</v>
      </c>
      <c r="B1621" t="s">
        <v>49</v>
      </c>
      <c r="C1621">
        <v>69</v>
      </c>
      <c r="D1621">
        <v>24.97</v>
      </c>
      <c r="E1621">
        <f t="shared" ca="1" si="100"/>
        <v>62.372076462360127</v>
      </c>
      <c r="F1621">
        <f t="shared" ca="1" si="101"/>
        <v>6.6279235376398731</v>
      </c>
      <c r="G1621">
        <f t="shared" ca="1" si="102"/>
        <v>0.10626427583567219</v>
      </c>
      <c r="H1621" t="str">
        <f t="shared" ca="1" si="103"/>
        <v>overpriced</v>
      </c>
    </row>
    <row r="1622" spans="1:8" x14ac:dyDescent="0.3">
      <c r="A1622" t="s">
        <v>1906</v>
      </c>
      <c r="B1622" t="s">
        <v>674</v>
      </c>
      <c r="C1622">
        <v>44.5</v>
      </c>
      <c r="D1622">
        <v>19.5</v>
      </c>
      <c r="E1622">
        <f t="shared" ca="1" si="100"/>
        <v>46.347045831929478</v>
      </c>
      <c r="F1622">
        <f t="shared" ca="1" si="101"/>
        <v>-1.8470458319294778</v>
      </c>
      <c r="G1622">
        <f t="shared" ca="1" si="102"/>
        <v>-3.9852504054465714E-2</v>
      </c>
      <c r="H1622" t="str">
        <f t="shared" ca="1" si="103"/>
        <v>competitive</v>
      </c>
    </row>
    <row r="1623" spans="1:8" x14ac:dyDescent="0.3">
      <c r="A1623" t="s">
        <v>1681</v>
      </c>
      <c r="B1623" t="s">
        <v>290</v>
      </c>
      <c r="C1623">
        <v>49.9</v>
      </c>
      <c r="D1623">
        <v>14.1</v>
      </c>
      <c r="E1623">
        <f t="shared" ca="1" si="100"/>
        <v>52.697946809782415</v>
      </c>
      <c r="F1623">
        <f t="shared" ca="1" si="101"/>
        <v>-2.7979468097824167</v>
      </c>
      <c r="G1623">
        <f t="shared" ca="1" si="102"/>
        <v>-5.3094038367032331E-2</v>
      </c>
      <c r="H1623" t="str">
        <f t="shared" ca="1" si="103"/>
        <v>underprived</v>
      </c>
    </row>
    <row r="1624" spans="1:8" x14ac:dyDescent="0.3">
      <c r="A1624" t="s">
        <v>389</v>
      </c>
      <c r="B1624" t="s">
        <v>390</v>
      </c>
      <c r="C1624">
        <v>39.99</v>
      </c>
      <c r="D1624">
        <v>12.76</v>
      </c>
      <c r="E1624">
        <f t="shared" ca="1" si="100"/>
        <v>41.822809213097017</v>
      </c>
      <c r="F1624">
        <f t="shared" ca="1" si="101"/>
        <v>-1.8328092130970148</v>
      </c>
      <c r="G1624">
        <f t="shared" ca="1" si="102"/>
        <v>-4.3823197140068285E-2</v>
      </c>
      <c r="H1624" t="str">
        <f t="shared" ca="1" si="103"/>
        <v>competitive</v>
      </c>
    </row>
    <row r="1625" spans="1:8" x14ac:dyDescent="0.3">
      <c r="A1625" t="s">
        <v>1907</v>
      </c>
      <c r="B1625" t="s">
        <v>1908</v>
      </c>
      <c r="C1625">
        <v>69.900000000000006</v>
      </c>
      <c r="D1625">
        <v>34.29</v>
      </c>
      <c r="E1625">
        <f t="shared" ca="1" si="100"/>
        <v>76.375537683663453</v>
      </c>
      <c r="F1625">
        <f t="shared" ca="1" si="101"/>
        <v>-6.4755376836634468</v>
      </c>
      <c r="G1625">
        <f t="shared" ca="1" si="102"/>
        <v>-8.4785493890520244E-2</v>
      </c>
      <c r="H1625" t="str">
        <f t="shared" ca="1" si="103"/>
        <v>underprived</v>
      </c>
    </row>
    <row r="1626" spans="1:8" x14ac:dyDescent="0.3">
      <c r="A1626" t="s">
        <v>1907</v>
      </c>
      <c r="B1626" t="s">
        <v>1908</v>
      </c>
      <c r="C1626">
        <v>69.900000000000006</v>
      </c>
      <c r="D1626">
        <v>34.29</v>
      </c>
      <c r="E1626">
        <f t="shared" ca="1" si="100"/>
        <v>71.636849317730253</v>
      </c>
      <c r="F1626">
        <f t="shared" ca="1" si="101"/>
        <v>-1.7368493177302469</v>
      </c>
      <c r="G1626">
        <f t="shared" ca="1" si="102"/>
        <v>-2.4245194118278642E-2</v>
      </c>
      <c r="H1626" t="str">
        <f t="shared" ca="1" si="103"/>
        <v>competitive</v>
      </c>
    </row>
    <row r="1627" spans="1:8" x14ac:dyDescent="0.3">
      <c r="A1627" t="s">
        <v>1909</v>
      </c>
      <c r="B1627" t="s">
        <v>61</v>
      </c>
      <c r="C1627">
        <v>39.99</v>
      </c>
      <c r="D1627">
        <v>19.59</v>
      </c>
      <c r="E1627">
        <f t="shared" ca="1" si="100"/>
        <v>38.352849171222374</v>
      </c>
      <c r="F1627">
        <f t="shared" ca="1" si="101"/>
        <v>1.637150828777628</v>
      </c>
      <c r="G1627">
        <f t="shared" ca="1" si="102"/>
        <v>4.2686550390786754E-2</v>
      </c>
      <c r="H1627" t="str">
        <f t="shared" ca="1" si="103"/>
        <v>competitive</v>
      </c>
    </row>
    <row r="1628" spans="1:8" x14ac:dyDescent="0.3">
      <c r="A1628" t="s">
        <v>1909</v>
      </c>
      <c r="B1628" t="s">
        <v>61</v>
      </c>
      <c r="C1628">
        <v>39.99</v>
      </c>
      <c r="D1628">
        <v>19.59</v>
      </c>
      <c r="E1628">
        <f t="shared" ca="1" si="100"/>
        <v>43.903064512839272</v>
      </c>
      <c r="F1628">
        <f t="shared" ca="1" si="101"/>
        <v>-3.91306451283927</v>
      </c>
      <c r="G1628">
        <f t="shared" ca="1" si="102"/>
        <v>-8.9129644052408016E-2</v>
      </c>
      <c r="H1628" t="str">
        <f t="shared" ca="1" si="103"/>
        <v>underprived</v>
      </c>
    </row>
    <row r="1629" spans="1:8" x14ac:dyDescent="0.3">
      <c r="A1629" t="s">
        <v>1910</v>
      </c>
      <c r="B1629" t="s">
        <v>233</v>
      </c>
      <c r="C1629">
        <v>49.77</v>
      </c>
      <c r="D1629">
        <v>7.78</v>
      </c>
      <c r="E1629">
        <f t="shared" ca="1" si="100"/>
        <v>54.213101408422112</v>
      </c>
      <c r="F1629">
        <f t="shared" ca="1" si="101"/>
        <v>-4.443101408422109</v>
      </c>
      <c r="G1629">
        <f t="shared" ca="1" si="102"/>
        <v>-8.1956230007012007E-2</v>
      </c>
      <c r="H1629" t="str">
        <f t="shared" ca="1" si="103"/>
        <v>underprived</v>
      </c>
    </row>
    <row r="1630" spans="1:8" x14ac:dyDescent="0.3">
      <c r="A1630" t="s">
        <v>1911</v>
      </c>
      <c r="B1630" t="s">
        <v>1912</v>
      </c>
      <c r="C1630">
        <v>379.9</v>
      </c>
      <c r="D1630">
        <v>69.010000000000005</v>
      </c>
      <c r="E1630">
        <f t="shared" ca="1" si="100"/>
        <v>355.20551080739955</v>
      </c>
      <c r="F1630">
        <f t="shared" ca="1" si="101"/>
        <v>24.694489192600429</v>
      </c>
      <c r="G1630">
        <f t="shared" ca="1" si="102"/>
        <v>6.9521695022322832E-2</v>
      </c>
      <c r="H1630" t="str">
        <f t="shared" ca="1" si="103"/>
        <v>overpriced</v>
      </c>
    </row>
    <row r="1631" spans="1:8" x14ac:dyDescent="0.3">
      <c r="A1631" t="s">
        <v>1913</v>
      </c>
      <c r="B1631" t="s">
        <v>1216</v>
      </c>
      <c r="C1631">
        <v>48.9</v>
      </c>
      <c r="D1631">
        <v>9.09</v>
      </c>
      <c r="E1631">
        <f t="shared" ca="1" si="100"/>
        <v>47.554692863631075</v>
      </c>
      <c r="F1631">
        <f t="shared" ca="1" si="101"/>
        <v>1.3453071363689233</v>
      </c>
      <c r="G1631">
        <f t="shared" ca="1" si="102"/>
        <v>2.8289681950564936E-2</v>
      </c>
      <c r="H1631" t="str">
        <f t="shared" ca="1" si="103"/>
        <v>competitive</v>
      </c>
    </row>
    <row r="1632" spans="1:8" x14ac:dyDescent="0.3">
      <c r="A1632" t="s">
        <v>441</v>
      </c>
      <c r="B1632" t="s">
        <v>200</v>
      </c>
      <c r="C1632">
        <v>144</v>
      </c>
      <c r="D1632">
        <v>14.37</v>
      </c>
      <c r="E1632">
        <f t="shared" ca="1" si="100"/>
        <v>143.26573827530183</v>
      </c>
      <c r="F1632">
        <f t="shared" ca="1" si="101"/>
        <v>0.73426172469817175</v>
      </c>
      <c r="G1632">
        <f t="shared" ca="1" si="102"/>
        <v>5.1251732168315235E-3</v>
      </c>
      <c r="H1632" t="str">
        <f t="shared" ca="1" si="103"/>
        <v>competitive</v>
      </c>
    </row>
    <row r="1633" spans="1:8" x14ac:dyDescent="0.3">
      <c r="A1633" t="s">
        <v>1914</v>
      </c>
      <c r="B1633" t="s">
        <v>200</v>
      </c>
      <c r="C1633">
        <v>467</v>
      </c>
      <c r="D1633">
        <v>21.15</v>
      </c>
      <c r="E1633">
        <f t="shared" ca="1" si="100"/>
        <v>461.73002133109816</v>
      </c>
      <c r="F1633">
        <f t="shared" ca="1" si="101"/>
        <v>5.2699786689018424</v>
      </c>
      <c r="G1633">
        <f t="shared" ca="1" si="102"/>
        <v>1.141354996521406E-2</v>
      </c>
      <c r="H1633" t="str">
        <f t="shared" ca="1" si="103"/>
        <v>competitive</v>
      </c>
    </row>
    <row r="1634" spans="1:8" x14ac:dyDescent="0.3">
      <c r="A1634" t="s">
        <v>1915</v>
      </c>
      <c r="B1634" t="s">
        <v>47</v>
      </c>
      <c r="C1634">
        <v>156.99</v>
      </c>
      <c r="D1634">
        <v>23.68</v>
      </c>
      <c r="E1634">
        <f t="shared" ca="1" si="100"/>
        <v>149.31461802732542</v>
      </c>
      <c r="F1634">
        <f t="shared" ca="1" si="101"/>
        <v>7.675381972674586</v>
      </c>
      <c r="G1634">
        <f t="shared" ca="1" si="102"/>
        <v>5.1404089392439442E-2</v>
      </c>
      <c r="H1634" t="str">
        <f t="shared" ca="1" si="103"/>
        <v>overpriced</v>
      </c>
    </row>
    <row r="1635" spans="1:8" x14ac:dyDescent="0.3">
      <c r="A1635" t="s">
        <v>1916</v>
      </c>
      <c r="B1635" t="s">
        <v>1917</v>
      </c>
      <c r="C1635">
        <v>63.99</v>
      </c>
      <c r="D1635">
        <v>11.15</v>
      </c>
      <c r="E1635">
        <f t="shared" ca="1" si="100"/>
        <v>62.449283404865412</v>
      </c>
      <c r="F1635">
        <f t="shared" ca="1" si="101"/>
        <v>1.5407165951345902</v>
      </c>
      <c r="G1635">
        <f t="shared" ca="1" si="102"/>
        <v>2.467148558208361E-2</v>
      </c>
      <c r="H1635" t="str">
        <f t="shared" ca="1" si="103"/>
        <v>competitive</v>
      </c>
    </row>
    <row r="1636" spans="1:8" x14ac:dyDescent="0.3">
      <c r="A1636" t="s">
        <v>1916</v>
      </c>
      <c r="B1636" t="s">
        <v>1917</v>
      </c>
      <c r="C1636">
        <v>63.99</v>
      </c>
      <c r="D1636">
        <v>11.15</v>
      </c>
      <c r="E1636">
        <f t="shared" ca="1" si="100"/>
        <v>61.511994489388591</v>
      </c>
      <c r="F1636">
        <f t="shared" ca="1" si="101"/>
        <v>2.4780055106114105</v>
      </c>
      <c r="G1636">
        <f t="shared" ca="1" si="102"/>
        <v>4.0284915668583797E-2</v>
      </c>
      <c r="H1636" t="str">
        <f t="shared" ca="1" si="103"/>
        <v>competitive</v>
      </c>
    </row>
    <row r="1637" spans="1:8" x14ac:dyDescent="0.3">
      <c r="A1637" t="s">
        <v>1918</v>
      </c>
      <c r="B1637" t="s">
        <v>473</v>
      </c>
      <c r="C1637">
        <v>99.9</v>
      </c>
      <c r="D1637">
        <v>17.14</v>
      </c>
      <c r="E1637">
        <f t="shared" ca="1" si="100"/>
        <v>104.5662815337782</v>
      </c>
      <c r="F1637">
        <f t="shared" ca="1" si="101"/>
        <v>-4.6662815337781893</v>
      </c>
      <c r="G1637">
        <f t="shared" ca="1" si="102"/>
        <v>-4.4625107303551133E-2</v>
      </c>
      <c r="H1637" t="str">
        <f t="shared" ca="1" si="103"/>
        <v>competitive</v>
      </c>
    </row>
    <row r="1638" spans="1:8" x14ac:dyDescent="0.3">
      <c r="A1638" t="s">
        <v>1919</v>
      </c>
      <c r="B1638" t="s">
        <v>1920</v>
      </c>
      <c r="C1638">
        <v>65.5</v>
      </c>
      <c r="D1638">
        <v>12.8</v>
      </c>
      <c r="E1638">
        <f t="shared" ca="1" si="100"/>
        <v>64.065457404924885</v>
      </c>
      <c r="F1638">
        <f t="shared" ca="1" si="101"/>
        <v>1.4345425950751149</v>
      </c>
      <c r="G1638">
        <f t="shared" ca="1" si="102"/>
        <v>2.2391826316139559E-2</v>
      </c>
      <c r="H1638" t="str">
        <f t="shared" ca="1" si="103"/>
        <v>competitive</v>
      </c>
    </row>
    <row r="1639" spans="1:8" x14ac:dyDescent="0.3">
      <c r="A1639" t="s">
        <v>1921</v>
      </c>
      <c r="B1639" t="s">
        <v>1922</v>
      </c>
      <c r="C1639">
        <v>65</v>
      </c>
      <c r="D1639">
        <v>16.21</v>
      </c>
      <c r="E1639">
        <f t="shared" ca="1" si="100"/>
        <v>62.17972263711107</v>
      </c>
      <c r="F1639">
        <f t="shared" ca="1" si="101"/>
        <v>2.8202773628889304</v>
      </c>
      <c r="G1639">
        <f t="shared" ca="1" si="102"/>
        <v>4.535686624638767E-2</v>
      </c>
      <c r="H1639" t="str">
        <f t="shared" ca="1" si="103"/>
        <v>competitive</v>
      </c>
    </row>
    <row r="1640" spans="1:8" x14ac:dyDescent="0.3">
      <c r="A1640" t="s">
        <v>1578</v>
      </c>
      <c r="B1640" t="s">
        <v>1360</v>
      </c>
      <c r="C1640">
        <v>79.900000000000006</v>
      </c>
      <c r="D1640">
        <v>18.440000000000001</v>
      </c>
      <c r="E1640">
        <f t="shared" ca="1" si="100"/>
        <v>81.314677484518626</v>
      </c>
      <c r="F1640">
        <f t="shared" ca="1" si="101"/>
        <v>-1.4146774845186201</v>
      </c>
      <c r="G1640">
        <f t="shared" ca="1" si="102"/>
        <v>-1.7397566199385817E-2</v>
      </c>
      <c r="H1640" t="str">
        <f t="shared" ca="1" si="103"/>
        <v>competitive</v>
      </c>
    </row>
    <row r="1641" spans="1:8" x14ac:dyDescent="0.3">
      <c r="A1641" t="s">
        <v>1923</v>
      </c>
      <c r="B1641" t="s">
        <v>295</v>
      </c>
      <c r="C1641">
        <v>112</v>
      </c>
      <c r="D1641">
        <v>14.95</v>
      </c>
      <c r="E1641">
        <f t="shared" ca="1" si="100"/>
        <v>101.36304908679477</v>
      </c>
      <c r="F1641">
        <f t="shared" ca="1" si="101"/>
        <v>10.636950913205226</v>
      </c>
      <c r="G1641">
        <f t="shared" ca="1" si="102"/>
        <v>0.10493913718101611</v>
      </c>
      <c r="H1641" t="str">
        <f t="shared" ca="1" si="103"/>
        <v>overpriced</v>
      </c>
    </row>
    <row r="1642" spans="1:8" x14ac:dyDescent="0.3">
      <c r="A1642" t="s">
        <v>1924</v>
      </c>
      <c r="B1642" t="s">
        <v>1204</v>
      </c>
      <c r="C1642">
        <v>179.49</v>
      </c>
      <c r="D1642">
        <v>16.14</v>
      </c>
      <c r="E1642">
        <f t="shared" ca="1" si="100"/>
        <v>169.74483347217489</v>
      </c>
      <c r="F1642">
        <f t="shared" ca="1" si="101"/>
        <v>9.7451665278251198</v>
      </c>
      <c r="G1642">
        <f t="shared" ca="1" si="102"/>
        <v>5.7410681247170789E-2</v>
      </c>
      <c r="H1642" t="str">
        <f t="shared" ca="1" si="103"/>
        <v>overpriced</v>
      </c>
    </row>
    <row r="1643" spans="1:8" x14ac:dyDescent="0.3">
      <c r="A1643" t="s">
        <v>1925</v>
      </c>
      <c r="B1643" t="s">
        <v>322</v>
      </c>
      <c r="C1643">
        <v>349.9</v>
      </c>
      <c r="D1643">
        <v>16.95</v>
      </c>
      <c r="E1643">
        <f t="shared" ca="1" si="100"/>
        <v>360.24495832753973</v>
      </c>
      <c r="F1643">
        <f t="shared" ca="1" si="101"/>
        <v>-10.344958327539757</v>
      </c>
      <c r="G1643">
        <f t="shared" ca="1" si="102"/>
        <v>-2.8716455535052837E-2</v>
      </c>
      <c r="H1643" t="str">
        <f t="shared" ca="1" si="103"/>
        <v>competitive</v>
      </c>
    </row>
    <row r="1644" spans="1:8" x14ac:dyDescent="0.3">
      <c r="A1644" t="s">
        <v>1926</v>
      </c>
      <c r="B1644" t="s">
        <v>41</v>
      </c>
      <c r="C1644">
        <v>47.5</v>
      </c>
      <c r="D1644">
        <v>20.84</v>
      </c>
      <c r="E1644">
        <f t="shared" ca="1" si="100"/>
        <v>45.530219848290265</v>
      </c>
      <c r="F1644">
        <f t="shared" ca="1" si="101"/>
        <v>1.9697801517097346</v>
      </c>
      <c r="G1644">
        <f t="shared" ca="1" si="102"/>
        <v>4.3263137280539689E-2</v>
      </c>
      <c r="H1644" t="str">
        <f t="shared" ca="1" si="103"/>
        <v>competitive</v>
      </c>
    </row>
    <row r="1645" spans="1:8" x14ac:dyDescent="0.3">
      <c r="A1645" t="s">
        <v>1927</v>
      </c>
      <c r="B1645" t="s">
        <v>461</v>
      </c>
      <c r="C1645">
        <v>599</v>
      </c>
      <c r="D1645">
        <v>73.41</v>
      </c>
      <c r="E1645">
        <f t="shared" ca="1" si="100"/>
        <v>551.94882672349252</v>
      </c>
      <c r="F1645">
        <f t="shared" ca="1" si="101"/>
        <v>47.051173276507484</v>
      </c>
      <c r="G1645">
        <f t="shared" ca="1" si="102"/>
        <v>8.5245535452652593E-2</v>
      </c>
      <c r="H1645" t="str">
        <f t="shared" ca="1" si="103"/>
        <v>overpriced</v>
      </c>
    </row>
    <row r="1646" spans="1:8" x14ac:dyDescent="0.3">
      <c r="A1646" t="s">
        <v>1928</v>
      </c>
      <c r="B1646" t="s">
        <v>563</v>
      </c>
      <c r="C1646">
        <v>24.53</v>
      </c>
      <c r="D1646">
        <v>15.27</v>
      </c>
      <c r="E1646">
        <f t="shared" ca="1" si="100"/>
        <v>26.357272784675139</v>
      </c>
      <c r="F1646">
        <f t="shared" ca="1" si="101"/>
        <v>-1.827272784675138</v>
      </c>
      <c r="G1646">
        <f t="shared" ca="1" si="102"/>
        <v>-6.9327080976965341E-2</v>
      </c>
      <c r="H1646" t="str">
        <f t="shared" ca="1" si="103"/>
        <v>underprived</v>
      </c>
    </row>
    <row r="1647" spans="1:8" x14ac:dyDescent="0.3">
      <c r="A1647" t="s">
        <v>1929</v>
      </c>
      <c r="B1647" t="s">
        <v>267</v>
      </c>
      <c r="C1647">
        <v>26</v>
      </c>
      <c r="D1647">
        <v>16.11</v>
      </c>
      <c r="E1647">
        <f t="shared" ca="1" si="100"/>
        <v>28.471541071431098</v>
      </c>
      <c r="F1647">
        <f t="shared" ca="1" si="101"/>
        <v>-2.4715410714310977</v>
      </c>
      <c r="G1647">
        <f t="shared" ca="1" si="102"/>
        <v>-8.6807421671708893E-2</v>
      </c>
      <c r="H1647" t="str">
        <f t="shared" ca="1" si="103"/>
        <v>underprived</v>
      </c>
    </row>
    <row r="1648" spans="1:8" x14ac:dyDescent="0.3">
      <c r="A1648" t="s">
        <v>1930</v>
      </c>
      <c r="B1648" t="s">
        <v>1620</v>
      </c>
      <c r="C1648">
        <v>129.99</v>
      </c>
      <c r="D1648">
        <v>31.66</v>
      </c>
      <c r="E1648">
        <f t="shared" ca="1" si="100"/>
        <v>121.32408289628917</v>
      </c>
      <c r="F1648">
        <f t="shared" ca="1" si="101"/>
        <v>8.6659171037108393</v>
      </c>
      <c r="G1648">
        <f t="shared" ca="1" si="102"/>
        <v>7.1427839360786102E-2</v>
      </c>
      <c r="H1648" t="str">
        <f t="shared" ca="1" si="103"/>
        <v>overpriced</v>
      </c>
    </row>
    <row r="1649" spans="1:8" x14ac:dyDescent="0.3">
      <c r="A1649" t="s">
        <v>1931</v>
      </c>
      <c r="B1649" t="s">
        <v>1932</v>
      </c>
      <c r="C1649">
        <v>1680</v>
      </c>
      <c r="D1649">
        <v>28.01</v>
      </c>
      <c r="E1649">
        <f t="shared" ca="1" si="100"/>
        <v>1592.723075903288</v>
      </c>
      <c r="F1649">
        <f t="shared" ca="1" si="101"/>
        <v>87.276924096712037</v>
      </c>
      <c r="G1649">
        <f t="shared" ca="1" si="102"/>
        <v>5.4797299930632509E-2</v>
      </c>
      <c r="H1649" t="str">
        <f t="shared" ca="1" si="103"/>
        <v>overpriced</v>
      </c>
    </row>
    <row r="1650" spans="1:8" x14ac:dyDescent="0.3">
      <c r="A1650" t="s">
        <v>1931</v>
      </c>
      <c r="B1650" t="s">
        <v>1932</v>
      </c>
      <c r="C1650">
        <v>1680</v>
      </c>
      <c r="D1650">
        <v>28.01</v>
      </c>
      <c r="E1650">
        <f t="shared" ca="1" si="100"/>
        <v>1607.1841484300257</v>
      </c>
      <c r="F1650">
        <f t="shared" ca="1" si="101"/>
        <v>72.815851569974257</v>
      </c>
      <c r="G1650">
        <f t="shared" ca="1" si="102"/>
        <v>4.5306476946717189E-2</v>
      </c>
      <c r="H1650" t="str">
        <f t="shared" ca="1" si="103"/>
        <v>competitive</v>
      </c>
    </row>
    <row r="1651" spans="1:8" x14ac:dyDescent="0.3">
      <c r="A1651" t="s">
        <v>1931</v>
      </c>
      <c r="B1651" t="s">
        <v>1932</v>
      </c>
      <c r="C1651">
        <v>1680</v>
      </c>
      <c r="D1651">
        <v>28.01</v>
      </c>
      <c r="E1651">
        <f t="shared" ca="1" si="100"/>
        <v>1721.5092543631758</v>
      </c>
      <c r="F1651">
        <f t="shared" ca="1" si="101"/>
        <v>-41.509254363175842</v>
      </c>
      <c r="G1651">
        <f t="shared" ca="1" si="102"/>
        <v>-2.4112129666436808E-2</v>
      </c>
      <c r="H1651" t="str">
        <f t="shared" ca="1" si="103"/>
        <v>competitive</v>
      </c>
    </row>
    <row r="1652" spans="1:8" x14ac:dyDescent="0.3">
      <c r="A1652" t="s">
        <v>1931</v>
      </c>
      <c r="B1652" t="s">
        <v>1932</v>
      </c>
      <c r="C1652">
        <v>1680</v>
      </c>
      <c r="D1652">
        <v>28.01</v>
      </c>
      <c r="E1652">
        <f t="shared" ca="1" si="100"/>
        <v>1778.5985078537069</v>
      </c>
      <c r="F1652">
        <f t="shared" ca="1" si="101"/>
        <v>-98.598507853706906</v>
      </c>
      <c r="G1652">
        <f t="shared" ca="1" si="102"/>
        <v>-5.5436068015534856E-2</v>
      </c>
      <c r="H1652" t="str">
        <f t="shared" ca="1" si="103"/>
        <v>underprived</v>
      </c>
    </row>
    <row r="1653" spans="1:8" x14ac:dyDescent="0.3">
      <c r="A1653" t="s">
        <v>1931</v>
      </c>
      <c r="B1653" t="s">
        <v>1932</v>
      </c>
      <c r="C1653">
        <v>1680</v>
      </c>
      <c r="D1653">
        <v>28.01</v>
      </c>
      <c r="E1653">
        <f t="shared" ca="1" si="100"/>
        <v>1547.9474034775239</v>
      </c>
      <c r="F1653">
        <f t="shared" ca="1" si="101"/>
        <v>132.05259652247605</v>
      </c>
      <c r="G1653">
        <f t="shared" ca="1" si="102"/>
        <v>8.5308193434618498E-2</v>
      </c>
      <c r="H1653" t="str">
        <f t="shared" ca="1" si="103"/>
        <v>overpriced</v>
      </c>
    </row>
    <row r="1654" spans="1:8" x14ac:dyDescent="0.3">
      <c r="A1654" t="s">
        <v>1931</v>
      </c>
      <c r="B1654" t="s">
        <v>1932</v>
      </c>
      <c r="C1654">
        <v>1680</v>
      </c>
      <c r="D1654">
        <v>28.01</v>
      </c>
      <c r="E1654">
        <f t="shared" ca="1" si="100"/>
        <v>1771.361116671095</v>
      </c>
      <c r="F1654">
        <f t="shared" ca="1" si="101"/>
        <v>-91.361116671095033</v>
      </c>
      <c r="G1654">
        <f t="shared" ca="1" si="102"/>
        <v>-5.157678793513841E-2</v>
      </c>
      <c r="H1654" t="str">
        <f t="shared" ca="1" si="103"/>
        <v>underprived</v>
      </c>
    </row>
    <row r="1655" spans="1:8" x14ac:dyDescent="0.3">
      <c r="A1655" t="s">
        <v>1931</v>
      </c>
      <c r="B1655" t="s">
        <v>1932</v>
      </c>
      <c r="C1655">
        <v>1680</v>
      </c>
      <c r="D1655">
        <v>28.01</v>
      </c>
      <c r="E1655">
        <f t="shared" ca="1" si="100"/>
        <v>1834.5612416296624</v>
      </c>
      <c r="F1655">
        <f t="shared" ca="1" si="101"/>
        <v>-154.56124162966239</v>
      </c>
      <c r="G1655">
        <f t="shared" ca="1" si="102"/>
        <v>-8.4249704028612218E-2</v>
      </c>
      <c r="H1655" t="str">
        <f t="shared" ca="1" si="103"/>
        <v>underprived</v>
      </c>
    </row>
    <row r="1656" spans="1:8" x14ac:dyDescent="0.3">
      <c r="A1656" t="s">
        <v>1931</v>
      </c>
      <c r="B1656" t="s">
        <v>1932</v>
      </c>
      <c r="C1656">
        <v>1680</v>
      </c>
      <c r="D1656">
        <v>28.01</v>
      </c>
      <c r="E1656">
        <f t="shared" ca="1" si="100"/>
        <v>1557.6138896814768</v>
      </c>
      <c r="F1656">
        <f t="shared" ca="1" si="101"/>
        <v>122.38611031852315</v>
      </c>
      <c r="G1656">
        <f t="shared" ca="1" si="102"/>
        <v>7.8572816491480069E-2</v>
      </c>
      <c r="H1656" t="str">
        <f t="shared" ca="1" si="103"/>
        <v>overpriced</v>
      </c>
    </row>
    <row r="1657" spans="1:8" x14ac:dyDescent="0.3">
      <c r="A1657" t="s">
        <v>1933</v>
      </c>
      <c r="B1657" t="s">
        <v>1934</v>
      </c>
      <c r="C1657">
        <v>132.19999999999999</v>
      </c>
      <c r="D1657">
        <v>19.03</v>
      </c>
      <c r="E1657">
        <f t="shared" ca="1" si="100"/>
        <v>137.06939218234766</v>
      </c>
      <c r="F1657">
        <f t="shared" ca="1" si="101"/>
        <v>-4.8693921823476671</v>
      </c>
      <c r="G1657">
        <f t="shared" ca="1" si="102"/>
        <v>-3.552501477404791E-2</v>
      </c>
      <c r="H1657" t="str">
        <f t="shared" ca="1" si="103"/>
        <v>competitive</v>
      </c>
    </row>
    <row r="1658" spans="1:8" x14ac:dyDescent="0.3">
      <c r="A1658" t="s">
        <v>1935</v>
      </c>
      <c r="B1658" t="s">
        <v>79</v>
      </c>
      <c r="C1658">
        <v>219.99</v>
      </c>
      <c r="D1658">
        <v>33.14</v>
      </c>
      <c r="E1658">
        <f t="shared" ca="1" si="100"/>
        <v>217.8003551438247</v>
      </c>
      <c r="F1658">
        <f t="shared" ca="1" si="101"/>
        <v>2.1896448561753061</v>
      </c>
      <c r="G1658">
        <f t="shared" ca="1" si="102"/>
        <v>1.0053449429544647E-2</v>
      </c>
      <c r="H1658" t="str">
        <f t="shared" ca="1" si="103"/>
        <v>competitive</v>
      </c>
    </row>
    <row r="1659" spans="1:8" x14ac:dyDescent="0.3">
      <c r="A1659" t="s">
        <v>1936</v>
      </c>
      <c r="B1659" t="s">
        <v>948</v>
      </c>
      <c r="C1659">
        <v>499</v>
      </c>
      <c r="D1659">
        <v>59.16</v>
      </c>
      <c r="E1659">
        <f t="shared" ca="1" si="100"/>
        <v>472.02892898512044</v>
      </c>
      <c r="F1659">
        <f t="shared" ca="1" si="101"/>
        <v>26.971071014879556</v>
      </c>
      <c r="G1659">
        <f t="shared" ca="1" si="102"/>
        <v>5.7138597570425081E-2</v>
      </c>
      <c r="H1659" t="str">
        <f t="shared" ca="1" si="103"/>
        <v>overpriced</v>
      </c>
    </row>
    <row r="1660" spans="1:8" x14ac:dyDescent="0.3">
      <c r="A1660" t="s">
        <v>1937</v>
      </c>
      <c r="B1660" t="s">
        <v>229</v>
      </c>
      <c r="C1660">
        <v>69.900000000000006</v>
      </c>
      <c r="D1660">
        <v>11.99</v>
      </c>
      <c r="E1660">
        <f t="shared" ca="1" si="100"/>
        <v>75.068658732429398</v>
      </c>
      <c r="F1660">
        <f t="shared" ca="1" si="101"/>
        <v>-5.1686587324293924</v>
      </c>
      <c r="G1660">
        <f t="shared" ca="1" si="102"/>
        <v>-6.8852418835033083E-2</v>
      </c>
      <c r="H1660" t="str">
        <f t="shared" ca="1" si="103"/>
        <v>underprived</v>
      </c>
    </row>
    <row r="1661" spans="1:8" x14ac:dyDescent="0.3">
      <c r="A1661" t="s">
        <v>1798</v>
      </c>
      <c r="B1661" t="s">
        <v>1799</v>
      </c>
      <c r="C1661">
        <v>169.99</v>
      </c>
      <c r="D1661">
        <v>16.399999999999999</v>
      </c>
      <c r="E1661">
        <f t="shared" ca="1" si="100"/>
        <v>153.50728870888037</v>
      </c>
      <c r="F1661">
        <f t="shared" ca="1" si="101"/>
        <v>16.482711291119642</v>
      </c>
      <c r="G1661">
        <f t="shared" ca="1" si="102"/>
        <v>0.10737412815868541</v>
      </c>
      <c r="H1661" t="str">
        <f t="shared" ca="1" si="103"/>
        <v>overpriced</v>
      </c>
    </row>
    <row r="1662" spans="1:8" x14ac:dyDescent="0.3">
      <c r="A1662" t="s">
        <v>1938</v>
      </c>
      <c r="B1662" t="s">
        <v>644</v>
      </c>
      <c r="C1662">
        <v>229.9</v>
      </c>
      <c r="D1662">
        <v>15.78</v>
      </c>
      <c r="E1662">
        <f t="shared" ca="1" si="100"/>
        <v>235.508849730831</v>
      </c>
      <c r="F1662">
        <f t="shared" ca="1" si="101"/>
        <v>-5.6088497308309968</v>
      </c>
      <c r="G1662">
        <f t="shared" ca="1" si="102"/>
        <v>-2.3815876716486419E-2</v>
      </c>
      <c r="H1662" t="str">
        <f t="shared" ca="1" si="103"/>
        <v>competitive</v>
      </c>
    </row>
    <row r="1663" spans="1:8" x14ac:dyDescent="0.3">
      <c r="A1663" t="s">
        <v>1403</v>
      </c>
      <c r="B1663" t="s">
        <v>71</v>
      </c>
      <c r="C1663">
        <v>13.65</v>
      </c>
      <c r="D1663">
        <v>19.04</v>
      </c>
      <c r="E1663">
        <f t="shared" ca="1" si="100"/>
        <v>12.310309398059541</v>
      </c>
      <c r="F1663">
        <f t="shared" ca="1" si="101"/>
        <v>1.3396906019404593</v>
      </c>
      <c r="G1663">
        <f t="shared" ca="1" si="102"/>
        <v>0.10882672064697521</v>
      </c>
      <c r="H1663" t="str">
        <f t="shared" ca="1" si="103"/>
        <v>overpriced</v>
      </c>
    </row>
    <row r="1664" spans="1:8" x14ac:dyDescent="0.3">
      <c r="A1664" t="s">
        <v>1939</v>
      </c>
      <c r="B1664" t="s">
        <v>1940</v>
      </c>
      <c r="C1664">
        <v>46.9</v>
      </c>
      <c r="D1664">
        <v>14.1</v>
      </c>
      <c r="E1664">
        <f t="shared" ca="1" si="100"/>
        <v>45.64014860964793</v>
      </c>
      <c r="F1664">
        <f t="shared" ca="1" si="101"/>
        <v>1.2598513903520683</v>
      </c>
      <c r="G1664">
        <f t="shared" ca="1" si="102"/>
        <v>2.7604015953746185E-2</v>
      </c>
      <c r="H1664" t="str">
        <f t="shared" ca="1" si="103"/>
        <v>competitive</v>
      </c>
    </row>
    <row r="1665" spans="1:8" x14ac:dyDescent="0.3">
      <c r="A1665" t="s">
        <v>1941</v>
      </c>
      <c r="B1665" t="s">
        <v>1942</v>
      </c>
      <c r="C1665">
        <v>119.9</v>
      </c>
      <c r="D1665">
        <v>23.12</v>
      </c>
      <c r="E1665">
        <f t="shared" ca="1" si="100"/>
        <v>123.92711777441593</v>
      </c>
      <c r="F1665">
        <f t="shared" ca="1" si="101"/>
        <v>-4.0271177744159274</v>
      </c>
      <c r="G1665">
        <f t="shared" ca="1" si="102"/>
        <v>-3.2495856005837841E-2</v>
      </c>
      <c r="H1665" t="str">
        <f t="shared" ca="1" si="103"/>
        <v>competitive</v>
      </c>
    </row>
    <row r="1666" spans="1:8" x14ac:dyDescent="0.3">
      <c r="A1666" t="s">
        <v>210</v>
      </c>
      <c r="B1666" t="s">
        <v>211</v>
      </c>
      <c r="C1666">
        <v>135.9</v>
      </c>
      <c r="D1666">
        <v>21.88</v>
      </c>
      <c r="E1666">
        <f t="shared" ca="1" si="100"/>
        <v>135.46312327977688</v>
      </c>
      <c r="F1666">
        <f t="shared" ca="1" si="101"/>
        <v>0.4368767202231254</v>
      </c>
      <c r="G1666">
        <f t="shared" ca="1" si="102"/>
        <v>3.2250601465967097E-3</v>
      </c>
      <c r="H1666" t="str">
        <f t="shared" ca="1" si="103"/>
        <v>competitive</v>
      </c>
    </row>
    <row r="1667" spans="1:8" x14ac:dyDescent="0.3">
      <c r="A1667" t="s">
        <v>1943</v>
      </c>
      <c r="B1667" t="s">
        <v>1844</v>
      </c>
      <c r="C1667">
        <v>23.9</v>
      </c>
      <c r="D1667">
        <v>9.34</v>
      </c>
      <c r="E1667">
        <f t="shared" ref="E1667:E1730" ca="1" si="104">C1667*(1+RAND()*0.2-0.1)</f>
        <v>23.480189226959734</v>
      </c>
      <c r="F1667">
        <f t="shared" ref="F1667:F1730" ca="1" si="105">C1667-E1667</f>
        <v>0.41981077304026471</v>
      </c>
      <c r="G1667">
        <f t="shared" ref="G1667:G1730" ca="1" si="106">(C1667-E1667)/E1667</f>
        <v>1.7879360723304646E-2</v>
      </c>
      <c r="H1667" t="str">
        <f t="shared" ref="H1667:H1730" ca="1" si="107">IF(E1667="","competitive",IF(ABS(C1667-E1667)/E1667&lt;=0.05,"competitive",IF(C1667&gt;E1667,"overpriced","underprived")))</f>
        <v>competitive</v>
      </c>
    </row>
    <row r="1668" spans="1:8" x14ac:dyDescent="0.3">
      <c r="A1668" t="s">
        <v>1944</v>
      </c>
      <c r="B1668" t="s">
        <v>1313</v>
      </c>
      <c r="C1668">
        <v>110</v>
      </c>
      <c r="D1668">
        <v>36.43</v>
      </c>
      <c r="E1668">
        <f t="shared" ca="1" si="104"/>
        <v>109.44504064239125</v>
      </c>
      <c r="F1668">
        <f t="shared" ca="1" si="105"/>
        <v>0.5549593576087517</v>
      </c>
      <c r="G1668">
        <f t="shared" ca="1" si="106"/>
        <v>5.0706670156217184E-3</v>
      </c>
      <c r="H1668" t="str">
        <f t="shared" ca="1" si="107"/>
        <v>competitive</v>
      </c>
    </row>
    <row r="1669" spans="1:8" x14ac:dyDescent="0.3">
      <c r="A1669" t="s">
        <v>1945</v>
      </c>
      <c r="B1669" t="s">
        <v>1946</v>
      </c>
      <c r="C1669">
        <v>276.99</v>
      </c>
      <c r="D1669">
        <v>14.6</v>
      </c>
      <c r="E1669">
        <f t="shared" ca="1" si="104"/>
        <v>297.20894527368415</v>
      </c>
      <c r="F1669">
        <f t="shared" ca="1" si="105"/>
        <v>-20.218945273684142</v>
      </c>
      <c r="G1669">
        <f t="shared" ca="1" si="106"/>
        <v>-6.8029396810602633E-2</v>
      </c>
      <c r="H1669" t="str">
        <f t="shared" ca="1" si="107"/>
        <v>underprived</v>
      </c>
    </row>
    <row r="1670" spans="1:8" x14ac:dyDescent="0.3">
      <c r="A1670" t="s">
        <v>1947</v>
      </c>
      <c r="B1670" t="s">
        <v>1948</v>
      </c>
      <c r="C1670">
        <v>364.98</v>
      </c>
      <c r="D1670">
        <v>39.24</v>
      </c>
      <c r="E1670">
        <f t="shared" ca="1" si="104"/>
        <v>371.37383543258102</v>
      </c>
      <c r="F1670">
        <f t="shared" ca="1" si="105"/>
        <v>-6.3938354325809996</v>
      </c>
      <c r="G1670">
        <f t="shared" ca="1" si="106"/>
        <v>-1.7216709478559192E-2</v>
      </c>
      <c r="H1670" t="str">
        <f t="shared" ca="1" si="107"/>
        <v>competitive</v>
      </c>
    </row>
    <row r="1671" spans="1:8" x14ac:dyDescent="0.3">
      <c r="A1671" t="s">
        <v>1949</v>
      </c>
      <c r="B1671" t="s">
        <v>23</v>
      </c>
      <c r="C1671">
        <v>57.49</v>
      </c>
      <c r="D1671">
        <v>11.15</v>
      </c>
      <c r="E1671">
        <f t="shared" ca="1" si="104"/>
        <v>53.981156278058997</v>
      </c>
      <c r="F1671">
        <f t="shared" ca="1" si="105"/>
        <v>3.5088437219410054</v>
      </c>
      <c r="G1671">
        <f t="shared" ca="1" si="106"/>
        <v>6.5001270144470741E-2</v>
      </c>
      <c r="H1671" t="str">
        <f t="shared" ca="1" si="107"/>
        <v>overpriced</v>
      </c>
    </row>
    <row r="1672" spans="1:8" x14ac:dyDescent="0.3">
      <c r="A1672" t="s">
        <v>1950</v>
      </c>
      <c r="B1672" t="s">
        <v>157</v>
      </c>
      <c r="C1672">
        <v>119.3</v>
      </c>
      <c r="D1672">
        <v>18.670000000000002</v>
      </c>
      <c r="E1672">
        <f t="shared" ca="1" si="104"/>
        <v>125.07729774060792</v>
      </c>
      <c r="F1672">
        <f t="shared" ca="1" si="105"/>
        <v>-5.7772977406079207</v>
      </c>
      <c r="G1672">
        <f t="shared" ca="1" si="106"/>
        <v>-4.6189818975696087E-2</v>
      </c>
      <c r="H1672" t="str">
        <f t="shared" ca="1" si="107"/>
        <v>competitive</v>
      </c>
    </row>
    <row r="1673" spans="1:8" x14ac:dyDescent="0.3">
      <c r="A1673" t="s">
        <v>1951</v>
      </c>
      <c r="B1673" t="s">
        <v>1952</v>
      </c>
      <c r="C1673">
        <v>180</v>
      </c>
      <c r="D1673">
        <v>8.2899999999999991</v>
      </c>
      <c r="E1673">
        <f t="shared" ca="1" si="104"/>
        <v>178.72722566205402</v>
      </c>
      <c r="F1673">
        <f t="shared" ca="1" si="105"/>
        <v>1.2727743379459753</v>
      </c>
      <c r="G1673">
        <f t="shared" ca="1" si="106"/>
        <v>7.1213231964591551E-3</v>
      </c>
      <c r="H1673" t="str">
        <f t="shared" ca="1" si="107"/>
        <v>competitive</v>
      </c>
    </row>
    <row r="1674" spans="1:8" x14ac:dyDescent="0.3">
      <c r="A1674" t="s">
        <v>1953</v>
      </c>
      <c r="B1674" t="s">
        <v>669</v>
      </c>
      <c r="C1674">
        <v>37.9</v>
      </c>
      <c r="D1674">
        <v>52.71</v>
      </c>
      <c r="E1674">
        <f t="shared" ca="1" si="104"/>
        <v>35.856161996382859</v>
      </c>
      <c r="F1674">
        <f t="shared" ca="1" si="105"/>
        <v>2.0438380036171395</v>
      </c>
      <c r="G1674">
        <f t="shared" ca="1" si="106"/>
        <v>5.7001025481291621E-2</v>
      </c>
      <c r="H1674" t="str">
        <f t="shared" ca="1" si="107"/>
        <v>overpriced</v>
      </c>
    </row>
    <row r="1675" spans="1:8" x14ac:dyDescent="0.3">
      <c r="A1675" t="s">
        <v>1954</v>
      </c>
      <c r="B1675" t="s">
        <v>657</v>
      </c>
      <c r="C1675">
        <v>59.9</v>
      </c>
      <c r="D1675">
        <v>43.22</v>
      </c>
      <c r="E1675">
        <f t="shared" ca="1" si="104"/>
        <v>55.178750225558929</v>
      </c>
      <c r="F1675">
        <f t="shared" ca="1" si="105"/>
        <v>4.7212497744410697</v>
      </c>
      <c r="G1675">
        <f t="shared" ca="1" si="106"/>
        <v>8.5562825456205707E-2</v>
      </c>
      <c r="H1675" t="str">
        <f t="shared" ca="1" si="107"/>
        <v>overpriced</v>
      </c>
    </row>
    <row r="1676" spans="1:8" x14ac:dyDescent="0.3">
      <c r="A1676" t="s">
        <v>1955</v>
      </c>
      <c r="B1676" t="s">
        <v>1956</v>
      </c>
      <c r="C1676">
        <v>32.5</v>
      </c>
      <c r="D1676">
        <v>17.190000000000001</v>
      </c>
      <c r="E1676">
        <f t="shared" ca="1" si="104"/>
        <v>32.612038365199865</v>
      </c>
      <c r="F1676">
        <f t="shared" ca="1" si="105"/>
        <v>-0.1120383651998651</v>
      </c>
      <c r="G1676">
        <f t="shared" ca="1" si="106"/>
        <v>-3.4354910277371881E-3</v>
      </c>
      <c r="H1676" t="str">
        <f t="shared" ca="1" si="107"/>
        <v>competitive</v>
      </c>
    </row>
    <row r="1677" spans="1:8" x14ac:dyDescent="0.3">
      <c r="A1677" t="s">
        <v>1955</v>
      </c>
      <c r="B1677" t="s">
        <v>1956</v>
      </c>
      <c r="C1677">
        <v>32.5</v>
      </c>
      <c r="D1677">
        <v>17.190000000000001</v>
      </c>
      <c r="E1677">
        <f t="shared" ca="1" si="104"/>
        <v>33.684046798276896</v>
      </c>
      <c r="F1677">
        <f t="shared" ca="1" si="105"/>
        <v>-1.1840467982768956</v>
      </c>
      <c r="G1677">
        <f t="shared" ca="1" si="106"/>
        <v>-3.5151560184195726E-2</v>
      </c>
      <c r="H1677" t="str">
        <f t="shared" ca="1" si="107"/>
        <v>competitive</v>
      </c>
    </row>
    <row r="1678" spans="1:8" x14ac:dyDescent="0.3">
      <c r="A1678" t="s">
        <v>1955</v>
      </c>
      <c r="B1678" t="s">
        <v>1956</v>
      </c>
      <c r="C1678">
        <v>32.5</v>
      </c>
      <c r="D1678">
        <v>17.190000000000001</v>
      </c>
      <c r="E1678">
        <f t="shared" ca="1" si="104"/>
        <v>33.267333974755921</v>
      </c>
      <c r="F1678">
        <f t="shared" ca="1" si="105"/>
        <v>-0.76733397475592113</v>
      </c>
      <c r="G1678">
        <f t="shared" ca="1" si="106"/>
        <v>-2.3065688862780324E-2</v>
      </c>
      <c r="H1678" t="str">
        <f t="shared" ca="1" si="107"/>
        <v>competitive</v>
      </c>
    </row>
    <row r="1679" spans="1:8" x14ac:dyDescent="0.3">
      <c r="A1679" t="s">
        <v>1957</v>
      </c>
      <c r="B1679" t="s">
        <v>1958</v>
      </c>
      <c r="C1679">
        <v>37.9</v>
      </c>
      <c r="D1679">
        <v>12.93</v>
      </c>
      <c r="E1679">
        <f t="shared" ca="1" si="104"/>
        <v>35.433308495235941</v>
      </c>
      <c r="F1679">
        <f t="shared" ca="1" si="105"/>
        <v>2.4666915047640572</v>
      </c>
      <c r="G1679">
        <f t="shared" ca="1" si="106"/>
        <v>6.9615048933285684E-2</v>
      </c>
      <c r="H1679" t="str">
        <f t="shared" ca="1" si="107"/>
        <v>overpriced</v>
      </c>
    </row>
    <row r="1680" spans="1:8" x14ac:dyDescent="0.3">
      <c r="A1680" t="s">
        <v>1959</v>
      </c>
      <c r="B1680" t="s">
        <v>103</v>
      </c>
      <c r="C1680">
        <v>199.9</v>
      </c>
      <c r="D1680">
        <v>10.53</v>
      </c>
      <c r="E1680">
        <f t="shared" ca="1" si="104"/>
        <v>199.51063989235928</v>
      </c>
      <c r="F1680">
        <f t="shared" ca="1" si="105"/>
        <v>0.38936010764072648</v>
      </c>
      <c r="G1680">
        <f t="shared" ca="1" si="106"/>
        <v>1.9515756545655685E-3</v>
      </c>
      <c r="H1680" t="str">
        <f t="shared" ca="1" si="107"/>
        <v>competitive</v>
      </c>
    </row>
    <row r="1681" spans="1:8" x14ac:dyDescent="0.3">
      <c r="A1681" t="s">
        <v>1960</v>
      </c>
      <c r="B1681" t="s">
        <v>1961</v>
      </c>
      <c r="C1681">
        <v>95.99</v>
      </c>
      <c r="D1681">
        <v>12.38</v>
      </c>
      <c r="E1681">
        <f t="shared" ca="1" si="104"/>
        <v>88.030183464032106</v>
      </c>
      <c r="F1681">
        <f t="shared" ca="1" si="105"/>
        <v>7.9598165359678887</v>
      </c>
      <c r="G1681">
        <f t="shared" ca="1" si="106"/>
        <v>9.0421446630520291E-2</v>
      </c>
      <c r="H1681" t="str">
        <f t="shared" ca="1" si="107"/>
        <v>overpriced</v>
      </c>
    </row>
    <row r="1682" spans="1:8" x14ac:dyDescent="0.3">
      <c r="A1682" t="s">
        <v>1960</v>
      </c>
      <c r="B1682" t="s">
        <v>1961</v>
      </c>
      <c r="C1682">
        <v>95.99</v>
      </c>
      <c r="D1682">
        <v>12.38</v>
      </c>
      <c r="E1682">
        <f t="shared" ca="1" si="104"/>
        <v>98.663646271228487</v>
      </c>
      <c r="F1682">
        <f t="shared" ca="1" si="105"/>
        <v>-2.6736462712284919</v>
      </c>
      <c r="G1682">
        <f t="shared" ca="1" si="106"/>
        <v>-2.7098595807807272E-2</v>
      </c>
      <c r="H1682" t="str">
        <f t="shared" ca="1" si="107"/>
        <v>competitive</v>
      </c>
    </row>
    <row r="1683" spans="1:8" x14ac:dyDescent="0.3">
      <c r="A1683" t="s">
        <v>1962</v>
      </c>
      <c r="B1683" t="s">
        <v>657</v>
      </c>
      <c r="C1683">
        <v>69.900000000000006</v>
      </c>
      <c r="D1683">
        <v>16.25</v>
      </c>
      <c r="E1683">
        <f t="shared" ca="1" si="104"/>
        <v>73.195371518560137</v>
      </c>
      <c r="F1683">
        <f t="shared" ca="1" si="105"/>
        <v>-3.2953715185601311</v>
      </c>
      <c r="G1683">
        <f t="shared" ca="1" si="106"/>
        <v>-4.5021583335013528E-2</v>
      </c>
      <c r="H1683" t="str">
        <f t="shared" ca="1" si="107"/>
        <v>competitive</v>
      </c>
    </row>
    <row r="1684" spans="1:8" x14ac:dyDescent="0.3">
      <c r="A1684" t="s">
        <v>1963</v>
      </c>
      <c r="B1684" t="s">
        <v>39</v>
      </c>
      <c r="C1684">
        <v>113</v>
      </c>
      <c r="D1684">
        <v>13.81</v>
      </c>
      <c r="E1684">
        <f t="shared" ca="1" si="104"/>
        <v>114.28643775432977</v>
      </c>
      <c r="F1684">
        <f t="shared" ca="1" si="105"/>
        <v>-1.2864377543297678</v>
      </c>
      <c r="G1684">
        <f t="shared" ca="1" si="106"/>
        <v>-1.1256259094321371E-2</v>
      </c>
      <c r="H1684" t="str">
        <f t="shared" ca="1" si="107"/>
        <v>competitive</v>
      </c>
    </row>
    <row r="1685" spans="1:8" x14ac:dyDescent="0.3">
      <c r="A1685" t="s">
        <v>1963</v>
      </c>
      <c r="B1685" t="s">
        <v>39</v>
      </c>
      <c r="C1685">
        <v>113</v>
      </c>
      <c r="D1685">
        <v>13.81</v>
      </c>
      <c r="E1685">
        <f t="shared" ca="1" si="104"/>
        <v>112.25979155961105</v>
      </c>
      <c r="F1685">
        <f t="shared" ca="1" si="105"/>
        <v>0.74020844038895461</v>
      </c>
      <c r="G1685">
        <f t="shared" ca="1" si="106"/>
        <v>6.5937093780892748E-3</v>
      </c>
      <c r="H1685" t="str">
        <f t="shared" ca="1" si="107"/>
        <v>competitive</v>
      </c>
    </row>
    <row r="1686" spans="1:8" x14ac:dyDescent="0.3">
      <c r="A1686" t="s">
        <v>1964</v>
      </c>
      <c r="B1686" t="s">
        <v>646</v>
      </c>
      <c r="C1686">
        <v>169.99</v>
      </c>
      <c r="D1686">
        <v>15.95</v>
      </c>
      <c r="E1686">
        <f t="shared" ca="1" si="104"/>
        <v>169.02082272226832</v>
      </c>
      <c r="F1686">
        <f t="shared" ca="1" si="105"/>
        <v>0.96917727773168849</v>
      </c>
      <c r="G1686">
        <f t="shared" ca="1" si="106"/>
        <v>5.7340702886307772E-3</v>
      </c>
      <c r="H1686" t="str">
        <f t="shared" ca="1" si="107"/>
        <v>competitive</v>
      </c>
    </row>
    <row r="1687" spans="1:8" x14ac:dyDescent="0.3">
      <c r="A1687" t="s">
        <v>1965</v>
      </c>
      <c r="B1687" t="s">
        <v>1844</v>
      </c>
      <c r="C1687">
        <v>39.9</v>
      </c>
      <c r="D1687">
        <v>15.1</v>
      </c>
      <c r="E1687">
        <f t="shared" ca="1" si="104"/>
        <v>37.992510943659099</v>
      </c>
      <c r="F1687">
        <f t="shared" ca="1" si="105"/>
        <v>1.9074890563408999</v>
      </c>
      <c r="G1687">
        <f t="shared" ca="1" si="106"/>
        <v>5.0206975242294623E-2</v>
      </c>
      <c r="H1687" t="str">
        <f t="shared" ca="1" si="107"/>
        <v>overpriced</v>
      </c>
    </row>
    <row r="1688" spans="1:8" x14ac:dyDescent="0.3">
      <c r="A1688" t="s">
        <v>1966</v>
      </c>
      <c r="B1688" t="s">
        <v>1170</v>
      </c>
      <c r="C1688">
        <v>99.99</v>
      </c>
      <c r="D1688">
        <v>19.940000000000001</v>
      </c>
      <c r="E1688">
        <f t="shared" ca="1" si="104"/>
        <v>91.054111220129641</v>
      </c>
      <c r="F1688">
        <f t="shared" ca="1" si="105"/>
        <v>8.9358887798703535</v>
      </c>
      <c r="G1688">
        <f t="shared" ca="1" si="106"/>
        <v>9.8138224184817102E-2</v>
      </c>
      <c r="H1688" t="str">
        <f t="shared" ca="1" si="107"/>
        <v>overpriced</v>
      </c>
    </row>
    <row r="1689" spans="1:8" x14ac:dyDescent="0.3">
      <c r="A1689" t="s">
        <v>1967</v>
      </c>
      <c r="B1689" t="s">
        <v>1844</v>
      </c>
      <c r="C1689">
        <v>34.9</v>
      </c>
      <c r="D1689">
        <v>9.34</v>
      </c>
      <c r="E1689">
        <f t="shared" ca="1" si="104"/>
        <v>38.345358990547624</v>
      </c>
      <c r="F1689">
        <f t="shared" ca="1" si="105"/>
        <v>-3.445358990547625</v>
      </c>
      <c r="G1689">
        <f t="shared" ca="1" si="106"/>
        <v>-8.9850742860353133E-2</v>
      </c>
      <c r="H1689" t="str">
        <f t="shared" ca="1" si="107"/>
        <v>underprived</v>
      </c>
    </row>
    <row r="1690" spans="1:8" x14ac:dyDescent="0.3">
      <c r="A1690" t="s">
        <v>1968</v>
      </c>
      <c r="B1690" t="s">
        <v>265</v>
      </c>
      <c r="C1690">
        <v>132.69999999999999</v>
      </c>
      <c r="D1690">
        <v>25.68</v>
      </c>
      <c r="E1690">
        <f t="shared" ca="1" si="104"/>
        <v>138.01132685023151</v>
      </c>
      <c r="F1690">
        <f t="shared" ca="1" si="105"/>
        <v>-5.3113268502315236</v>
      </c>
      <c r="G1690">
        <f t="shared" ca="1" si="106"/>
        <v>-3.8484716953669472E-2</v>
      </c>
      <c r="H1690" t="str">
        <f t="shared" ca="1" si="107"/>
        <v>competitive</v>
      </c>
    </row>
    <row r="1691" spans="1:8" x14ac:dyDescent="0.3">
      <c r="A1691" t="s">
        <v>1969</v>
      </c>
      <c r="B1691" t="s">
        <v>81</v>
      </c>
      <c r="C1691">
        <v>31.89</v>
      </c>
      <c r="D1691">
        <v>15.79</v>
      </c>
      <c r="E1691">
        <f t="shared" ca="1" si="104"/>
        <v>29.38032067078035</v>
      </c>
      <c r="F1691">
        <f t="shared" ca="1" si="105"/>
        <v>2.5096793292196509</v>
      </c>
      <c r="G1691">
        <f t="shared" ca="1" si="106"/>
        <v>8.5420419924674473E-2</v>
      </c>
      <c r="H1691" t="str">
        <f t="shared" ca="1" si="107"/>
        <v>overpriced</v>
      </c>
    </row>
    <row r="1692" spans="1:8" x14ac:dyDescent="0.3">
      <c r="A1692" t="s">
        <v>1970</v>
      </c>
      <c r="B1692" t="s">
        <v>1971</v>
      </c>
      <c r="C1692">
        <v>12.99</v>
      </c>
      <c r="D1692">
        <v>7.39</v>
      </c>
      <c r="E1692">
        <f t="shared" ca="1" si="104"/>
        <v>14.238096503120087</v>
      </c>
      <c r="F1692">
        <f t="shared" ca="1" si="105"/>
        <v>-1.2480965031200864</v>
      </c>
      <c r="G1692">
        <f t="shared" ca="1" si="106"/>
        <v>-8.7658943935840214E-2</v>
      </c>
      <c r="H1692" t="str">
        <f t="shared" ca="1" si="107"/>
        <v>underprived</v>
      </c>
    </row>
    <row r="1693" spans="1:8" x14ac:dyDescent="0.3">
      <c r="A1693" t="s">
        <v>1681</v>
      </c>
      <c r="B1693" t="s">
        <v>290</v>
      </c>
      <c r="C1693">
        <v>49.9</v>
      </c>
      <c r="D1693">
        <v>7.78</v>
      </c>
      <c r="E1693">
        <f t="shared" ca="1" si="104"/>
        <v>53.560524701868445</v>
      </c>
      <c r="F1693">
        <f t="shared" ca="1" si="105"/>
        <v>-3.6605247018684466</v>
      </c>
      <c r="G1693">
        <f t="shared" ca="1" si="106"/>
        <v>-6.8343705037317348E-2</v>
      </c>
      <c r="H1693" t="str">
        <f t="shared" ca="1" si="107"/>
        <v>underprived</v>
      </c>
    </row>
    <row r="1694" spans="1:8" x14ac:dyDescent="0.3">
      <c r="A1694" t="s">
        <v>1359</v>
      </c>
      <c r="B1694" t="s">
        <v>1360</v>
      </c>
      <c r="C1694">
        <v>154.91</v>
      </c>
      <c r="D1694">
        <v>16.18</v>
      </c>
      <c r="E1694">
        <f t="shared" ca="1" si="104"/>
        <v>143.30909372879378</v>
      </c>
      <c r="F1694">
        <f t="shared" ca="1" si="105"/>
        <v>11.600906271206213</v>
      </c>
      <c r="G1694">
        <f t="shared" ca="1" si="106"/>
        <v>8.0950245161416079E-2</v>
      </c>
      <c r="H1694" t="str">
        <f t="shared" ca="1" si="107"/>
        <v>overpriced</v>
      </c>
    </row>
    <row r="1695" spans="1:8" x14ac:dyDescent="0.3">
      <c r="A1695" t="s">
        <v>1972</v>
      </c>
      <c r="B1695" t="s">
        <v>1973</v>
      </c>
      <c r="C1695">
        <v>29.99</v>
      </c>
      <c r="D1695">
        <v>15.16</v>
      </c>
      <c r="E1695">
        <f t="shared" ca="1" si="104"/>
        <v>32.86224485693355</v>
      </c>
      <c r="F1695">
        <f t="shared" ca="1" si="105"/>
        <v>-2.8722448569335519</v>
      </c>
      <c r="G1695">
        <f t="shared" ca="1" si="106"/>
        <v>-8.7402576100261198E-2</v>
      </c>
      <c r="H1695" t="str">
        <f t="shared" ca="1" si="107"/>
        <v>underprived</v>
      </c>
    </row>
    <row r="1696" spans="1:8" x14ac:dyDescent="0.3">
      <c r="A1696" t="s">
        <v>1974</v>
      </c>
      <c r="B1696" t="s">
        <v>741</v>
      </c>
      <c r="C1696">
        <v>50</v>
      </c>
      <c r="D1696">
        <v>15.1</v>
      </c>
      <c r="E1696">
        <f t="shared" ca="1" si="104"/>
        <v>46.718708782548937</v>
      </c>
      <c r="F1696">
        <f t="shared" ca="1" si="105"/>
        <v>3.2812912174510629</v>
      </c>
      <c r="G1696">
        <f t="shared" ca="1" si="106"/>
        <v>7.0235057923448849E-2</v>
      </c>
      <c r="H1696" t="str">
        <f t="shared" ca="1" si="107"/>
        <v>overpriced</v>
      </c>
    </row>
    <row r="1697" spans="1:8" x14ac:dyDescent="0.3">
      <c r="A1697" t="s">
        <v>221</v>
      </c>
      <c r="B1697" t="s">
        <v>31</v>
      </c>
      <c r="C1697">
        <v>49.9</v>
      </c>
      <c r="D1697">
        <v>13.37</v>
      </c>
      <c r="E1697">
        <f t="shared" ca="1" si="104"/>
        <v>54.635615450146112</v>
      </c>
      <c r="F1697">
        <f t="shared" ca="1" si="105"/>
        <v>-4.7356154501461134</v>
      </c>
      <c r="G1697">
        <f t="shared" ca="1" si="106"/>
        <v>-8.6676344928653115E-2</v>
      </c>
      <c r="H1697" t="str">
        <f t="shared" ca="1" si="107"/>
        <v>underprived</v>
      </c>
    </row>
    <row r="1698" spans="1:8" x14ac:dyDescent="0.3">
      <c r="A1698" t="s">
        <v>1975</v>
      </c>
      <c r="B1698" t="s">
        <v>489</v>
      </c>
      <c r="C1698">
        <v>18.899999999999999</v>
      </c>
      <c r="D1698">
        <v>13.47</v>
      </c>
      <c r="E1698">
        <f t="shared" ca="1" si="104"/>
        <v>17.986457025814193</v>
      </c>
      <c r="F1698">
        <f t="shared" ca="1" si="105"/>
        <v>0.91354297418580543</v>
      </c>
      <c r="G1698">
        <f t="shared" ca="1" si="106"/>
        <v>5.0790601666280751E-2</v>
      </c>
      <c r="H1698" t="str">
        <f t="shared" ca="1" si="107"/>
        <v>overpriced</v>
      </c>
    </row>
    <row r="1699" spans="1:8" x14ac:dyDescent="0.3">
      <c r="A1699" t="s">
        <v>424</v>
      </c>
      <c r="B1699" t="s">
        <v>315</v>
      </c>
      <c r="C1699">
        <v>39.9</v>
      </c>
      <c r="D1699">
        <v>17.63</v>
      </c>
      <c r="E1699">
        <f t="shared" ca="1" si="104"/>
        <v>38.318502449728918</v>
      </c>
      <c r="F1699">
        <f t="shared" ca="1" si="105"/>
        <v>1.5814975502710809</v>
      </c>
      <c r="G1699">
        <f t="shared" ca="1" si="106"/>
        <v>4.1272425829947043E-2</v>
      </c>
      <c r="H1699" t="str">
        <f t="shared" ca="1" si="107"/>
        <v>competitive</v>
      </c>
    </row>
    <row r="1700" spans="1:8" x14ac:dyDescent="0.3">
      <c r="A1700" t="s">
        <v>1976</v>
      </c>
      <c r="B1700" t="s">
        <v>1010</v>
      </c>
      <c r="C1700">
        <v>19</v>
      </c>
      <c r="D1700">
        <v>16.11</v>
      </c>
      <c r="E1700">
        <f t="shared" ca="1" si="104"/>
        <v>17.333922286672575</v>
      </c>
      <c r="F1700">
        <f t="shared" ca="1" si="105"/>
        <v>1.6660777133274252</v>
      </c>
      <c r="G1700">
        <f t="shared" ca="1" si="106"/>
        <v>9.6116602219245673E-2</v>
      </c>
      <c r="H1700" t="str">
        <f t="shared" ca="1" si="107"/>
        <v>overpriced</v>
      </c>
    </row>
    <row r="1701" spans="1:8" x14ac:dyDescent="0.3">
      <c r="A1701" t="s">
        <v>1977</v>
      </c>
      <c r="B1701" t="s">
        <v>1978</v>
      </c>
      <c r="C1701">
        <v>119.9</v>
      </c>
      <c r="D1701">
        <v>15.94</v>
      </c>
      <c r="E1701">
        <f t="shared" ca="1" si="104"/>
        <v>117.56793135297933</v>
      </c>
      <c r="F1701">
        <f t="shared" ca="1" si="105"/>
        <v>2.3320686470206766</v>
      </c>
      <c r="G1701">
        <f t="shared" ca="1" si="106"/>
        <v>1.9835924815407403E-2</v>
      </c>
      <c r="H1701" t="str">
        <f t="shared" ca="1" si="107"/>
        <v>competitive</v>
      </c>
    </row>
    <row r="1702" spans="1:8" x14ac:dyDescent="0.3">
      <c r="A1702" t="s">
        <v>1979</v>
      </c>
      <c r="B1702" t="s">
        <v>267</v>
      </c>
      <c r="C1702">
        <v>35.9</v>
      </c>
      <c r="D1702">
        <v>11.85</v>
      </c>
      <c r="E1702">
        <f t="shared" ca="1" si="104"/>
        <v>35.465955852066287</v>
      </c>
      <c r="F1702">
        <f t="shared" ca="1" si="105"/>
        <v>0.4340441479337116</v>
      </c>
      <c r="G1702">
        <f t="shared" ca="1" si="106"/>
        <v>1.2238332155607859E-2</v>
      </c>
      <c r="H1702" t="str">
        <f t="shared" ca="1" si="107"/>
        <v>competitive</v>
      </c>
    </row>
    <row r="1703" spans="1:8" x14ac:dyDescent="0.3">
      <c r="A1703" t="s">
        <v>1980</v>
      </c>
      <c r="B1703" t="s">
        <v>1981</v>
      </c>
      <c r="C1703">
        <v>149.9</v>
      </c>
      <c r="D1703">
        <v>23.98</v>
      </c>
      <c r="E1703">
        <f t="shared" ca="1" si="104"/>
        <v>160.8243831548856</v>
      </c>
      <c r="F1703">
        <f t="shared" ca="1" si="105"/>
        <v>-10.924383154885589</v>
      </c>
      <c r="G1703">
        <f t="shared" ca="1" si="106"/>
        <v>-6.7927405910611277E-2</v>
      </c>
      <c r="H1703" t="str">
        <f t="shared" ca="1" si="107"/>
        <v>underprived</v>
      </c>
    </row>
    <row r="1704" spans="1:8" x14ac:dyDescent="0.3">
      <c r="A1704" t="s">
        <v>1982</v>
      </c>
      <c r="B1704" t="s">
        <v>1983</v>
      </c>
      <c r="C1704">
        <v>124.7</v>
      </c>
      <c r="D1704">
        <v>19.84</v>
      </c>
      <c r="E1704">
        <f t="shared" ca="1" si="104"/>
        <v>116.92857122763485</v>
      </c>
      <c r="F1704">
        <f t="shared" ca="1" si="105"/>
        <v>7.7714287723651552</v>
      </c>
      <c r="G1704">
        <f t="shared" ca="1" si="106"/>
        <v>6.6463043982944517E-2</v>
      </c>
      <c r="H1704" t="str">
        <f t="shared" ca="1" si="107"/>
        <v>overpriced</v>
      </c>
    </row>
    <row r="1705" spans="1:8" x14ac:dyDescent="0.3">
      <c r="A1705" t="s">
        <v>1984</v>
      </c>
      <c r="B1705" t="s">
        <v>359</v>
      </c>
      <c r="C1705">
        <v>239.9</v>
      </c>
      <c r="D1705">
        <v>17.309999999999999</v>
      </c>
      <c r="E1705">
        <f t="shared" ca="1" si="104"/>
        <v>248.90978080316106</v>
      </c>
      <c r="F1705">
        <f t="shared" ca="1" si="105"/>
        <v>-9.0097808031610498</v>
      </c>
      <c r="G1705">
        <f t="shared" ca="1" si="106"/>
        <v>-3.6196973755266065E-2</v>
      </c>
      <c r="H1705" t="str">
        <f t="shared" ca="1" si="107"/>
        <v>competitive</v>
      </c>
    </row>
    <row r="1706" spans="1:8" x14ac:dyDescent="0.3">
      <c r="A1706" t="s">
        <v>1985</v>
      </c>
      <c r="B1706" t="s">
        <v>1986</v>
      </c>
      <c r="C1706">
        <v>269.89999999999998</v>
      </c>
      <c r="D1706">
        <v>12.51</v>
      </c>
      <c r="E1706">
        <f t="shared" ca="1" si="104"/>
        <v>246.76954476672711</v>
      </c>
      <c r="F1706">
        <f t="shared" ca="1" si="105"/>
        <v>23.130455233272869</v>
      </c>
      <c r="G1706">
        <f t="shared" ca="1" si="106"/>
        <v>9.3733022262282167E-2</v>
      </c>
      <c r="H1706" t="str">
        <f t="shared" ca="1" si="107"/>
        <v>overpriced</v>
      </c>
    </row>
    <row r="1707" spans="1:8" x14ac:dyDescent="0.3">
      <c r="A1707" t="s">
        <v>771</v>
      </c>
      <c r="B1707" t="s">
        <v>1546</v>
      </c>
      <c r="C1707">
        <v>35.9</v>
      </c>
      <c r="D1707">
        <v>9</v>
      </c>
      <c r="E1707">
        <f t="shared" ca="1" si="104"/>
        <v>35.328084084892211</v>
      </c>
      <c r="F1707">
        <f t="shared" ca="1" si="105"/>
        <v>0.5719159151077875</v>
      </c>
      <c r="G1707">
        <f t="shared" ca="1" si="106"/>
        <v>1.6188704536976659E-2</v>
      </c>
      <c r="H1707" t="str">
        <f t="shared" ca="1" si="107"/>
        <v>competitive</v>
      </c>
    </row>
    <row r="1708" spans="1:8" x14ac:dyDescent="0.3">
      <c r="A1708" t="s">
        <v>1987</v>
      </c>
      <c r="B1708" t="s">
        <v>1988</v>
      </c>
      <c r="C1708">
        <v>46.9</v>
      </c>
      <c r="D1708">
        <v>28.75</v>
      </c>
      <c r="E1708">
        <f t="shared" ca="1" si="104"/>
        <v>51.309966865787025</v>
      </c>
      <c r="F1708">
        <f t="shared" ca="1" si="105"/>
        <v>-4.4099668657870268</v>
      </c>
      <c r="G1708">
        <f t="shared" ca="1" si="106"/>
        <v>-8.5947567990490137E-2</v>
      </c>
      <c r="H1708" t="str">
        <f t="shared" ca="1" si="107"/>
        <v>underprived</v>
      </c>
    </row>
    <row r="1709" spans="1:8" x14ac:dyDescent="0.3">
      <c r="A1709" t="s">
        <v>1989</v>
      </c>
      <c r="B1709" t="s">
        <v>1990</v>
      </c>
      <c r="C1709">
        <v>103.97</v>
      </c>
      <c r="D1709">
        <v>24.01</v>
      </c>
      <c r="E1709">
        <f t="shared" ca="1" si="104"/>
        <v>107.38568575934046</v>
      </c>
      <c r="F1709">
        <f t="shared" ca="1" si="105"/>
        <v>-3.4156857593404624</v>
      </c>
      <c r="G1709">
        <f t="shared" ca="1" si="106"/>
        <v>-3.180764489408091E-2</v>
      </c>
      <c r="H1709" t="str">
        <f t="shared" ca="1" si="107"/>
        <v>competitive</v>
      </c>
    </row>
    <row r="1710" spans="1:8" x14ac:dyDescent="0.3">
      <c r="A1710" t="s">
        <v>1989</v>
      </c>
      <c r="B1710" t="s">
        <v>1990</v>
      </c>
      <c r="C1710">
        <v>103.97</v>
      </c>
      <c r="D1710">
        <v>24.01</v>
      </c>
      <c r="E1710">
        <f t="shared" ca="1" si="104"/>
        <v>96.551869303071413</v>
      </c>
      <c r="F1710">
        <f t="shared" ca="1" si="105"/>
        <v>7.4181306969285856</v>
      </c>
      <c r="G1710">
        <f t="shared" ca="1" si="106"/>
        <v>7.6830523846653342E-2</v>
      </c>
      <c r="H1710" t="str">
        <f t="shared" ca="1" si="107"/>
        <v>overpriced</v>
      </c>
    </row>
    <row r="1711" spans="1:8" x14ac:dyDescent="0.3">
      <c r="A1711" t="s">
        <v>1553</v>
      </c>
      <c r="B1711" t="s">
        <v>190</v>
      </c>
      <c r="C1711">
        <v>117</v>
      </c>
      <c r="D1711">
        <v>15.57</v>
      </c>
      <c r="E1711">
        <f t="shared" ca="1" si="104"/>
        <v>114.10255650168482</v>
      </c>
      <c r="F1711">
        <f t="shared" ca="1" si="105"/>
        <v>2.8974434983151838</v>
      </c>
      <c r="G1711">
        <f t="shared" ca="1" si="106"/>
        <v>2.5393326732976406E-2</v>
      </c>
      <c r="H1711" t="str">
        <f t="shared" ca="1" si="107"/>
        <v>competitive</v>
      </c>
    </row>
    <row r="1712" spans="1:8" x14ac:dyDescent="0.3">
      <c r="A1712" t="s">
        <v>1991</v>
      </c>
      <c r="B1712" t="s">
        <v>51</v>
      </c>
      <c r="C1712">
        <v>48.9</v>
      </c>
      <c r="D1712">
        <v>11.73</v>
      </c>
      <c r="E1712">
        <f t="shared" ca="1" si="104"/>
        <v>45.658690346598959</v>
      </c>
      <c r="F1712">
        <f t="shared" ca="1" si="105"/>
        <v>3.2413096534010393</v>
      </c>
      <c r="G1712">
        <f t="shared" ca="1" si="106"/>
        <v>7.0989983041475455E-2</v>
      </c>
      <c r="H1712" t="str">
        <f t="shared" ca="1" si="107"/>
        <v>overpriced</v>
      </c>
    </row>
    <row r="1713" spans="1:8" x14ac:dyDescent="0.3">
      <c r="A1713" t="s">
        <v>1992</v>
      </c>
      <c r="B1713" t="s">
        <v>583</v>
      </c>
      <c r="C1713">
        <v>84.99</v>
      </c>
      <c r="D1713">
        <v>17.84</v>
      </c>
      <c r="E1713">
        <f t="shared" ca="1" si="104"/>
        <v>77.603762385731272</v>
      </c>
      <c r="F1713">
        <f t="shared" ca="1" si="105"/>
        <v>7.3862376142687225</v>
      </c>
      <c r="G1713">
        <f t="shared" ca="1" si="106"/>
        <v>9.5178859725321821E-2</v>
      </c>
      <c r="H1713" t="str">
        <f t="shared" ca="1" si="107"/>
        <v>overpriced</v>
      </c>
    </row>
    <row r="1714" spans="1:8" x14ac:dyDescent="0.3">
      <c r="A1714" t="s">
        <v>1993</v>
      </c>
      <c r="B1714" t="s">
        <v>1575</v>
      </c>
      <c r="C1714">
        <v>46.9</v>
      </c>
      <c r="D1714">
        <v>8.8800000000000008</v>
      </c>
      <c r="E1714">
        <f t="shared" ca="1" si="104"/>
        <v>42.277353450919975</v>
      </c>
      <c r="F1714">
        <f t="shared" ca="1" si="105"/>
        <v>4.6226465490800237</v>
      </c>
      <c r="G1714">
        <f t="shared" ca="1" si="106"/>
        <v>0.10934096322861082</v>
      </c>
      <c r="H1714" t="str">
        <f t="shared" ca="1" si="107"/>
        <v>overpriced</v>
      </c>
    </row>
    <row r="1715" spans="1:8" x14ac:dyDescent="0.3">
      <c r="A1715" t="s">
        <v>1994</v>
      </c>
      <c r="B1715" t="s">
        <v>37</v>
      </c>
      <c r="C1715">
        <v>189</v>
      </c>
      <c r="D1715">
        <v>58.78</v>
      </c>
      <c r="E1715">
        <f t="shared" ca="1" si="104"/>
        <v>194.66875816029989</v>
      </c>
      <c r="F1715">
        <f t="shared" ca="1" si="105"/>
        <v>-5.6687581602998875</v>
      </c>
      <c r="G1715">
        <f t="shared" ca="1" si="106"/>
        <v>-2.9120020150495602E-2</v>
      </c>
      <c r="H1715" t="str">
        <f t="shared" ca="1" si="107"/>
        <v>competitive</v>
      </c>
    </row>
    <row r="1716" spans="1:8" x14ac:dyDescent="0.3">
      <c r="A1716" t="s">
        <v>1995</v>
      </c>
      <c r="B1716" t="s">
        <v>227</v>
      </c>
      <c r="C1716">
        <v>109.9</v>
      </c>
      <c r="D1716">
        <v>18.05</v>
      </c>
      <c r="E1716">
        <f t="shared" ca="1" si="104"/>
        <v>119.54508708515247</v>
      </c>
      <c r="F1716">
        <f t="shared" ca="1" si="105"/>
        <v>-9.6450870851524684</v>
      </c>
      <c r="G1716">
        <f t="shared" ca="1" si="106"/>
        <v>-8.0681584834031969E-2</v>
      </c>
      <c r="H1716" t="str">
        <f t="shared" ca="1" si="107"/>
        <v>underprived</v>
      </c>
    </row>
    <row r="1717" spans="1:8" x14ac:dyDescent="0.3">
      <c r="A1717" t="s">
        <v>1996</v>
      </c>
      <c r="B1717" t="s">
        <v>39</v>
      </c>
      <c r="C1717">
        <v>91</v>
      </c>
      <c r="D1717">
        <v>12.98</v>
      </c>
      <c r="E1717">
        <f t="shared" ca="1" si="104"/>
        <v>91.928071803678733</v>
      </c>
      <c r="F1717">
        <f t="shared" ca="1" si="105"/>
        <v>-0.92807180367873343</v>
      </c>
      <c r="G1717">
        <f t="shared" ca="1" si="106"/>
        <v>-1.0095630044984739E-2</v>
      </c>
      <c r="H1717" t="str">
        <f t="shared" ca="1" si="107"/>
        <v>competitive</v>
      </c>
    </row>
    <row r="1718" spans="1:8" x14ac:dyDescent="0.3">
      <c r="A1718" t="s">
        <v>1997</v>
      </c>
      <c r="B1718" t="s">
        <v>640</v>
      </c>
      <c r="C1718">
        <v>45.7</v>
      </c>
      <c r="D1718">
        <v>20.43</v>
      </c>
      <c r="E1718">
        <f t="shared" ca="1" si="104"/>
        <v>45.051199362889463</v>
      </c>
      <c r="F1718">
        <f t="shared" ca="1" si="105"/>
        <v>0.64880063711053992</v>
      </c>
      <c r="G1718">
        <f t="shared" ca="1" si="106"/>
        <v>1.440140653935584E-2</v>
      </c>
      <c r="H1718" t="str">
        <f t="shared" ca="1" si="107"/>
        <v>competitive</v>
      </c>
    </row>
    <row r="1719" spans="1:8" x14ac:dyDescent="0.3">
      <c r="A1719" t="s">
        <v>844</v>
      </c>
      <c r="B1719" t="s">
        <v>845</v>
      </c>
      <c r="C1719">
        <v>120</v>
      </c>
      <c r="D1719">
        <v>16.28</v>
      </c>
      <c r="E1719">
        <f t="shared" ca="1" si="104"/>
        <v>117.08845546573575</v>
      </c>
      <c r="F1719">
        <f t="shared" ca="1" si="105"/>
        <v>2.9115445342642516</v>
      </c>
      <c r="G1719">
        <f t="shared" ca="1" si="106"/>
        <v>2.4866196438266906E-2</v>
      </c>
      <c r="H1719" t="str">
        <f t="shared" ca="1" si="107"/>
        <v>competitive</v>
      </c>
    </row>
    <row r="1720" spans="1:8" x14ac:dyDescent="0.3">
      <c r="A1720" t="s">
        <v>762</v>
      </c>
      <c r="B1720" t="s">
        <v>763</v>
      </c>
      <c r="C1720">
        <v>65</v>
      </c>
      <c r="D1720">
        <v>15.2</v>
      </c>
      <c r="E1720">
        <f t="shared" ca="1" si="104"/>
        <v>66.655600906800828</v>
      </c>
      <c r="F1720">
        <f t="shared" ca="1" si="105"/>
        <v>-1.6556009068008279</v>
      </c>
      <c r="G1720">
        <f t="shared" ca="1" si="106"/>
        <v>-2.4838136394805317E-2</v>
      </c>
      <c r="H1720" t="str">
        <f t="shared" ca="1" si="107"/>
        <v>competitive</v>
      </c>
    </row>
    <row r="1721" spans="1:8" x14ac:dyDescent="0.3">
      <c r="A1721" t="s">
        <v>1998</v>
      </c>
      <c r="B1721" t="s">
        <v>1999</v>
      </c>
      <c r="C1721">
        <v>80</v>
      </c>
      <c r="D1721">
        <v>27.32</v>
      </c>
      <c r="E1721">
        <f t="shared" ca="1" si="104"/>
        <v>76.146048036662705</v>
      </c>
      <c r="F1721">
        <f t="shared" ca="1" si="105"/>
        <v>3.8539519633372947</v>
      </c>
      <c r="G1721">
        <f t="shared" ca="1" si="106"/>
        <v>5.0612632732846476E-2</v>
      </c>
      <c r="H1721" t="str">
        <f t="shared" ca="1" si="107"/>
        <v>overpriced</v>
      </c>
    </row>
    <row r="1722" spans="1:8" x14ac:dyDescent="0.3">
      <c r="A1722" t="s">
        <v>2000</v>
      </c>
      <c r="B1722" t="s">
        <v>2001</v>
      </c>
      <c r="C1722">
        <v>89.9</v>
      </c>
      <c r="D1722">
        <v>1.37</v>
      </c>
      <c r="E1722">
        <f t="shared" ca="1" si="104"/>
        <v>94.062366653811907</v>
      </c>
      <c r="F1722">
        <f t="shared" ca="1" si="105"/>
        <v>-4.1623666538119011</v>
      </c>
      <c r="G1722">
        <f t="shared" ca="1" si="106"/>
        <v>-4.4251136792370083E-2</v>
      </c>
      <c r="H1722" t="str">
        <f t="shared" ca="1" si="107"/>
        <v>competitive</v>
      </c>
    </row>
    <row r="1723" spans="1:8" x14ac:dyDescent="0.3">
      <c r="A1723" t="s">
        <v>2002</v>
      </c>
      <c r="B1723" t="s">
        <v>190</v>
      </c>
      <c r="C1723">
        <v>189</v>
      </c>
      <c r="D1723">
        <v>12.82</v>
      </c>
      <c r="E1723">
        <f t="shared" ca="1" si="104"/>
        <v>203.22172989191083</v>
      </c>
      <c r="F1723">
        <f t="shared" ca="1" si="105"/>
        <v>-14.221729891910826</v>
      </c>
      <c r="G1723">
        <f t="shared" ca="1" si="106"/>
        <v>-6.9981344512100419E-2</v>
      </c>
      <c r="H1723" t="str">
        <f t="shared" ca="1" si="107"/>
        <v>underprived</v>
      </c>
    </row>
    <row r="1724" spans="1:8" x14ac:dyDescent="0.3">
      <c r="A1724" t="s">
        <v>2003</v>
      </c>
      <c r="B1724" t="s">
        <v>609</v>
      </c>
      <c r="C1724">
        <v>24.9</v>
      </c>
      <c r="D1724">
        <v>8.33</v>
      </c>
      <c r="E1724">
        <f t="shared" ca="1" si="104"/>
        <v>24.731619467093296</v>
      </c>
      <c r="F1724">
        <f t="shared" ca="1" si="105"/>
        <v>0.16838053290670274</v>
      </c>
      <c r="G1724">
        <f t="shared" ca="1" si="106"/>
        <v>6.808310031243275E-3</v>
      </c>
      <c r="H1724" t="str">
        <f t="shared" ca="1" si="107"/>
        <v>competitive</v>
      </c>
    </row>
    <row r="1725" spans="1:8" x14ac:dyDescent="0.3">
      <c r="A1725" t="s">
        <v>2004</v>
      </c>
      <c r="B1725" t="s">
        <v>1482</v>
      </c>
      <c r="C1725">
        <v>49.9</v>
      </c>
      <c r="D1725">
        <v>14.1</v>
      </c>
      <c r="E1725">
        <f t="shared" ca="1" si="104"/>
        <v>46.083877833231995</v>
      </c>
      <c r="F1725">
        <f t="shared" ca="1" si="105"/>
        <v>3.8161221667680039</v>
      </c>
      <c r="G1725">
        <f t="shared" ca="1" si="106"/>
        <v>8.280818251835835E-2</v>
      </c>
      <c r="H1725" t="str">
        <f t="shared" ca="1" si="107"/>
        <v>overpriced</v>
      </c>
    </row>
    <row r="1726" spans="1:8" x14ac:dyDescent="0.3">
      <c r="A1726" t="s">
        <v>2005</v>
      </c>
      <c r="B1726" t="s">
        <v>309</v>
      </c>
      <c r="C1726">
        <v>125</v>
      </c>
      <c r="D1726">
        <v>23.45</v>
      </c>
      <c r="E1726">
        <f t="shared" ca="1" si="104"/>
        <v>122.36033067224751</v>
      </c>
      <c r="F1726">
        <f t="shared" ca="1" si="105"/>
        <v>2.6396693277524861</v>
      </c>
      <c r="G1726">
        <f t="shared" ca="1" si="106"/>
        <v>2.1572917572632778E-2</v>
      </c>
      <c r="H1726" t="str">
        <f t="shared" ca="1" si="107"/>
        <v>competitive</v>
      </c>
    </row>
    <row r="1727" spans="1:8" x14ac:dyDescent="0.3">
      <c r="A1727" t="s">
        <v>2006</v>
      </c>
      <c r="B1727" t="s">
        <v>1033</v>
      </c>
      <c r="C1727">
        <v>49.9</v>
      </c>
      <c r="D1727">
        <v>13.71</v>
      </c>
      <c r="E1727">
        <f t="shared" ca="1" si="104"/>
        <v>51.29417181734874</v>
      </c>
      <c r="F1727">
        <f t="shared" ca="1" si="105"/>
        <v>-1.3941718173487416</v>
      </c>
      <c r="G1727">
        <f t="shared" ca="1" si="106"/>
        <v>-2.7179926450770848E-2</v>
      </c>
      <c r="H1727" t="str">
        <f t="shared" ca="1" si="107"/>
        <v>competitive</v>
      </c>
    </row>
    <row r="1728" spans="1:8" x14ac:dyDescent="0.3">
      <c r="A1728" t="s">
        <v>2006</v>
      </c>
      <c r="B1728" t="s">
        <v>1033</v>
      </c>
      <c r="C1728">
        <v>49.9</v>
      </c>
      <c r="D1728">
        <v>13.71</v>
      </c>
      <c r="E1728">
        <f t="shared" ca="1" si="104"/>
        <v>51.829787337326557</v>
      </c>
      <c r="F1728">
        <f t="shared" ca="1" si="105"/>
        <v>-1.9297873373265588</v>
      </c>
      <c r="G1728">
        <f t="shared" ca="1" si="106"/>
        <v>-3.7233171048278113E-2</v>
      </c>
      <c r="H1728" t="str">
        <f t="shared" ca="1" si="107"/>
        <v>competitive</v>
      </c>
    </row>
    <row r="1729" spans="1:8" x14ac:dyDescent="0.3">
      <c r="A1729" t="s">
        <v>2007</v>
      </c>
      <c r="B1729" t="s">
        <v>973</v>
      </c>
      <c r="C1729">
        <v>89.99</v>
      </c>
      <c r="D1729">
        <v>18.2</v>
      </c>
      <c r="E1729">
        <f t="shared" ca="1" si="104"/>
        <v>95.746319061876477</v>
      </c>
      <c r="F1729">
        <f t="shared" ca="1" si="105"/>
        <v>-5.7563190618764821</v>
      </c>
      <c r="G1729">
        <f t="shared" ca="1" si="106"/>
        <v>-6.0120525971932515E-2</v>
      </c>
      <c r="H1729" t="str">
        <f t="shared" ca="1" si="107"/>
        <v>underprived</v>
      </c>
    </row>
    <row r="1730" spans="1:8" x14ac:dyDescent="0.3">
      <c r="A1730" t="s">
        <v>746</v>
      </c>
      <c r="B1730" t="s">
        <v>747</v>
      </c>
      <c r="C1730">
        <v>79.900000000000006</v>
      </c>
      <c r="D1730">
        <v>9.77</v>
      </c>
      <c r="E1730">
        <f t="shared" ca="1" si="104"/>
        <v>84.755445164154565</v>
      </c>
      <c r="F1730">
        <f t="shared" ca="1" si="105"/>
        <v>-4.8554451641545597</v>
      </c>
      <c r="G1730">
        <f t="shared" ca="1" si="106"/>
        <v>-5.7287707648169636E-2</v>
      </c>
      <c r="H1730" t="str">
        <f t="shared" ca="1" si="107"/>
        <v>underprived</v>
      </c>
    </row>
    <row r="1731" spans="1:8" x14ac:dyDescent="0.3">
      <c r="A1731" t="s">
        <v>2008</v>
      </c>
      <c r="B1731" t="s">
        <v>747</v>
      </c>
      <c r="C1731">
        <v>79.900000000000006</v>
      </c>
      <c r="D1731">
        <v>9.77</v>
      </c>
      <c r="E1731">
        <f t="shared" ref="E1731:E1794" ca="1" si="108">C1731*(1+RAND()*0.2-0.1)</f>
        <v>79.343695342258854</v>
      </c>
      <c r="F1731">
        <f t="shared" ref="F1731:F1794" ca="1" si="109">C1731-E1731</f>
        <v>0.55630465774115123</v>
      </c>
      <c r="G1731">
        <f t="shared" ref="G1731:G1794" ca="1" si="110">(C1731-E1731)/E1731</f>
        <v>7.0113278105016687E-3</v>
      </c>
      <c r="H1731" t="str">
        <f t="shared" ref="H1731:H1794" ca="1" si="111">IF(E1731="","competitive",IF(ABS(C1731-E1731)/E1731&lt;=0.05,"competitive",IF(C1731&gt;E1731,"overpriced","underprived")))</f>
        <v>competitive</v>
      </c>
    </row>
    <row r="1732" spans="1:8" x14ac:dyDescent="0.3">
      <c r="A1732" t="s">
        <v>865</v>
      </c>
      <c r="B1732" t="s">
        <v>588</v>
      </c>
      <c r="C1732">
        <v>85.9</v>
      </c>
      <c r="D1732">
        <v>21.09</v>
      </c>
      <c r="E1732">
        <f t="shared" ca="1" si="108"/>
        <v>86.619168788202131</v>
      </c>
      <c r="F1732">
        <f t="shared" ca="1" si="109"/>
        <v>-0.7191687882021256</v>
      </c>
      <c r="G1732">
        <f t="shared" ca="1" si="110"/>
        <v>-8.3026516908816048E-3</v>
      </c>
      <c r="H1732" t="str">
        <f t="shared" ca="1" si="111"/>
        <v>competitive</v>
      </c>
    </row>
    <row r="1733" spans="1:8" x14ac:dyDescent="0.3">
      <c r="A1733" t="s">
        <v>2009</v>
      </c>
      <c r="B1733" t="s">
        <v>209</v>
      </c>
      <c r="C1733">
        <v>169.97</v>
      </c>
      <c r="D1733">
        <v>17.899999999999999</v>
      </c>
      <c r="E1733">
        <f t="shared" ca="1" si="108"/>
        <v>160.85098767762949</v>
      </c>
      <c r="F1733">
        <f t="shared" ca="1" si="109"/>
        <v>9.1190123223705086</v>
      </c>
      <c r="G1733">
        <f t="shared" ca="1" si="110"/>
        <v>5.6692299214515449E-2</v>
      </c>
      <c r="H1733" t="str">
        <f t="shared" ca="1" si="111"/>
        <v>overpriced</v>
      </c>
    </row>
    <row r="1734" spans="1:8" x14ac:dyDescent="0.3">
      <c r="A1734" t="s">
        <v>578</v>
      </c>
      <c r="B1734" t="s">
        <v>31</v>
      </c>
      <c r="C1734">
        <v>49</v>
      </c>
      <c r="D1734">
        <v>17.670000000000002</v>
      </c>
      <c r="E1734">
        <f t="shared" ca="1" si="108"/>
        <v>45.583610767687141</v>
      </c>
      <c r="F1734">
        <f t="shared" ca="1" si="109"/>
        <v>3.4163892323128593</v>
      </c>
      <c r="G1734">
        <f t="shared" ca="1" si="110"/>
        <v>7.4947753694286884E-2</v>
      </c>
      <c r="H1734" t="str">
        <f t="shared" ca="1" si="111"/>
        <v>overpriced</v>
      </c>
    </row>
    <row r="1735" spans="1:8" x14ac:dyDescent="0.3">
      <c r="A1735" t="s">
        <v>84</v>
      </c>
      <c r="B1735" t="s">
        <v>1775</v>
      </c>
      <c r="C1735">
        <v>81.99</v>
      </c>
      <c r="D1735">
        <v>12.07</v>
      </c>
      <c r="E1735">
        <f t="shared" ca="1" si="108"/>
        <v>76.588549655249096</v>
      </c>
      <c r="F1735">
        <f t="shared" ca="1" si="109"/>
        <v>5.4014503447508986</v>
      </c>
      <c r="G1735">
        <f t="shared" ca="1" si="110"/>
        <v>7.0525559878919883E-2</v>
      </c>
      <c r="H1735" t="str">
        <f t="shared" ca="1" si="111"/>
        <v>overpriced</v>
      </c>
    </row>
    <row r="1736" spans="1:8" x14ac:dyDescent="0.3">
      <c r="A1736" t="s">
        <v>84</v>
      </c>
      <c r="B1736" t="s">
        <v>1775</v>
      </c>
      <c r="C1736">
        <v>81.99</v>
      </c>
      <c r="D1736">
        <v>12.07</v>
      </c>
      <c r="E1736">
        <f t="shared" ca="1" si="108"/>
        <v>83.588330196032274</v>
      </c>
      <c r="F1736">
        <f t="shared" ca="1" si="109"/>
        <v>-1.5983301960322791</v>
      </c>
      <c r="G1736">
        <f t="shared" ca="1" si="110"/>
        <v>-1.9121451430885835E-2</v>
      </c>
      <c r="H1736" t="str">
        <f t="shared" ca="1" si="111"/>
        <v>competitive</v>
      </c>
    </row>
    <row r="1737" spans="1:8" x14ac:dyDescent="0.3">
      <c r="A1737" t="s">
        <v>2010</v>
      </c>
      <c r="B1737" t="s">
        <v>1120</v>
      </c>
      <c r="C1737">
        <v>155.9</v>
      </c>
      <c r="D1737">
        <v>45.01</v>
      </c>
      <c r="E1737">
        <f t="shared" ca="1" si="108"/>
        <v>156.30290472557613</v>
      </c>
      <c r="F1737">
        <f t="shared" ca="1" si="109"/>
        <v>-0.40290472557612134</v>
      </c>
      <c r="G1737">
        <f t="shared" ca="1" si="110"/>
        <v>-2.5777174537063691E-3</v>
      </c>
      <c r="H1737" t="str">
        <f t="shared" ca="1" si="111"/>
        <v>competitive</v>
      </c>
    </row>
    <row r="1738" spans="1:8" x14ac:dyDescent="0.3">
      <c r="A1738" t="s">
        <v>2010</v>
      </c>
      <c r="B1738" t="s">
        <v>1120</v>
      </c>
      <c r="C1738">
        <v>155.9</v>
      </c>
      <c r="D1738">
        <v>45.01</v>
      </c>
      <c r="E1738">
        <f t="shared" ca="1" si="108"/>
        <v>154.76996579381623</v>
      </c>
      <c r="F1738">
        <f t="shared" ca="1" si="109"/>
        <v>1.1300342061837796</v>
      </c>
      <c r="G1738">
        <f t="shared" ca="1" si="110"/>
        <v>7.3013791815991318E-3</v>
      </c>
      <c r="H1738" t="str">
        <f t="shared" ca="1" si="111"/>
        <v>competitive</v>
      </c>
    </row>
    <row r="1739" spans="1:8" x14ac:dyDescent="0.3">
      <c r="A1739" t="s">
        <v>68</v>
      </c>
      <c r="B1739" t="s">
        <v>69</v>
      </c>
      <c r="C1739">
        <v>12.5</v>
      </c>
      <c r="D1739">
        <v>15.1</v>
      </c>
      <c r="E1739">
        <f t="shared" ca="1" si="108"/>
        <v>11.649427528847339</v>
      </c>
      <c r="F1739">
        <f t="shared" ca="1" si="109"/>
        <v>0.85057247115266144</v>
      </c>
      <c r="G1739">
        <f t="shared" ca="1" si="110"/>
        <v>7.3014100396470036E-2</v>
      </c>
      <c r="H1739" t="str">
        <f t="shared" ca="1" si="111"/>
        <v>overpriced</v>
      </c>
    </row>
    <row r="1740" spans="1:8" x14ac:dyDescent="0.3">
      <c r="A1740" t="s">
        <v>2011</v>
      </c>
      <c r="B1740" t="s">
        <v>378</v>
      </c>
      <c r="C1740">
        <v>167.92</v>
      </c>
      <c r="D1740">
        <v>12.68</v>
      </c>
      <c r="E1740">
        <f t="shared" ca="1" si="108"/>
        <v>159.71170795641396</v>
      </c>
      <c r="F1740">
        <f t="shared" ca="1" si="109"/>
        <v>8.2082920435860274</v>
      </c>
      <c r="G1740">
        <f t="shared" ca="1" si="110"/>
        <v>5.1394429053542572E-2</v>
      </c>
      <c r="H1740" t="str">
        <f t="shared" ca="1" si="111"/>
        <v>overpriced</v>
      </c>
    </row>
    <row r="1741" spans="1:8" x14ac:dyDescent="0.3">
      <c r="A1741" t="s">
        <v>2012</v>
      </c>
      <c r="B1741" t="s">
        <v>188</v>
      </c>
      <c r="C1741">
        <v>64.89</v>
      </c>
      <c r="D1741">
        <v>8.27</v>
      </c>
      <c r="E1741">
        <f t="shared" ca="1" si="108"/>
        <v>67.046702521084882</v>
      </c>
      <c r="F1741">
        <f t="shared" ca="1" si="109"/>
        <v>-2.1567025210848811</v>
      </c>
      <c r="G1741">
        <f t="shared" ca="1" si="110"/>
        <v>-3.2167167660581669E-2</v>
      </c>
      <c r="H1741" t="str">
        <f t="shared" ca="1" si="111"/>
        <v>competitive</v>
      </c>
    </row>
    <row r="1742" spans="1:8" x14ac:dyDescent="0.3">
      <c r="A1742" t="s">
        <v>2013</v>
      </c>
      <c r="B1742" t="s">
        <v>67</v>
      </c>
      <c r="C1742">
        <v>19.329999999999998</v>
      </c>
      <c r="D1742">
        <v>10.96</v>
      </c>
      <c r="E1742">
        <f t="shared" ca="1" si="108"/>
        <v>20.612555256343175</v>
      </c>
      <c r="F1742">
        <f t="shared" ca="1" si="109"/>
        <v>-1.2825552563431764</v>
      </c>
      <c r="G1742">
        <f t="shared" ca="1" si="110"/>
        <v>-6.2222040906281674E-2</v>
      </c>
      <c r="H1742" t="str">
        <f t="shared" ca="1" si="111"/>
        <v>underprived</v>
      </c>
    </row>
    <row r="1743" spans="1:8" x14ac:dyDescent="0.3">
      <c r="A1743" t="s">
        <v>2014</v>
      </c>
      <c r="B1743" t="s">
        <v>412</v>
      </c>
      <c r="C1743">
        <v>144.41</v>
      </c>
      <c r="D1743">
        <v>17.45</v>
      </c>
      <c r="E1743">
        <f t="shared" ca="1" si="108"/>
        <v>156.62486020809931</v>
      </c>
      <c r="F1743">
        <f t="shared" ca="1" si="109"/>
        <v>-12.21486020809931</v>
      </c>
      <c r="G1743">
        <f t="shared" ca="1" si="110"/>
        <v>-7.7988003895869795E-2</v>
      </c>
      <c r="H1743" t="str">
        <f t="shared" ca="1" si="111"/>
        <v>underprived</v>
      </c>
    </row>
    <row r="1744" spans="1:8" x14ac:dyDescent="0.3">
      <c r="A1744" t="s">
        <v>344</v>
      </c>
      <c r="B1744" t="s">
        <v>111</v>
      </c>
      <c r="C1744">
        <v>90</v>
      </c>
      <c r="D1744">
        <v>8.98</v>
      </c>
      <c r="E1744">
        <f t="shared" ca="1" si="108"/>
        <v>91.688346084480287</v>
      </c>
      <c r="F1744">
        <f t="shared" ca="1" si="109"/>
        <v>-1.6883460844802869</v>
      </c>
      <c r="G1744">
        <f t="shared" ca="1" si="110"/>
        <v>-1.8413965968201343E-2</v>
      </c>
      <c r="H1744" t="str">
        <f t="shared" ca="1" si="111"/>
        <v>competitive</v>
      </c>
    </row>
    <row r="1745" spans="1:8" x14ac:dyDescent="0.3">
      <c r="A1745" t="s">
        <v>2015</v>
      </c>
      <c r="B1745" t="s">
        <v>267</v>
      </c>
      <c r="C1745">
        <v>130</v>
      </c>
      <c r="D1745">
        <v>17.350000000000001</v>
      </c>
      <c r="E1745">
        <f t="shared" ca="1" si="108"/>
        <v>142.70089635319397</v>
      </c>
      <c r="F1745">
        <f t="shared" ca="1" si="109"/>
        <v>-12.700896353193968</v>
      </c>
      <c r="G1745">
        <f t="shared" ca="1" si="110"/>
        <v>-8.90036200036083E-2</v>
      </c>
      <c r="H1745" t="str">
        <f t="shared" ca="1" si="111"/>
        <v>underprived</v>
      </c>
    </row>
    <row r="1746" spans="1:8" x14ac:dyDescent="0.3">
      <c r="A1746" t="s">
        <v>2016</v>
      </c>
      <c r="B1746" t="s">
        <v>1191</v>
      </c>
      <c r="C1746">
        <v>39</v>
      </c>
      <c r="D1746">
        <v>18.23</v>
      </c>
      <c r="E1746">
        <f t="shared" ca="1" si="108"/>
        <v>41.817403195981015</v>
      </c>
      <c r="F1746">
        <f t="shared" ca="1" si="109"/>
        <v>-2.8174031959810151</v>
      </c>
      <c r="G1746">
        <f t="shared" ca="1" si="110"/>
        <v>-6.7373939571928984E-2</v>
      </c>
      <c r="H1746" t="str">
        <f t="shared" ca="1" si="111"/>
        <v>underprived</v>
      </c>
    </row>
    <row r="1747" spans="1:8" x14ac:dyDescent="0.3">
      <c r="A1747" t="s">
        <v>2017</v>
      </c>
      <c r="B1747" t="s">
        <v>1439</v>
      </c>
      <c r="C1747">
        <v>89.9</v>
      </c>
      <c r="D1747">
        <v>19.82</v>
      </c>
      <c r="E1747">
        <f t="shared" ca="1" si="108"/>
        <v>94.067197821709385</v>
      </c>
      <c r="F1747">
        <f t="shared" ca="1" si="109"/>
        <v>-4.1671978217093795</v>
      </c>
      <c r="G1747">
        <f t="shared" ca="1" si="110"/>
        <v>-4.4300222800382483E-2</v>
      </c>
      <c r="H1747" t="str">
        <f t="shared" ca="1" si="111"/>
        <v>competitive</v>
      </c>
    </row>
    <row r="1748" spans="1:8" x14ac:dyDescent="0.3">
      <c r="A1748" t="s">
        <v>2018</v>
      </c>
      <c r="B1748" t="s">
        <v>2019</v>
      </c>
      <c r="C1748">
        <v>109.99</v>
      </c>
      <c r="D1748">
        <v>16.21</v>
      </c>
      <c r="E1748">
        <f t="shared" ca="1" si="108"/>
        <v>112.38842065948135</v>
      </c>
      <c r="F1748">
        <f t="shared" ca="1" si="109"/>
        <v>-2.39842065948136</v>
      </c>
      <c r="G1748">
        <f t="shared" ca="1" si="110"/>
        <v>-2.1340460568871102E-2</v>
      </c>
      <c r="H1748" t="str">
        <f t="shared" ca="1" si="111"/>
        <v>competitive</v>
      </c>
    </row>
    <row r="1749" spans="1:8" x14ac:dyDescent="0.3">
      <c r="A1749" t="s">
        <v>2020</v>
      </c>
      <c r="B1749" t="s">
        <v>416</v>
      </c>
      <c r="C1749">
        <v>34.99</v>
      </c>
      <c r="D1749">
        <v>10.96</v>
      </c>
      <c r="E1749">
        <f t="shared" ca="1" si="108"/>
        <v>34.73310871992723</v>
      </c>
      <c r="F1749">
        <f t="shared" ca="1" si="109"/>
        <v>0.25689128007277162</v>
      </c>
      <c r="G1749">
        <f t="shared" ca="1" si="110"/>
        <v>7.3961499428177252E-3</v>
      </c>
      <c r="H1749" t="str">
        <f t="shared" ca="1" si="111"/>
        <v>competitive</v>
      </c>
    </row>
    <row r="1750" spans="1:8" x14ac:dyDescent="0.3">
      <c r="A1750" t="s">
        <v>1147</v>
      </c>
      <c r="B1750" t="s">
        <v>39</v>
      </c>
      <c r="C1750">
        <v>107</v>
      </c>
      <c r="D1750">
        <v>12.25</v>
      </c>
      <c r="E1750">
        <f t="shared" ca="1" si="108"/>
        <v>103.25409140904974</v>
      </c>
      <c r="F1750">
        <f t="shared" ca="1" si="109"/>
        <v>3.7459085909502647</v>
      </c>
      <c r="G1750">
        <f t="shared" ca="1" si="110"/>
        <v>3.6278548770629672E-2</v>
      </c>
      <c r="H1750" t="str">
        <f t="shared" ca="1" si="111"/>
        <v>competitive</v>
      </c>
    </row>
    <row r="1751" spans="1:8" x14ac:dyDescent="0.3">
      <c r="A1751" t="s">
        <v>2021</v>
      </c>
      <c r="B1751" t="s">
        <v>223</v>
      </c>
      <c r="C1751">
        <v>110.32</v>
      </c>
      <c r="D1751">
        <v>7.96</v>
      </c>
      <c r="E1751">
        <f t="shared" ca="1" si="108"/>
        <v>102.05777887243495</v>
      </c>
      <c r="F1751">
        <f t="shared" ca="1" si="109"/>
        <v>8.2622211275650415</v>
      </c>
      <c r="G1751">
        <f t="shared" ca="1" si="110"/>
        <v>8.0956309444008542E-2</v>
      </c>
      <c r="H1751" t="str">
        <f t="shared" ca="1" si="111"/>
        <v>overpriced</v>
      </c>
    </row>
    <row r="1752" spans="1:8" x14ac:dyDescent="0.3">
      <c r="A1752" t="s">
        <v>2021</v>
      </c>
      <c r="B1752" t="s">
        <v>223</v>
      </c>
      <c r="C1752">
        <v>110.32</v>
      </c>
      <c r="D1752">
        <v>7.96</v>
      </c>
      <c r="E1752">
        <f t="shared" ca="1" si="108"/>
        <v>108.29162445235271</v>
      </c>
      <c r="F1752">
        <f t="shared" ca="1" si="109"/>
        <v>2.0283755476472862</v>
      </c>
      <c r="G1752">
        <f t="shared" ca="1" si="110"/>
        <v>1.8730677999384451E-2</v>
      </c>
      <c r="H1752" t="str">
        <f t="shared" ca="1" si="111"/>
        <v>competitive</v>
      </c>
    </row>
    <row r="1753" spans="1:8" x14ac:dyDescent="0.3">
      <c r="A1753" t="s">
        <v>2022</v>
      </c>
      <c r="B1753" t="s">
        <v>640</v>
      </c>
      <c r="C1753">
        <v>649</v>
      </c>
      <c r="D1753">
        <v>169.12</v>
      </c>
      <c r="E1753">
        <f t="shared" ca="1" si="108"/>
        <v>694.59261268830141</v>
      </c>
      <c r="F1753">
        <f t="shared" ca="1" si="109"/>
        <v>-45.592612688301415</v>
      </c>
      <c r="G1753">
        <f t="shared" ca="1" si="110"/>
        <v>-6.5639357308801535E-2</v>
      </c>
      <c r="H1753" t="str">
        <f t="shared" ca="1" si="111"/>
        <v>underprived</v>
      </c>
    </row>
    <row r="1754" spans="1:8" x14ac:dyDescent="0.3">
      <c r="A1754" t="s">
        <v>2023</v>
      </c>
      <c r="B1754" t="s">
        <v>2024</v>
      </c>
      <c r="C1754">
        <v>19.899999999999999</v>
      </c>
      <c r="D1754">
        <v>25.38</v>
      </c>
      <c r="E1754">
        <f t="shared" ca="1" si="108"/>
        <v>19.727982708861603</v>
      </c>
      <c r="F1754">
        <f t="shared" ca="1" si="109"/>
        <v>0.17201729113839548</v>
      </c>
      <c r="G1754">
        <f t="shared" ca="1" si="110"/>
        <v>8.7194567065961136E-3</v>
      </c>
      <c r="H1754" t="str">
        <f t="shared" ca="1" si="111"/>
        <v>competitive</v>
      </c>
    </row>
    <row r="1755" spans="1:8" x14ac:dyDescent="0.3">
      <c r="A1755" t="s">
        <v>511</v>
      </c>
      <c r="B1755" t="s">
        <v>390</v>
      </c>
      <c r="C1755">
        <v>44.55</v>
      </c>
      <c r="D1755">
        <v>11.74</v>
      </c>
      <c r="E1755">
        <f t="shared" ca="1" si="108"/>
        <v>43.25345865950559</v>
      </c>
      <c r="F1755">
        <f t="shared" ca="1" si="109"/>
        <v>1.2965413404944073</v>
      </c>
      <c r="G1755">
        <f t="shared" ca="1" si="110"/>
        <v>2.9975437356371339E-2</v>
      </c>
      <c r="H1755" t="str">
        <f t="shared" ca="1" si="111"/>
        <v>competitive</v>
      </c>
    </row>
    <row r="1756" spans="1:8" x14ac:dyDescent="0.3">
      <c r="A1756" t="s">
        <v>843</v>
      </c>
      <c r="B1756" t="s">
        <v>25</v>
      </c>
      <c r="C1756">
        <v>58.99</v>
      </c>
      <c r="D1756">
        <v>11.73</v>
      </c>
      <c r="E1756">
        <f t="shared" ca="1" si="108"/>
        <v>60.817328258433307</v>
      </c>
      <c r="F1756">
        <f t="shared" ca="1" si="109"/>
        <v>-1.8273282584333046</v>
      </c>
      <c r="G1756">
        <f t="shared" ca="1" si="110"/>
        <v>-3.0046177804266105E-2</v>
      </c>
      <c r="H1756" t="str">
        <f t="shared" ca="1" si="111"/>
        <v>competitive</v>
      </c>
    </row>
    <row r="1757" spans="1:8" x14ac:dyDescent="0.3">
      <c r="A1757" t="s">
        <v>2025</v>
      </c>
      <c r="B1757" t="s">
        <v>2026</v>
      </c>
      <c r="C1757">
        <v>109.9</v>
      </c>
      <c r="D1757">
        <v>14.52</v>
      </c>
      <c r="E1757">
        <f t="shared" ca="1" si="108"/>
        <v>102.28010159826378</v>
      </c>
      <c r="F1757">
        <f t="shared" ca="1" si="109"/>
        <v>7.6198984017362221</v>
      </c>
      <c r="G1757">
        <f t="shared" ca="1" si="110"/>
        <v>7.4500301453216108E-2</v>
      </c>
      <c r="H1757" t="str">
        <f t="shared" ca="1" si="111"/>
        <v>overpriced</v>
      </c>
    </row>
    <row r="1758" spans="1:8" x14ac:dyDescent="0.3">
      <c r="A1758" t="s">
        <v>2027</v>
      </c>
      <c r="B1758" t="s">
        <v>141</v>
      </c>
      <c r="C1758">
        <v>56.99</v>
      </c>
      <c r="D1758">
        <v>13.98</v>
      </c>
      <c r="E1758">
        <f t="shared" ca="1" si="108"/>
        <v>52.292404608685317</v>
      </c>
      <c r="F1758">
        <f t="shared" ca="1" si="109"/>
        <v>4.6975953913146853</v>
      </c>
      <c r="G1758">
        <f t="shared" ca="1" si="110"/>
        <v>8.9833225809135109E-2</v>
      </c>
      <c r="H1758" t="str">
        <f t="shared" ca="1" si="111"/>
        <v>overpriced</v>
      </c>
    </row>
    <row r="1759" spans="1:8" x14ac:dyDescent="0.3">
      <c r="A1759" t="s">
        <v>1798</v>
      </c>
      <c r="B1759" t="s">
        <v>1799</v>
      </c>
      <c r="C1759">
        <v>169.99</v>
      </c>
      <c r="D1759">
        <v>36.51</v>
      </c>
      <c r="E1759">
        <f t="shared" ca="1" si="108"/>
        <v>180.0613755372338</v>
      </c>
      <c r="F1759">
        <f t="shared" ca="1" si="109"/>
        <v>-10.071375537233791</v>
      </c>
      <c r="G1759">
        <f t="shared" ca="1" si="110"/>
        <v>-5.5933014546760432E-2</v>
      </c>
      <c r="H1759" t="str">
        <f t="shared" ca="1" si="111"/>
        <v>underprived</v>
      </c>
    </row>
    <row r="1760" spans="1:8" x14ac:dyDescent="0.3">
      <c r="A1760" t="s">
        <v>28</v>
      </c>
      <c r="B1760" t="s">
        <v>29</v>
      </c>
      <c r="C1760">
        <v>89.9</v>
      </c>
      <c r="D1760">
        <v>12.13</v>
      </c>
      <c r="E1760">
        <f t="shared" ca="1" si="108"/>
        <v>95.374005004421662</v>
      </c>
      <c r="F1760">
        <f t="shared" ca="1" si="109"/>
        <v>-5.4740050044216559</v>
      </c>
      <c r="G1760">
        <f t="shared" ca="1" si="110"/>
        <v>-5.7395146656239023E-2</v>
      </c>
      <c r="H1760" t="str">
        <f t="shared" ca="1" si="111"/>
        <v>underprived</v>
      </c>
    </row>
    <row r="1761" spans="1:8" x14ac:dyDescent="0.3">
      <c r="A1761" t="s">
        <v>2028</v>
      </c>
      <c r="B1761" t="s">
        <v>747</v>
      </c>
      <c r="C1761">
        <v>259.89999999999998</v>
      </c>
      <c r="D1761">
        <v>15.29</v>
      </c>
      <c r="E1761">
        <f t="shared" ca="1" si="108"/>
        <v>249.86473017876673</v>
      </c>
      <c r="F1761">
        <f t="shared" ca="1" si="109"/>
        <v>10.035269821233243</v>
      </c>
      <c r="G1761">
        <f t="shared" ca="1" si="110"/>
        <v>4.0162810549746131E-2</v>
      </c>
      <c r="H1761" t="str">
        <f t="shared" ca="1" si="111"/>
        <v>competitive</v>
      </c>
    </row>
    <row r="1762" spans="1:8" x14ac:dyDescent="0.3">
      <c r="A1762" t="s">
        <v>2029</v>
      </c>
      <c r="B1762" t="s">
        <v>2030</v>
      </c>
      <c r="C1762">
        <v>297</v>
      </c>
      <c r="D1762">
        <v>66.31</v>
      </c>
      <c r="E1762">
        <f t="shared" ca="1" si="108"/>
        <v>268.98380905559151</v>
      </c>
      <c r="F1762">
        <f t="shared" ca="1" si="109"/>
        <v>28.016190944408493</v>
      </c>
      <c r="G1762">
        <f t="shared" ca="1" si="110"/>
        <v>0.10415567778140253</v>
      </c>
      <c r="H1762" t="str">
        <f t="shared" ca="1" si="111"/>
        <v>overpriced</v>
      </c>
    </row>
    <row r="1763" spans="1:8" x14ac:dyDescent="0.3">
      <c r="A1763" t="s">
        <v>2031</v>
      </c>
      <c r="B1763" t="s">
        <v>401</v>
      </c>
      <c r="C1763">
        <v>19.489999999999998</v>
      </c>
      <c r="D1763">
        <v>18.23</v>
      </c>
      <c r="E1763">
        <f t="shared" ca="1" si="108"/>
        <v>18.004802944013626</v>
      </c>
      <c r="F1763">
        <f t="shared" ca="1" si="109"/>
        <v>1.4851970559863723</v>
      </c>
      <c r="G1763">
        <f t="shared" ca="1" si="110"/>
        <v>8.2488937013341868E-2</v>
      </c>
      <c r="H1763" t="str">
        <f t="shared" ca="1" si="111"/>
        <v>overpriced</v>
      </c>
    </row>
    <row r="1764" spans="1:8" x14ac:dyDescent="0.3">
      <c r="A1764" t="s">
        <v>2032</v>
      </c>
      <c r="B1764" t="s">
        <v>628</v>
      </c>
      <c r="C1764">
        <v>159.99</v>
      </c>
      <c r="D1764">
        <v>27.2</v>
      </c>
      <c r="E1764">
        <f t="shared" ca="1" si="108"/>
        <v>167.27969182420327</v>
      </c>
      <c r="F1764">
        <f t="shared" ca="1" si="109"/>
        <v>-7.2896918242032598</v>
      </c>
      <c r="G1764">
        <f t="shared" ca="1" si="110"/>
        <v>-4.3577864979952891E-2</v>
      </c>
      <c r="H1764" t="str">
        <f t="shared" ca="1" si="111"/>
        <v>competitive</v>
      </c>
    </row>
    <row r="1765" spans="1:8" x14ac:dyDescent="0.3">
      <c r="A1765" t="s">
        <v>2033</v>
      </c>
      <c r="B1765" t="s">
        <v>125</v>
      </c>
      <c r="C1765">
        <v>69</v>
      </c>
      <c r="D1765">
        <v>12.92</v>
      </c>
      <c r="E1765">
        <f t="shared" ca="1" si="108"/>
        <v>65.48785674996644</v>
      </c>
      <c r="F1765">
        <f t="shared" ca="1" si="109"/>
        <v>3.5121432500335601</v>
      </c>
      <c r="G1765">
        <f t="shared" ca="1" si="110"/>
        <v>5.3630450351169263E-2</v>
      </c>
      <c r="H1765" t="str">
        <f t="shared" ca="1" si="111"/>
        <v>overpriced</v>
      </c>
    </row>
    <row r="1766" spans="1:8" x14ac:dyDescent="0.3">
      <c r="A1766" t="s">
        <v>2034</v>
      </c>
      <c r="B1766" t="s">
        <v>366</v>
      </c>
      <c r="C1766">
        <v>89.9</v>
      </c>
      <c r="D1766">
        <v>19.600000000000001</v>
      </c>
      <c r="E1766">
        <f t="shared" ca="1" si="108"/>
        <v>88.645375086501474</v>
      </c>
      <c r="F1766">
        <f t="shared" ca="1" si="109"/>
        <v>1.2546249134985317</v>
      </c>
      <c r="G1766">
        <f t="shared" ca="1" si="110"/>
        <v>1.4153303680809632E-2</v>
      </c>
      <c r="H1766" t="str">
        <f t="shared" ca="1" si="111"/>
        <v>competitive</v>
      </c>
    </row>
    <row r="1767" spans="1:8" x14ac:dyDescent="0.3">
      <c r="A1767" t="s">
        <v>596</v>
      </c>
      <c r="B1767" t="s">
        <v>438</v>
      </c>
      <c r="C1767">
        <v>35</v>
      </c>
      <c r="D1767">
        <v>13.83</v>
      </c>
      <c r="E1767">
        <f t="shared" ca="1" si="108"/>
        <v>37.850632030058044</v>
      </c>
      <c r="F1767">
        <f t="shared" ca="1" si="109"/>
        <v>-2.8506320300580441</v>
      </c>
      <c r="G1767">
        <f t="shared" ca="1" si="110"/>
        <v>-7.5312666583593438E-2</v>
      </c>
      <c r="H1767" t="str">
        <f t="shared" ca="1" si="111"/>
        <v>underprived</v>
      </c>
    </row>
    <row r="1768" spans="1:8" x14ac:dyDescent="0.3">
      <c r="A1768" t="s">
        <v>596</v>
      </c>
      <c r="B1768" t="s">
        <v>438</v>
      </c>
      <c r="C1768">
        <v>35</v>
      </c>
      <c r="D1768">
        <v>13.83</v>
      </c>
      <c r="E1768">
        <f t="shared" ca="1" si="108"/>
        <v>31.572505177773689</v>
      </c>
      <c r="F1768">
        <f t="shared" ca="1" si="109"/>
        <v>3.4274948222263113</v>
      </c>
      <c r="G1768">
        <f t="shared" ca="1" si="110"/>
        <v>0.10855948246511614</v>
      </c>
      <c r="H1768" t="str">
        <f t="shared" ca="1" si="111"/>
        <v>overpriced</v>
      </c>
    </row>
    <row r="1769" spans="1:8" x14ac:dyDescent="0.3">
      <c r="A1769" t="s">
        <v>1292</v>
      </c>
      <c r="B1769" t="s">
        <v>200</v>
      </c>
      <c r="C1769">
        <v>118</v>
      </c>
      <c r="D1769">
        <v>21.01</v>
      </c>
      <c r="E1769">
        <f t="shared" ca="1" si="108"/>
        <v>121.02887095069811</v>
      </c>
      <c r="F1769">
        <f t="shared" ca="1" si="109"/>
        <v>-3.0288709506981064</v>
      </c>
      <c r="G1769">
        <f t="shared" ca="1" si="110"/>
        <v>-2.5026020047166569E-2</v>
      </c>
      <c r="H1769" t="str">
        <f t="shared" ca="1" si="111"/>
        <v>competitive</v>
      </c>
    </row>
    <row r="1770" spans="1:8" x14ac:dyDescent="0.3">
      <c r="A1770" t="s">
        <v>477</v>
      </c>
      <c r="B1770" t="s">
        <v>196</v>
      </c>
      <c r="C1770">
        <v>98.81</v>
      </c>
      <c r="D1770">
        <v>13.81</v>
      </c>
      <c r="E1770">
        <f t="shared" ca="1" si="108"/>
        <v>105.10954645669435</v>
      </c>
      <c r="F1770">
        <f t="shared" ca="1" si="109"/>
        <v>-6.299546456694344</v>
      </c>
      <c r="G1770">
        <f t="shared" ca="1" si="110"/>
        <v>-5.99331523068629E-2</v>
      </c>
      <c r="H1770" t="str">
        <f t="shared" ca="1" si="111"/>
        <v>underprived</v>
      </c>
    </row>
    <row r="1771" spans="1:8" x14ac:dyDescent="0.3">
      <c r="A1771" t="s">
        <v>1146</v>
      </c>
      <c r="B1771" t="s">
        <v>61</v>
      </c>
      <c r="C1771">
        <v>38.5</v>
      </c>
      <c r="D1771">
        <v>17.920000000000002</v>
      </c>
      <c r="E1771">
        <f t="shared" ca="1" si="108"/>
        <v>36.623784497295539</v>
      </c>
      <c r="F1771">
        <f t="shared" ca="1" si="109"/>
        <v>1.8762155027044614</v>
      </c>
      <c r="G1771">
        <f t="shared" ca="1" si="110"/>
        <v>5.1229427227626065E-2</v>
      </c>
      <c r="H1771" t="str">
        <f t="shared" ca="1" si="111"/>
        <v>overpriced</v>
      </c>
    </row>
    <row r="1772" spans="1:8" x14ac:dyDescent="0.3">
      <c r="A1772" t="s">
        <v>1146</v>
      </c>
      <c r="B1772" t="s">
        <v>61</v>
      </c>
      <c r="C1772">
        <v>38.5</v>
      </c>
      <c r="D1772">
        <v>17.920000000000002</v>
      </c>
      <c r="E1772">
        <f t="shared" ca="1" si="108"/>
        <v>40.161149684362478</v>
      </c>
      <c r="F1772">
        <f t="shared" ca="1" si="109"/>
        <v>-1.6611496843624778</v>
      </c>
      <c r="G1772">
        <f t="shared" ca="1" si="110"/>
        <v>-4.136210485551111E-2</v>
      </c>
      <c r="H1772" t="str">
        <f t="shared" ca="1" si="111"/>
        <v>competitive</v>
      </c>
    </row>
    <row r="1773" spans="1:8" x14ac:dyDescent="0.3">
      <c r="A1773" t="s">
        <v>2035</v>
      </c>
      <c r="B1773" t="s">
        <v>307</v>
      </c>
      <c r="C1773">
        <v>105</v>
      </c>
      <c r="D1773">
        <v>25.82</v>
      </c>
      <c r="E1773">
        <f t="shared" ca="1" si="108"/>
        <v>109.84568934124411</v>
      </c>
      <c r="F1773">
        <f t="shared" ca="1" si="109"/>
        <v>-4.8456893412441104</v>
      </c>
      <c r="G1773">
        <f t="shared" ca="1" si="110"/>
        <v>-4.4113604915260743E-2</v>
      </c>
      <c r="H1773" t="str">
        <f t="shared" ca="1" si="111"/>
        <v>competitive</v>
      </c>
    </row>
    <row r="1774" spans="1:8" x14ac:dyDescent="0.3">
      <c r="A1774" t="s">
        <v>2036</v>
      </c>
      <c r="B1774" t="s">
        <v>1287</v>
      </c>
      <c r="C1774">
        <v>35</v>
      </c>
      <c r="D1774">
        <v>8.06</v>
      </c>
      <c r="E1774">
        <f t="shared" ca="1" si="108"/>
        <v>32.494867951653283</v>
      </c>
      <c r="F1774">
        <f t="shared" ca="1" si="109"/>
        <v>2.5051320483467165</v>
      </c>
      <c r="G1774">
        <f t="shared" ca="1" si="110"/>
        <v>7.7093159820618984E-2</v>
      </c>
      <c r="H1774" t="str">
        <f t="shared" ca="1" si="111"/>
        <v>overpriced</v>
      </c>
    </row>
    <row r="1775" spans="1:8" x14ac:dyDescent="0.3">
      <c r="A1775" t="s">
        <v>398</v>
      </c>
      <c r="B1775" t="s">
        <v>25</v>
      </c>
      <c r="C1775">
        <v>79.989999999999995</v>
      </c>
      <c r="D1775">
        <v>15.32</v>
      </c>
      <c r="E1775">
        <f t="shared" ca="1" si="108"/>
        <v>83.334282536322689</v>
      </c>
      <c r="F1775">
        <f t="shared" ca="1" si="109"/>
        <v>-3.3442825363226945</v>
      </c>
      <c r="G1775">
        <f t="shared" ca="1" si="110"/>
        <v>-4.0130933327049777E-2</v>
      </c>
      <c r="H1775" t="str">
        <f t="shared" ca="1" si="111"/>
        <v>competitive</v>
      </c>
    </row>
    <row r="1776" spans="1:8" x14ac:dyDescent="0.3">
      <c r="A1776" t="s">
        <v>2037</v>
      </c>
      <c r="B1776" t="s">
        <v>948</v>
      </c>
      <c r="C1776">
        <v>887</v>
      </c>
      <c r="D1776">
        <v>26.7</v>
      </c>
      <c r="E1776">
        <f t="shared" ca="1" si="108"/>
        <v>814.71840366097456</v>
      </c>
      <c r="F1776">
        <f t="shared" ca="1" si="109"/>
        <v>72.281596339025441</v>
      </c>
      <c r="G1776">
        <f t="shared" ca="1" si="110"/>
        <v>8.8719729435624339E-2</v>
      </c>
      <c r="H1776" t="str">
        <f t="shared" ca="1" si="111"/>
        <v>overpriced</v>
      </c>
    </row>
    <row r="1777" spans="1:8" x14ac:dyDescent="0.3">
      <c r="A1777" t="s">
        <v>761</v>
      </c>
      <c r="B1777" t="s">
        <v>109</v>
      </c>
      <c r="C1777">
        <v>69.989999999999995</v>
      </c>
      <c r="D1777">
        <v>8.65</v>
      </c>
      <c r="E1777">
        <f t="shared" ca="1" si="108"/>
        <v>67.820572182184904</v>
      </c>
      <c r="F1777">
        <f t="shared" ca="1" si="109"/>
        <v>2.169427817815091</v>
      </c>
      <c r="G1777">
        <f t="shared" ca="1" si="110"/>
        <v>3.1987754570801982E-2</v>
      </c>
      <c r="H1777" t="str">
        <f t="shared" ca="1" si="111"/>
        <v>competitive</v>
      </c>
    </row>
    <row r="1778" spans="1:8" x14ac:dyDescent="0.3">
      <c r="A1778" t="s">
        <v>1126</v>
      </c>
      <c r="B1778" t="s">
        <v>227</v>
      </c>
      <c r="C1778">
        <v>55.9</v>
      </c>
      <c r="D1778">
        <v>15.14</v>
      </c>
      <c r="E1778">
        <f t="shared" ca="1" si="108"/>
        <v>54.744190976031213</v>
      </c>
      <c r="F1778">
        <f t="shared" ca="1" si="109"/>
        <v>1.1558090239687857</v>
      </c>
      <c r="G1778">
        <f t="shared" ca="1" si="110"/>
        <v>2.1112907202790458E-2</v>
      </c>
      <c r="H1778" t="str">
        <f t="shared" ca="1" si="111"/>
        <v>competitive</v>
      </c>
    </row>
    <row r="1779" spans="1:8" x14ac:dyDescent="0.3">
      <c r="A1779" t="s">
        <v>2038</v>
      </c>
      <c r="B1779" t="s">
        <v>2039</v>
      </c>
      <c r="C1779">
        <v>23.99</v>
      </c>
      <c r="D1779">
        <v>16.11</v>
      </c>
      <c r="E1779">
        <f t="shared" ca="1" si="108"/>
        <v>25.161523358995531</v>
      </c>
      <c r="F1779">
        <f t="shared" ca="1" si="109"/>
        <v>-1.1715233589955325</v>
      </c>
      <c r="G1779">
        <f t="shared" ca="1" si="110"/>
        <v>-4.6560112528985634E-2</v>
      </c>
      <c r="H1779" t="str">
        <f t="shared" ca="1" si="111"/>
        <v>competitive</v>
      </c>
    </row>
    <row r="1780" spans="1:8" x14ac:dyDescent="0.3">
      <c r="A1780" t="s">
        <v>2040</v>
      </c>
      <c r="B1780" t="s">
        <v>2041</v>
      </c>
      <c r="C1780">
        <v>64.900000000000006</v>
      </c>
      <c r="D1780">
        <v>13.47</v>
      </c>
      <c r="E1780">
        <f t="shared" ca="1" si="108"/>
        <v>66.151297460612966</v>
      </c>
      <c r="F1780">
        <f t="shared" ca="1" si="109"/>
        <v>-1.2512974606129603</v>
      </c>
      <c r="G1780">
        <f t="shared" ca="1" si="110"/>
        <v>-1.891569037414562E-2</v>
      </c>
      <c r="H1780" t="str">
        <f t="shared" ca="1" si="111"/>
        <v>competitive</v>
      </c>
    </row>
    <row r="1781" spans="1:8" x14ac:dyDescent="0.3">
      <c r="A1781" t="s">
        <v>2042</v>
      </c>
      <c r="B1781" t="s">
        <v>101</v>
      </c>
      <c r="C1781">
        <v>234.9</v>
      </c>
      <c r="D1781">
        <v>20.61</v>
      </c>
      <c r="E1781">
        <f t="shared" ca="1" si="108"/>
        <v>226.97414895531927</v>
      </c>
      <c r="F1781">
        <f t="shared" ca="1" si="109"/>
        <v>7.9258510446807406</v>
      </c>
      <c r="G1781">
        <f t="shared" ca="1" si="110"/>
        <v>3.4919620058762618E-2</v>
      </c>
      <c r="H1781" t="str">
        <f t="shared" ca="1" si="111"/>
        <v>competitive</v>
      </c>
    </row>
    <row r="1782" spans="1:8" x14ac:dyDescent="0.3">
      <c r="A1782" t="s">
        <v>2043</v>
      </c>
      <c r="B1782" t="s">
        <v>117</v>
      </c>
      <c r="C1782">
        <v>199</v>
      </c>
      <c r="D1782">
        <v>18.64</v>
      </c>
      <c r="E1782">
        <f t="shared" ca="1" si="108"/>
        <v>207.34473501944251</v>
      </c>
      <c r="F1782">
        <f t="shared" ca="1" si="109"/>
        <v>-8.3447350194425098</v>
      </c>
      <c r="G1782">
        <f t="shared" ca="1" si="110"/>
        <v>-4.0245704906179715E-2</v>
      </c>
      <c r="H1782" t="str">
        <f t="shared" ca="1" si="111"/>
        <v>competitive</v>
      </c>
    </row>
    <row r="1783" spans="1:8" x14ac:dyDescent="0.3">
      <c r="A1783" t="s">
        <v>407</v>
      </c>
      <c r="B1783" t="s">
        <v>408</v>
      </c>
      <c r="C1783">
        <v>24.5</v>
      </c>
      <c r="D1783">
        <v>11.85</v>
      </c>
      <c r="E1783">
        <f t="shared" ca="1" si="108"/>
        <v>22.931992687290517</v>
      </c>
      <c r="F1783">
        <f t="shared" ca="1" si="109"/>
        <v>1.5680073127094829</v>
      </c>
      <c r="G1783">
        <f t="shared" ca="1" si="110"/>
        <v>6.837640906708084E-2</v>
      </c>
      <c r="H1783" t="str">
        <f t="shared" ca="1" si="111"/>
        <v>overpriced</v>
      </c>
    </row>
    <row r="1784" spans="1:8" x14ac:dyDescent="0.3">
      <c r="A1784" t="s">
        <v>2044</v>
      </c>
      <c r="B1784" t="s">
        <v>322</v>
      </c>
      <c r="C1784">
        <v>79.900000000000006</v>
      </c>
      <c r="D1784">
        <v>13</v>
      </c>
      <c r="E1784">
        <f t="shared" ca="1" si="108"/>
        <v>74.234342544767571</v>
      </c>
      <c r="F1784">
        <f t="shared" ca="1" si="109"/>
        <v>5.6656574552324344</v>
      </c>
      <c r="G1784">
        <f t="shared" ca="1" si="110"/>
        <v>7.6321245140895777E-2</v>
      </c>
      <c r="H1784" t="str">
        <f t="shared" ca="1" si="111"/>
        <v>overpriced</v>
      </c>
    </row>
    <row r="1785" spans="1:8" x14ac:dyDescent="0.3">
      <c r="A1785" t="s">
        <v>2045</v>
      </c>
      <c r="B1785" t="s">
        <v>2046</v>
      </c>
      <c r="C1785">
        <v>519</v>
      </c>
      <c r="D1785">
        <v>37.69</v>
      </c>
      <c r="E1785">
        <f t="shared" ca="1" si="108"/>
        <v>549.13699087392797</v>
      </c>
      <c r="F1785">
        <f t="shared" ca="1" si="109"/>
        <v>-30.136990873927971</v>
      </c>
      <c r="G1785">
        <f t="shared" ca="1" si="110"/>
        <v>-5.4880642489529327E-2</v>
      </c>
      <c r="H1785" t="str">
        <f t="shared" ca="1" si="111"/>
        <v>underprived</v>
      </c>
    </row>
    <row r="1786" spans="1:8" x14ac:dyDescent="0.3">
      <c r="A1786" t="s">
        <v>417</v>
      </c>
      <c r="B1786" t="s">
        <v>111</v>
      </c>
      <c r="C1786">
        <v>69.900000000000006</v>
      </c>
      <c r="D1786">
        <v>0</v>
      </c>
      <c r="E1786">
        <f t="shared" ca="1" si="108"/>
        <v>68.297682819486525</v>
      </c>
      <c r="F1786">
        <f t="shared" ca="1" si="109"/>
        <v>1.6023171805134808</v>
      </c>
      <c r="G1786">
        <f t="shared" ca="1" si="110"/>
        <v>2.3460783944141538E-2</v>
      </c>
      <c r="H1786" t="str">
        <f t="shared" ca="1" si="111"/>
        <v>competitive</v>
      </c>
    </row>
    <row r="1787" spans="1:8" x14ac:dyDescent="0.3">
      <c r="A1787" t="s">
        <v>2047</v>
      </c>
      <c r="B1787" t="s">
        <v>601</v>
      </c>
      <c r="C1787">
        <v>24.97</v>
      </c>
      <c r="D1787">
        <v>18.23</v>
      </c>
      <c r="E1787">
        <f t="shared" ca="1" si="108"/>
        <v>22.978739048888805</v>
      </c>
      <c r="F1787">
        <f t="shared" ca="1" si="109"/>
        <v>1.9912609511111938</v>
      </c>
      <c r="G1787">
        <f t="shared" ca="1" si="110"/>
        <v>8.6656667577566071E-2</v>
      </c>
      <c r="H1787" t="str">
        <f t="shared" ca="1" si="111"/>
        <v>overpriced</v>
      </c>
    </row>
    <row r="1788" spans="1:8" x14ac:dyDescent="0.3">
      <c r="A1788" t="s">
        <v>2047</v>
      </c>
      <c r="B1788" t="s">
        <v>601</v>
      </c>
      <c r="C1788">
        <v>24.97</v>
      </c>
      <c r="D1788">
        <v>18.23</v>
      </c>
      <c r="E1788">
        <f t="shared" ca="1" si="108"/>
        <v>25.673326418676162</v>
      </c>
      <c r="F1788">
        <f t="shared" ca="1" si="109"/>
        <v>-0.70332641867616275</v>
      </c>
      <c r="G1788">
        <f t="shared" ca="1" si="110"/>
        <v>-2.7395219739212492E-2</v>
      </c>
      <c r="H1788" t="str">
        <f t="shared" ca="1" si="111"/>
        <v>competitive</v>
      </c>
    </row>
    <row r="1789" spans="1:8" x14ac:dyDescent="0.3">
      <c r="A1789" t="s">
        <v>2048</v>
      </c>
      <c r="B1789" t="s">
        <v>438</v>
      </c>
      <c r="C1789">
        <v>196.8</v>
      </c>
      <c r="D1789">
        <v>19.260000000000002</v>
      </c>
      <c r="E1789">
        <f t="shared" ca="1" si="108"/>
        <v>215.2404343348251</v>
      </c>
      <c r="F1789">
        <f t="shared" ca="1" si="109"/>
        <v>-18.440434334825085</v>
      </c>
      <c r="G1789">
        <f t="shared" ca="1" si="110"/>
        <v>-8.5673653241841147E-2</v>
      </c>
      <c r="H1789" t="str">
        <f t="shared" ca="1" si="111"/>
        <v>underprived</v>
      </c>
    </row>
    <row r="1790" spans="1:8" x14ac:dyDescent="0.3">
      <c r="A1790" t="s">
        <v>2049</v>
      </c>
      <c r="B1790" t="s">
        <v>1165</v>
      </c>
      <c r="C1790">
        <v>24.9</v>
      </c>
      <c r="D1790">
        <v>14.1</v>
      </c>
      <c r="E1790">
        <f t="shared" ca="1" si="108"/>
        <v>23.187380759973475</v>
      </c>
      <c r="F1790">
        <f t="shared" ca="1" si="109"/>
        <v>1.7126192400265232</v>
      </c>
      <c r="G1790">
        <f t="shared" ca="1" si="110"/>
        <v>7.385996968587677E-2</v>
      </c>
      <c r="H1790" t="str">
        <f t="shared" ca="1" si="111"/>
        <v>overpriced</v>
      </c>
    </row>
    <row r="1791" spans="1:8" x14ac:dyDescent="0.3">
      <c r="A1791" t="s">
        <v>2050</v>
      </c>
      <c r="B1791" t="s">
        <v>47</v>
      </c>
      <c r="C1791">
        <v>116.99</v>
      </c>
      <c r="D1791">
        <v>7.68</v>
      </c>
      <c r="E1791">
        <f t="shared" ca="1" si="108"/>
        <v>128.3228072897744</v>
      </c>
      <c r="F1791">
        <f t="shared" ca="1" si="109"/>
        <v>-11.332807289774408</v>
      </c>
      <c r="G1791">
        <f t="shared" ca="1" si="110"/>
        <v>-8.8314832952360756E-2</v>
      </c>
      <c r="H1791" t="str">
        <f t="shared" ca="1" si="111"/>
        <v>underprived</v>
      </c>
    </row>
    <row r="1792" spans="1:8" x14ac:dyDescent="0.3">
      <c r="A1792" t="s">
        <v>863</v>
      </c>
      <c r="B1792" t="s">
        <v>864</v>
      </c>
      <c r="C1792">
        <v>59.9</v>
      </c>
      <c r="D1792">
        <v>26.56</v>
      </c>
      <c r="E1792">
        <f t="shared" ca="1" si="108"/>
        <v>58.290784676669887</v>
      </c>
      <c r="F1792">
        <f t="shared" ca="1" si="109"/>
        <v>1.6092153233301119</v>
      </c>
      <c r="G1792">
        <f t="shared" ca="1" si="110"/>
        <v>2.7606684868906543E-2</v>
      </c>
      <c r="H1792" t="str">
        <f t="shared" ca="1" si="111"/>
        <v>competitive</v>
      </c>
    </row>
    <row r="1793" spans="1:8" x14ac:dyDescent="0.3">
      <c r="A1793" t="s">
        <v>2051</v>
      </c>
      <c r="B1793" t="s">
        <v>2052</v>
      </c>
      <c r="C1793">
        <v>89.18</v>
      </c>
      <c r="D1793">
        <v>13.98</v>
      </c>
      <c r="E1793">
        <f t="shared" ca="1" si="108"/>
        <v>87.718448023014886</v>
      </c>
      <c r="F1793">
        <f t="shared" ca="1" si="109"/>
        <v>1.4615519769851204</v>
      </c>
      <c r="G1793">
        <f t="shared" ca="1" si="110"/>
        <v>1.6661854033277582E-2</v>
      </c>
      <c r="H1793" t="str">
        <f t="shared" ca="1" si="111"/>
        <v>competitive</v>
      </c>
    </row>
    <row r="1794" spans="1:8" x14ac:dyDescent="0.3">
      <c r="A1794" t="s">
        <v>723</v>
      </c>
      <c r="B1794" t="s">
        <v>31</v>
      </c>
      <c r="C1794">
        <v>49</v>
      </c>
      <c r="D1794">
        <v>17.64</v>
      </c>
      <c r="E1794">
        <f t="shared" ca="1" si="108"/>
        <v>49.653953131761156</v>
      </c>
      <c r="F1794">
        <f t="shared" ca="1" si="109"/>
        <v>-0.65395313176115621</v>
      </c>
      <c r="G1794">
        <f t="shared" ca="1" si="110"/>
        <v>-1.3170212853462719E-2</v>
      </c>
      <c r="H1794" t="str">
        <f t="shared" ca="1" si="111"/>
        <v>competitive</v>
      </c>
    </row>
    <row r="1795" spans="1:8" x14ac:dyDescent="0.3">
      <c r="A1795" t="s">
        <v>1520</v>
      </c>
      <c r="B1795" t="s">
        <v>246</v>
      </c>
      <c r="C1795">
        <v>180</v>
      </c>
      <c r="D1795">
        <v>19.14</v>
      </c>
      <c r="E1795">
        <f t="shared" ref="E1795:E1858" ca="1" si="112">C1795*(1+RAND()*0.2-0.1)</f>
        <v>185.53567164260141</v>
      </c>
      <c r="F1795">
        <f t="shared" ref="F1795:F1858" ca="1" si="113">C1795-E1795</f>
        <v>-5.5356716426014145</v>
      </c>
      <c r="G1795">
        <f t="shared" ref="G1795:G1858" ca="1" si="114">(C1795-E1795)/E1795</f>
        <v>-2.9836158155423693E-2</v>
      </c>
      <c r="H1795" t="str">
        <f t="shared" ref="H1795:H1858" ca="1" si="115">IF(E1795="","competitive",IF(ABS(C1795-E1795)/E1795&lt;=0.05,"competitive",IF(C1795&gt;E1795,"overpriced","underprived")))</f>
        <v>competitive</v>
      </c>
    </row>
    <row r="1796" spans="1:8" x14ac:dyDescent="0.3">
      <c r="A1796" t="s">
        <v>2053</v>
      </c>
      <c r="B1796" t="s">
        <v>2054</v>
      </c>
      <c r="C1796">
        <v>69.989999999999995</v>
      </c>
      <c r="D1796">
        <v>19.68</v>
      </c>
      <c r="E1796">
        <f t="shared" ca="1" si="112"/>
        <v>76.419562816460157</v>
      </c>
      <c r="F1796">
        <f t="shared" ca="1" si="113"/>
        <v>-6.4295628164601624</v>
      </c>
      <c r="G1796">
        <f t="shared" ca="1" si="114"/>
        <v>-8.4135037933968482E-2</v>
      </c>
      <c r="H1796" t="str">
        <f t="shared" ca="1" si="115"/>
        <v>underprived</v>
      </c>
    </row>
    <row r="1797" spans="1:8" x14ac:dyDescent="0.3">
      <c r="A1797" t="s">
        <v>2053</v>
      </c>
      <c r="B1797" t="s">
        <v>2054</v>
      </c>
      <c r="C1797">
        <v>69.989999999999995</v>
      </c>
      <c r="D1797">
        <v>19.68</v>
      </c>
      <c r="E1797">
        <f t="shared" ca="1" si="112"/>
        <v>71.667079475407775</v>
      </c>
      <c r="F1797">
        <f t="shared" ca="1" si="113"/>
        <v>-1.6770794754077798</v>
      </c>
      <c r="G1797">
        <f t="shared" ca="1" si="114"/>
        <v>-2.340097416671293E-2</v>
      </c>
      <c r="H1797" t="str">
        <f t="shared" ca="1" si="115"/>
        <v>competitive</v>
      </c>
    </row>
    <row r="1798" spans="1:8" x14ac:dyDescent="0.3">
      <c r="A1798" t="s">
        <v>2055</v>
      </c>
      <c r="B1798" t="s">
        <v>2056</v>
      </c>
      <c r="C1798">
        <v>46.63</v>
      </c>
      <c r="D1798">
        <v>15.1</v>
      </c>
      <c r="E1798">
        <f t="shared" ca="1" si="112"/>
        <v>44.254935890771108</v>
      </c>
      <c r="F1798">
        <f t="shared" ca="1" si="113"/>
        <v>2.3750641092288944</v>
      </c>
      <c r="G1798">
        <f t="shared" ca="1" si="114"/>
        <v>5.366777877819022E-2</v>
      </c>
      <c r="H1798" t="str">
        <f t="shared" ca="1" si="115"/>
        <v>overpriced</v>
      </c>
    </row>
    <row r="1799" spans="1:8" x14ac:dyDescent="0.3">
      <c r="A1799" t="s">
        <v>806</v>
      </c>
      <c r="B1799" t="s">
        <v>807</v>
      </c>
      <c r="C1799">
        <v>79.989999999999995</v>
      </c>
      <c r="D1799">
        <v>8.75</v>
      </c>
      <c r="E1799">
        <f t="shared" ca="1" si="112"/>
        <v>78.8368192919188</v>
      </c>
      <c r="F1799">
        <f t="shared" ca="1" si="113"/>
        <v>1.1531807080811944</v>
      </c>
      <c r="G1799">
        <f t="shared" ca="1" si="114"/>
        <v>1.462743827615838E-2</v>
      </c>
      <c r="H1799" t="str">
        <f t="shared" ca="1" si="115"/>
        <v>competitive</v>
      </c>
    </row>
    <row r="1800" spans="1:8" x14ac:dyDescent="0.3">
      <c r="A1800" t="s">
        <v>806</v>
      </c>
      <c r="B1800" t="s">
        <v>807</v>
      </c>
      <c r="C1800">
        <v>79.989999999999995</v>
      </c>
      <c r="D1800">
        <v>8.75</v>
      </c>
      <c r="E1800">
        <f t="shared" ca="1" si="112"/>
        <v>86.897037908345752</v>
      </c>
      <c r="F1800">
        <f t="shared" ca="1" si="113"/>
        <v>-6.9070379083457567</v>
      </c>
      <c r="G1800">
        <f t="shared" ca="1" si="114"/>
        <v>-7.9485308988678338E-2</v>
      </c>
      <c r="H1800" t="str">
        <f t="shared" ca="1" si="115"/>
        <v>underprived</v>
      </c>
    </row>
    <row r="1801" spans="1:8" x14ac:dyDescent="0.3">
      <c r="A1801" t="s">
        <v>774</v>
      </c>
      <c r="B1801" t="s">
        <v>354</v>
      </c>
      <c r="C1801">
        <v>89</v>
      </c>
      <c r="D1801">
        <v>14.93</v>
      </c>
      <c r="E1801">
        <f t="shared" ca="1" si="112"/>
        <v>89.363002082409764</v>
      </c>
      <c r="F1801">
        <f t="shared" ca="1" si="113"/>
        <v>-0.36300208240976417</v>
      </c>
      <c r="G1801">
        <f t="shared" ca="1" si="114"/>
        <v>-4.0621070683704973E-3</v>
      </c>
      <c r="H1801" t="str">
        <f t="shared" ca="1" si="115"/>
        <v>competitive</v>
      </c>
    </row>
    <row r="1802" spans="1:8" x14ac:dyDescent="0.3">
      <c r="A1802" t="s">
        <v>2057</v>
      </c>
      <c r="B1802" t="s">
        <v>176</v>
      </c>
      <c r="C1802">
        <v>269.99</v>
      </c>
      <c r="D1802">
        <v>22.73</v>
      </c>
      <c r="E1802">
        <f t="shared" ca="1" si="112"/>
        <v>289.63788248590794</v>
      </c>
      <c r="F1802">
        <f t="shared" ca="1" si="113"/>
        <v>-19.647882485907928</v>
      </c>
      <c r="G1802">
        <f t="shared" ca="1" si="114"/>
        <v>-6.7836024477439957E-2</v>
      </c>
      <c r="H1802" t="str">
        <f t="shared" ca="1" si="115"/>
        <v>underprived</v>
      </c>
    </row>
    <row r="1803" spans="1:8" x14ac:dyDescent="0.3">
      <c r="A1803" t="s">
        <v>2058</v>
      </c>
      <c r="B1803" t="s">
        <v>2059</v>
      </c>
      <c r="C1803">
        <v>37.5</v>
      </c>
      <c r="D1803">
        <v>9.34</v>
      </c>
      <c r="E1803">
        <f t="shared" ca="1" si="112"/>
        <v>38.780793929143172</v>
      </c>
      <c r="F1803">
        <f t="shared" ca="1" si="113"/>
        <v>-1.2807939291431722</v>
      </c>
      <c r="G1803">
        <f t="shared" ca="1" si="114"/>
        <v>-3.3026500991272259E-2</v>
      </c>
      <c r="H1803" t="str">
        <f t="shared" ca="1" si="115"/>
        <v>competitive</v>
      </c>
    </row>
    <row r="1804" spans="1:8" x14ac:dyDescent="0.3">
      <c r="A1804" t="s">
        <v>2060</v>
      </c>
      <c r="B1804" t="s">
        <v>2061</v>
      </c>
      <c r="C1804">
        <v>599.5</v>
      </c>
      <c r="D1804">
        <v>75.33</v>
      </c>
      <c r="E1804">
        <f t="shared" ca="1" si="112"/>
        <v>641.70076517951964</v>
      </c>
      <c r="F1804">
        <f t="shared" ca="1" si="113"/>
        <v>-42.200765179519635</v>
      </c>
      <c r="G1804">
        <f t="shared" ca="1" si="114"/>
        <v>-6.5763931522995325E-2</v>
      </c>
      <c r="H1804" t="str">
        <f t="shared" ca="1" si="115"/>
        <v>underprived</v>
      </c>
    </row>
    <row r="1805" spans="1:8" x14ac:dyDescent="0.3">
      <c r="A1805" t="s">
        <v>2062</v>
      </c>
      <c r="B1805" t="s">
        <v>515</v>
      </c>
      <c r="C1805">
        <v>89.9</v>
      </c>
      <c r="D1805">
        <v>19.87</v>
      </c>
      <c r="E1805">
        <f t="shared" ca="1" si="112"/>
        <v>87.283939093135515</v>
      </c>
      <c r="F1805">
        <f t="shared" ca="1" si="113"/>
        <v>2.6160609068644902</v>
      </c>
      <c r="G1805">
        <f t="shared" ca="1" si="114"/>
        <v>2.9971847444614601E-2</v>
      </c>
      <c r="H1805" t="str">
        <f t="shared" ca="1" si="115"/>
        <v>competitive</v>
      </c>
    </row>
    <row r="1806" spans="1:8" x14ac:dyDescent="0.3">
      <c r="A1806" t="s">
        <v>2063</v>
      </c>
      <c r="B1806" t="s">
        <v>376</v>
      </c>
      <c r="C1806">
        <v>108.9</v>
      </c>
      <c r="D1806">
        <v>23.04</v>
      </c>
      <c r="E1806">
        <f t="shared" ca="1" si="112"/>
        <v>108.90425825398283</v>
      </c>
      <c r="F1806">
        <f t="shared" ca="1" si="113"/>
        <v>-4.2582539828259769E-3</v>
      </c>
      <c r="G1806">
        <f t="shared" ca="1" si="114"/>
        <v>-3.9100895144935662E-5</v>
      </c>
      <c r="H1806" t="str">
        <f t="shared" ca="1" si="115"/>
        <v>competitive</v>
      </c>
    </row>
    <row r="1807" spans="1:8" x14ac:dyDescent="0.3">
      <c r="A1807" t="s">
        <v>2064</v>
      </c>
      <c r="B1807" t="s">
        <v>49</v>
      </c>
      <c r="C1807">
        <v>95</v>
      </c>
      <c r="D1807">
        <v>7.92</v>
      </c>
      <c r="E1807">
        <f t="shared" ca="1" si="112"/>
        <v>93.111092821776225</v>
      </c>
      <c r="F1807">
        <f t="shared" ca="1" si="113"/>
        <v>1.888907178223775</v>
      </c>
      <c r="G1807">
        <f t="shared" ca="1" si="114"/>
        <v>2.0286596591013371E-2</v>
      </c>
      <c r="H1807" t="str">
        <f t="shared" ca="1" si="115"/>
        <v>competitive</v>
      </c>
    </row>
    <row r="1808" spans="1:8" x14ac:dyDescent="0.3">
      <c r="A1808" t="s">
        <v>2065</v>
      </c>
      <c r="B1808" t="s">
        <v>1187</v>
      </c>
      <c r="C1808">
        <v>69.989999999999995</v>
      </c>
      <c r="D1808">
        <v>7.78</v>
      </c>
      <c r="E1808">
        <f t="shared" ca="1" si="112"/>
        <v>73.024075747482229</v>
      </c>
      <c r="F1808">
        <f t="shared" ca="1" si="113"/>
        <v>-3.034075747482234</v>
      </c>
      <c r="G1808">
        <f t="shared" ca="1" si="114"/>
        <v>-4.1548978421501549E-2</v>
      </c>
      <c r="H1808" t="str">
        <f t="shared" ca="1" si="115"/>
        <v>competitive</v>
      </c>
    </row>
    <row r="1809" spans="1:8" x14ac:dyDescent="0.3">
      <c r="A1809" t="s">
        <v>2066</v>
      </c>
      <c r="B1809" t="s">
        <v>317</v>
      </c>
      <c r="C1809">
        <v>89.9</v>
      </c>
      <c r="D1809">
        <v>16.600000000000001</v>
      </c>
      <c r="E1809">
        <f t="shared" ca="1" si="112"/>
        <v>83.293599024868982</v>
      </c>
      <c r="F1809">
        <f t="shared" ca="1" si="113"/>
        <v>6.6064009751310238</v>
      </c>
      <c r="G1809">
        <f t="shared" ca="1" si="114"/>
        <v>7.9314629845188334E-2</v>
      </c>
      <c r="H1809" t="str">
        <f t="shared" ca="1" si="115"/>
        <v>overpriced</v>
      </c>
    </row>
    <row r="1810" spans="1:8" x14ac:dyDescent="0.3">
      <c r="A1810" t="s">
        <v>2067</v>
      </c>
      <c r="B1810" t="s">
        <v>2068</v>
      </c>
      <c r="C1810">
        <v>349</v>
      </c>
      <c r="D1810">
        <v>18.72</v>
      </c>
      <c r="E1810">
        <f t="shared" ca="1" si="112"/>
        <v>327.46041267081989</v>
      </c>
      <c r="F1810">
        <f t="shared" ca="1" si="113"/>
        <v>21.539587329180108</v>
      </c>
      <c r="G1810">
        <f t="shared" ca="1" si="114"/>
        <v>6.5777683334299133E-2</v>
      </c>
      <c r="H1810" t="str">
        <f t="shared" ca="1" si="115"/>
        <v>overpriced</v>
      </c>
    </row>
    <row r="1811" spans="1:8" x14ac:dyDescent="0.3">
      <c r="A1811" t="s">
        <v>2069</v>
      </c>
      <c r="B1811" t="s">
        <v>45</v>
      </c>
      <c r="C1811">
        <v>27.99</v>
      </c>
      <c r="D1811">
        <v>19.04</v>
      </c>
      <c r="E1811">
        <f t="shared" ca="1" si="112"/>
        <v>25.604576485386307</v>
      </c>
      <c r="F1811">
        <f t="shared" ca="1" si="113"/>
        <v>2.3854235146136915</v>
      </c>
      <c r="G1811">
        <f t="shared" ca="1" si="114"/>
        <v>9.3163951216891278E-2</v>
      </c>
      <c r="H1811" t="str">
        <f t="shared" ca="1" si="115"/>
        <v>overpriced</v>
      </c>
    </row>
    <row r="1812" spans="1:8" x14ac:dyDescent="0.3">
      <c r="A1812" t="s">
        <v>2070</v>
      </c>
      <c r="B1812" t="s">
        <v>2071</v>
      </c>
      <c r="C1812">
        <v>109.9</v>
      </c>
      <c r="D1812">
        <v>25.61</v>
      </c>
      <c r="E1812">
        <f t="shared" ca="1" si="112"/>
        <v>99.143532551976008</v>
      </c>
      <c r="F1812">
        <f t="shared" ca="1" si="113"/>
        <v>10.756467448023997</v>
      </c>
      <c r="G1812">
        <f t="shared" ca="1" si="114"/>
        <v>0.10849388932540727</v>
      </c>
      <c r="H1812" t="str">
        <f t="shared" ca="1" si="115"/>
        <v>overpriced</v>
      </c>
    </row>
    <row r="1813" spans="1:8" x14ac:dyDescent="0.3">
      <c r="A1813" t="s">
        <v>2072</v>
      </c>
      <c r="B1813" t="s">
        <v>2073</v>
      </c>
      <c r="C1813">
        <v>45</v>
      </c>
      <c r="D1813">
        <v>17.25</v>
      </c>
      <c r="E1813">
        <f t="shared" ca="1" si="112"/>
        <v>43.151642830902453</v>
      </c>
      <c r="F1813">
        <f t="shared" ca="1" si="113"/>
        <v>1.8483571690975467</v>
      </c>
      <c r="G1813">
        <f t="shared" ca="1" si="114"/>
        <v>4.2833993049596508E-2</v>
      </c>
      <c r="H1813" t="str">
        <f t="shared" ca="1" si="115"/>
        <v>competitive</v>
      </c>
    </row>
    <row r="1814" spans="1:8" x14ac:dyDescent="0.3">
      <c r="A1814" t="s">
        <v>2074</v>
      </c>
      <c r="B1814" t="s">
        <v>79</v>
      </c>
      <c r="C1814">
        <v>144.99</v>
      </c>
      <c r="D1814">
        <v>20.25</v>
      </c>
      <c r="E1814">
        <f t="shared" ca="1" si="112"/>
        <v>138.60936851853197</v>
      </c>
      <c r="F1814">
        <f t="shared" ca="1" si="113"/>
        <v>6.3806314814680434</v>
      </c>
      <c r="G1814">
        <f t="shared" ca="1" si="114"/>
        <v>4.6033190610885427E-2</v>
      </c>
      <c r="H1814" t="str">
        <f t="shared" ca="1" si="115"/>
        <v>competitive</v>
      </c>
    </row>
    <row r="1815" spans="1:8" x14ac:dyDescent="0.3">
      <c r="A1815" t="s">
        <v>2075</v>
      </c>
      <c r="B1815" t="s">
        <v>1698</v>
      </c>
      <c r="C1815">
        <v>33.9</v>
      </c>
      <c r="D1815">
        <v>15.1</v>
      </c>
      <c r="E1815">
        <f t="shared" ca="1" si="112"/>
        <v>35.28262441357505</v>
      </c>
      <c r="F1815">
        <f t="shared" ca="1" si="113"/>
        <v>-1.3826244135750514</v>
      </c>
      <c r="G1815">
        <f t="shared" ca="1" si="114"/>
        <v>-3.918711934147065E-2</v>
      </c>
      <c r="H1815" t="str">
        <f t="shared" ca="1" si="115"/>
        <v>competitive</v>
      </c>
    </row>
    <row r="1816" spans="1:8" x14ac:dyDescent="0.3">
      <c r="A1816" t="s">
        <v>926</v>
      </c>
      <c r="B1816" t="s">
        <v>927</v>
      </c>
      <c r="C1816">
        <v>49.9</v>
      </c>
      <c r="D1816">
        <v>17.920000000000002</v>
      </c>
      <c r="E1816">
        <f t="shared" ca="1" si="112"/>
        <v>49.839686688637372</v>
      </c>
      <c r="F1816">
        <f t="shared" ca="1" si="113"/>
        <v>6.0313311362627076E-2</v>
      </c>
      <c r="G1816">
        <f t="shared" ca="1" si="114"/>
        <v>1.2101462783949948E-3</v>
      </c>
      <c r="H1816" t="str">
        <f t="shared" ca="1" si="115"/>
        <v>competitive</v>
      </c>
    </row>
    <row r="1817" spans="1:8" x14ac:dyDescent="0.3">
      <c r="A1817" t="s">
        <v>926</v>
      </c>
      <c r="B1817" t="s">
        <v>927</v>
      </c>
      <c r="C1817">
        <v>49.9</v>
      </c>
      <c r="D1817">
        <v>17.920000000000002</v>
      </c>
      <c r="E1817">
        <f t="shared" ca="1" si="112"/>
        <v>49.827272372553288</v>
      </c>
      <c r="F1817">
        <f t="shared" ca="1" si="113"/>
        <v>7.272762744671013E-2</v>
      </c>
      <c r="G1817">
        <f t="shared" ca="1" si="114"/>
        <v>1.4595947958566404E-3</v>
      </c>
      <c r="H1817" t="str">
        <f t="shared" ca="1" si="115"/>
        <v>competitive</v>
      </c>
    </row>
    <row r="1818" spans="1:8" x14ac:dyDescent="0.3">
      <c r="A1818" t="s">
        <v>2076</v>
      </c>
      <c r="B1818" t="s">
        <v>25</v>
      </c>
      <c r="C1818">
        <v>23.99</v>
      </c>
      <c r="D1818">
        <v>14.16</v>
      </c>
      <c r="E1818">
        <f t="shared" ca="1" si="112"/>
        <v>23.484908913938515</v>
      </c>
      <c r="F1818">
        <f t="shared" ca="1" si="113"/>
        <v>0.50509108606148345</v>
      </c>
      <c r="G1818">
        <f t="shared" ca="1" si="114"/>
        <v>2.1507048969719746E-2</v>
      </c>
      <c r="H1818" t="str">
        <f t="shared" ca="1" si="115"/>
        <v>competitive</v>
      </c>
    </row>
    <row r="1819" spans="1:8" x14ac:dyDescent="0.3">
      <c r="A1819" t="s">
        <v>238</v>
      </c>
      <c r="B1819" t="s">
        <v>239</v>
      </c>
      <c r="C1819">
        <v>139</v>
      </c>
      <c r="D1819">
        <v>54.72</v>
      </c>
      <c r="E1819">
        <f t="shared" ca="1" si="112"/>
        <v>129.1268650349308</v>
      </c>
      <c r="F1819">
        <f t="shared" ca="1" si="113"/>
        <v>9.8731349650691982</v>
      </c>
      <c r="G1819">
        <f t="shared" ca="1" si="114"/>
        <v>7.6460734661205967E-2</v>
      </c>
      <c r="H1819" t="str">
        <f t="shared" ca="1" si="115"/>
        <v>overpriced</v>
      </c>
    </row>
    <row r="1820" spans="1:8" x14ac:dyDescent="0.3">
      <c r="A1820" t="s">
        <v>2077</v>
      </c>
      <c r="B1820" t="s">
        <v>71</v>
      </c>
      <c r="C1820">
        <v>9</v>
      </c>
      <c r="D1820">
        <v>22.85</v>
      </c>
      <c r="E1820">
        <f t="shared" ca="1" si="112"/>
        <v>8.5671488082737337</v>
      </c>
      <c r="F1820">
        <f t="shared" ca="1" si="113"/>
        <v>0.43285119172626629</v>
      </c>
      <c r="G1820">
        <f t="shared" ca="1" si="114"/>
        <v>5.0524532888729531E-2</v>
      </c>
      <c r="H1820" t="str">
        <f t="shared" ca="1" si="115"/>
        <v>overpriced</v>
      </c>
    </row>
    <row r="1821" spans="1:8" x14ac:dyDescent="0.3">
      <c r="A1821" t="s">
        <v>281</v>
      </c>
      <c r="B1821" t="s">
        <v>282</v>
      </c>
      <c r="C1821">
        <v>78.900000000000006</v>
      </c>
      <c r="D1821">
        <v>9.6999999999999993</v>
      </c>
      <c r="E1821">
        <f t="shared" ca="1" si="112"/>
        <v>79.868490067764185</v>
      </c>
      <c r="F1821">
        <f t="shared" ca="1" si="113"/>
        <v>-0.96849006776417923</v>
      </c>
      <c r="G1821">
        <f t="shared" ca="1" si="114"/>
        <v>-1.2126059562944869E-2</v>
      </c>
      <c r="H1821" t="str">
        <f t="shared" ca="1" si="115"/>
        <v>competitive</v>
      </c>
    </row>
    <row r="1822" spans="1:8" x14ac:dyDescent="0.3">
      <c r="A1822" t="s">
        <v>281</v>
      </c>
      <c r="B1822" t="s">
        <v>282</v>
      </c>
      <c r="C1822">
        <v>78.900000000000006</v>
      </c>
      <c r="D1822">
        <v>9.6999999999999993</v>
      </c>
      <c r="E1822">
        <f t="shared" ca="1" si="112"/>
        <v>78.356266906136611</v>
      </c>
      <c r="F1822">
        <f t="shared" ca="1" si="113"/>
        <v>0.54373309386339486</v>
      </c>
      <c r="G1822">
        <f t="shared" ca="1" si="114"/>
        <v>6.9392419436563463E-3</v>
      </c>
      <c r="H1822" t="str">
        <f t="shared" ca="1" si="115"/>
        <v>competitive</v>
      </c>
    </row>
    <row r="1823" spans="1:8" x14ac:dyDescent="0.3">
      <c r="A1823" t="s">
        <v>2078</v>
      </c>
      <c r="B1823" t="s">
        <v>286</v>
      </c>
      <c r="C1823">
        <v>49.9</v>
      </c>
      <c r="D1823">
        <v>11.85</v>
      </c>
      <c r="E1823">
        <f t="shared" ca="1" si="112"/>
        <v>52.04440382146641</v>
      </c>
      <c r="F1823">
        <f t="shared" ca="1" si="113"/>
        <v>-2.1444038214664118</v>
      </c>
      <c r="G1823">
        <f t="shared" ca="1" si="114"/>
        <v>-4.1203350677675048E-2</v>
      </c>
      <c r="H1823" t="str">
        <f t="shared" ca="1" si="115"/>
        <v>competitive</v>
      </c>
    </row>
    <row r="1824" spans="1:8" x14ac:dyDescent="0.3">
      <c r="A1824" t="s">
        <v>951</v>
      </c>
      <c r="B1824" t="s">
        <v>200</v>
      </c>
      <c r="C1824">
        <v>230</v>
      </c>
      <c r="D1824">
        <v>19.489999999999998</v>
      </c>
      <c r="E1824">
        <f t="shared" ca="1" si="112"/>
        <v>226.06706951786626</v>
      </c>
      <c r="F1824">
        <f t="shared" ca="1" si="113"/>
        <v>3.9329304821337416</v>
      </c>
      <c r="G1824">
        <f t="shared" ca="1" si="114"/>
        <v>1.7397184342334827E-2</v>
      </c>
      <c r="H1824" t="str">
        <f t="shared" ca="1" si="115"/>
        <v>competitive</v>
      </c>
    </row>
    <row r="1825" spans="1:8" x14ac:dyDescent="0.3">
      <c r="A1825" t="s">
        <v>2079</v>
      </c>
      <c r="B1825" t="s">
        <v>313</v>
      </c>
      <c r="C1825">
        <v>109.9</v>
      </c>
      <c r="D1825">
        <v>29.7</v>
      </c>
      <c r="E1825">
        <f t="shared" ca="1" si="112"/>
        <v>114.76496765061884</v>
      </c>
      <c r="F1825">
        <f t="shared" ca="1" si="113"/>
        <v>-4.8649676506188371</v>
      </c>
      <c r="G1825">
        <f t="shared" ca="1" si="114"/>
        <v>-4.2390702931484718E-2</v>
      </c>
      <c r="H1825" t="str">
        <f t="shared" ca="1" si="115"/>
        <v>competitive</v>
      </c>
    </row>
    <row r="1826" spans="1:8" x14ac:dyDescent="0.3">
      <c r="A1826" t="s">
        <v>2079</v>
      </c>
      <c r="B1826" t="s">
        <v>313</v>
      </c>
      <c r="C1826">
        <v>109.9</v>
      </c>
      <c r="D1826">
        <v>29.7</v>
      </c>
      <c r="E1826">
        <f t="shared" ca="1" si="112"/>
        <v>117.25507506719026</v>
      </c>
      <c r="F1826">
        <f t="shared" ca="1" si="113"/>
        <v>-7.3550750671902563</v>
      </c>
      <c r="G1826">
        <f t="shared" ca="1" si="114"/>
        <v>-6.2727136228223845E-2</v>
      </c>
      <c r="H1826" t="str">
        <f t="shared" ca="1" si="115"/>
        <v>underprived</v>
      </c>
    </row>
    <row r="1827" spans="1:8" x14ac:dyDescent="0.3">
      <c r="A1827" t="s">
        <v>721</v>
      </c>
      <c r="B1827" t="s">
        <v>376</v>
      </c>
      <c r="C1827">
        <v>119.9</v>
      </c>
      <c r="D1827">
        <v>25.68</v>
      </c>
      <c r="E1827">
        <f t="shared" ca="1" si="112"/>
        <v>117.79316528324992</v>
      </c>
      <c r="F1827">
        <f t="shared" ca="1" si="113"/>
        <v>2.106834716750086</v>
      </c>
      <c r="G1827">
        <f t="shared" ca="1" si="114"/>
        <v>1.788588252708815E-2</v>
      </c>
      <c r="H1827" t="str">
        <f t="shared" ca="1" si="115"/>
        <v>competitive</v>
      </c>
    </row>
    <row r="1828" spans="1:8" x14ac:dyDescent="0.3">
      <c r="A1828" t="s">
        <v>2080</v>
      </c>
      <c r="B1828" t="s">
        <v>2081</v>
      </c>
      <c r="C1828">
        <v>59.9</v>
      </c>
      <c r="D1828">
        <v>14.73</v>
      </c>
      <c r="E1828">
        <f t="shared" ca="1" si="112"/>
        <v>53.982397492684271</v>
      </c>
      <c r="F1828">
        <f t="shared" ca="1" si="113"/>
        <v>5.9176025073157277</v>
      </c>
      <c r="G1828">
        <f t="shared" ca="1" si="114"/>
        <v>0.10962096502137915</v>
      </c>
      <c r="H1828" t="str">
        <f t="shared" ca="1" si="115"/>
        <v>overpriced</v>
      </c>
    </row>
    <row r="1829" spans="1:8" x14ac:dyDescent="0.3">
      <c r="A1829" t="s">
        <v>2082</v>
      </c>
      <c r="B1829" t="s">
        <v>651</v>
      </c>
      <c r="C1829">
        <v>64.900000000000006</v>
      </c>
      <c r="D1829">
        <v>26.98</v>
      </c>
      <c r="E1829">
        <f t="shared" ca="1" si="112"/>
        <v>68.524566379149036</v>
      </c>
      <c r="F1829">
        <f t="shared" ca="1" si="113"/>
        <v>-3.6245663791490301</v>
      </c>
      <c r="G1829">
        <f t="shared" ca="1" si="114"/>
        <v>-5.2894408103134373E-2</v>
      </c>
      <c r="H1829" t="str">
        <f t="shared" ca="1" si="115"/>
        <v>underprived</v>
      </c>
    </row>
    <row r="1830" spans="1:8" x14ac:dyDescent="0.3">
      <c r="A1830" t="s">
        <v>2083</v>
      </c>
      <c r="B1830" t="s">
        <v>1124</v>
      </c>
      <c r="C1830">
        <v>59.9</v>
      </c>
      <c r="D1830">
        <v>15.94</v>
      </c>
      <c r="E1830">
        <f t="shared" ca="1" si="112"/>
        <v>65.317081527685431</v>
      </c>
      <c r="F1830">
        <f t="shared" ca="1" si="113"/>
        <v>-5.4170815276854327</v>
      </c>
      <c r="G1830">
        <f t="shared" ca="1" si="114"/>
        <v>-8.2935143472222306E-2</v>
      </c>
      <c r="H1830" t="str">
        <f t="shared" ca="1" si="115"/>
        <v>underprived</v>
      </c>
    </row>
    <row r="1831" spans="1:8" x14ac:dyDescent="0.3">
      <c r="A1831" t="s">
        <v>2084</v>
      </c>
      <c r="B1831" t="s">
        <v>1124</v>
      </c>
      <c r="C1831">
        <v>59.9</v>
      </c>
      <c r="D1831">
        <v>14.72</v>
      </c>
      <c r="E1831">
        <f t="shared" ca="1" si="112"/>
        <v>56.516603989193406</v>
      </c>
      <c r="F1831">
        <f t="shared" ca="1" si="113"/>
        <v>3.3833960108065924</v>
      </c>
      <c r="G1831">
        <f t="shared" ca="1" si="114"/>
        <v>5.9865522200405648E-2</v>
      </c>
      <c r="H1831" t="str">
        <f t="shared" ca="1" si="115"/>
        <v>overpriced</v>
      </c>
    </row>
    <row r="1832" spans="1:8" x14ac:dyDescent="0.3">
      <c r="A1832" t="s">
        <v>1510</v>
      </c>
      <c r="B1832" t="s">
        <v>438</v>
      </c>
      <c r="C1832">
        <v>66</v>
      </c>
      <c r="D1832">
        <v>21.26</v>
      </c>
      <c r="E1832">
        <f t="shared" ca="1" si="112"/>
        <v>59.683179874816005</v>
      </c>
      <c r="F1832">
        <f t="shared" ca="1" si="113"/>
        <v>6.3168201251839946</v>
      </c>
      <c r="G1832">
        <f t="shared" ca="1" si="114"/>
        <v>0.10583920190635566</v>
      </c>
      <c r="H1832" t="str">
        <f t="shared" ca="1" si="115"/>
        <v>overpriced</v>
      </c>
    </row>
    <row r="1833" spans="1:8" x14ac:dyDescent="0.3">
      <c r="A1833" t="s">
        <v>1510</v>
      </c>
      <c r="B1833" t="s">
        <v>438</v>
      </c>
      <c r="C1833">
        <v>66</v>
      </c>
      <c r="D1833">
        <v>21.26</v>
      </c>
      <c r="E1833">
        <f t="shared" ca="1" si="112"/>
        <v>66.109183376307996</v>
      </c>
      <c r="F1833">
        <f t="shared" ca="1" si="113"/>
        <v>-0.10918337630799613</v>
      </c>
      <c r="G1833">
        <f t="shared" ca="1" si="114"/>
        <v>-1.6515614129810131E-3</v>
      </c>
      <c r="H1833" t="str">
        <f t="shared" ca="1" si="115"/>
        <v>competitive</v>
      </c>
    </row>
    <row r="1834" spans="1:8" x14ac:dyDescent="0.3">
      <c r="A1834" t="s">
        <v>1510</v>
      </c>
      <c r="B1834" t="s">
        <v>438</v>
      </c>
      <c r="C1834">
        <v>66</v>
      </c>
      <c r="D1834">
        <v>21.26</v>
      </c>
      <c r="E1834">
        <f t="shared" ca="1" si="112"/>
        <v>70.155058344483052</v>
      </c>
      <c r="F1834">
        <f t="shared" ca="1" si="113"/>
        <v>-4.1550583444830522</v>
      </c>
      <c r="G1834">
        <f t="shared" ca="1" si="114"/>
        <v>-5.9226781967458848E-2</v>
      </c>
      <c r="H1834" t="str">
        <f t="shared" ca="1" si="115"/>
        <v>underprived</v>
      </c>
    </row>
    <row r="1835" spans="1:8" x14ac:dyDescent="0.3">
      <c r="A1835" t="s">
        <v>2085</v>
      </c>
      <c r="B1835" t="s">
        <v>322</v>
      </c>
      <c r="C1835">
        <v>18.899999999999999</v>
      </c>
      <c r="D1835">
        <v>15.1</v>
      </c>
      <c r="E1835">
        <f t="shared" ca="1" si="112"/>
        <v>17.168455096702882</v>
      </c>
      <c r="F1835">
        <f t="shared" ca="1" si="113"/>
        <v>1.7315449032971166</v>
      </c>
      <c r="G1835">
        <f t="shared" ca="1" si="114"/>
        <v>0.10085618615909427</v>
      </c>
      <c r="H1835" t="str">
        <f t="shared" ca="1" si="115"/>
        <v>overpriced</v>
      </c>
    </row>
    <row r="1836" spans="1:8" x14ac:dyDescent="0.3">
      <c r="A1836" t="s">
        <v>2086</v>
      </c>
      <c r="B1836" t="s">
        <v>422</v>
      </c>
      <c r="C1836">
        <v>41.5</v>
      </c>
      <c r="D1836">
        <v>22.67</v>
      </c>
      <c r="E1836">
        <f t="shared" ca="1" si="112"/>
        <v>42.302567074028403</v>
      </c>
      <c r="F1836">
        <f t="shared" ca="1" si="113"/>
        <v>-0.80256707402840277</v>
      </c>
      <c r="G1836">
        <f t="shared" ca="1" si="114"/>
        <v>-1.8972065516117048E-2</v>
      </c>
      <c r="H1836" t="str">
        <f t="shared" ca="1" si="115"/>
        <v>competitive</v>
      </c>
    </row>
    <row r="1837" spans="1:8" x14ac:dyDescent="0.3">
      <c r="A1837" t="s">
        <v>2087</v>
      </c>
      <c r="B1837" t="s">
        <v>416</v>
      </c>
      <c r="C1837">
        <v>39.99</v>
      </c>
      <c r="D1837">
        <v>12.94</v>
      </c>
      <c r="E1837">
        <f t="shared" ca="1" si="112"/>
        <v>40.781774165763352</v>
      </c>
      <c r="F1837">
        <f t="shared" ca="1" si="113"/>
        <v>-0.79177416576334991</v>
      </c>
      <c r="G1837">
        <f t="shared" ca="1" si="114"/>
        <v>-1.9414902415600427E-2</v>
      </c>
      <c r="H1837" t="str">
        <f t="shared" ca="1" si="115"/>
        <v>competitive</v>
      </c>
    </row>
    <row r="1838" spans="1:8" x14ac:dyDescent="0.3">
      <c r="A1838" t="s">
        <v>587</v>
      </c>
      <c r="B1838" t="s">
        <v>588</v>
      </c>
      <c r="C1838">
        <v>134.9</v>
      </c>
      <c r="D1838">
        <v>33.39</v>
      </c>
      <c r="E1838">
        <f t="shared" ca="1" si="112"/>
        <v>124.12040814193017</v>
      </c>
      <c r="F1838">
        <f t="shared" ca="1" si="113"/>
        <v>10.779591858069836</v>
      </c>
      <c r="G1838">
        <f t="shared" ca="1" si="114"/>
        <v>8.6847860230555352E-2</v>
      </c>
      <c r="H1838" t="str">
        <f t="shared" ca="1" si="115"/>
        <v>overpriced</v>
      </c>
    </row>
    <row r="1839" spans="1:8" x14ac:dyDescent="0.3">
      <c r="A1839" t="s">
        <v>1661</v>
      </c>
      <c r="B1839" t="s">
        <v>387</v>
      </c>
      <c r="C1839">
        <v>50</v>
      </c>
      <c r="D1839">
        <v>11.85</v>
      </c>
      <c r="E1839">
        <f t="shared" ca="1" si="112"/>
        <v>53.530982918273295</v>
      </c>
      <c r="F1839">
        <f t="shared" ca="1" si="113"/>
        <v>-3.5309829182732955</v>
      </c>
      <c r="G1839">
        <f t="shared" ca="1" si="114"/>
        <v>-6.5961481104580319E-2</v>
      </c>
      <c r="H1839" t="str">
        <f t="shared" ca="1" si="115"/>
        <v>underprived</v>
      </c>
    </row>
    <row r="1840" spans="1:8" x14ac:dyDescent="0.3">
      <c r="A1840" t="s">
        <v>1058</v>
      </c>
      <c r="B1840" t="s">
        <v>747</v>
      </c>
      <c r="C1840">
        <v>44.9</v>
      </c>
      <c r="D1840">
        <v>8.4700000000000006</v>
      </c>
      <c r="E1840">
        <f t="shared" ca="1" si="112"/>
        <v>42.307253466291392</v>
      </c>
      <c r="F1840">
        <f t="shared" ca="1" si="113"/>
        <v>2.5927465337086062</v>
      </c>
      <c r="G1840">
        <f t="shared" ca="1" si="114"/>
        <v>6.1283735560248451E-2</v>
      </c>
      <c r="H1840" t="str">
        <f t="shared" ca="1" si="115"/>
        <v>overpriced</v>
      </c>
    </row>
    <row r="1841" spans="1:8" x14ac:dyDescent="0.3">
      <c r="A1841" t="s">
        <v>2088</v>
      </c>
      <c r="B1841" t="s">
        <v>149</v>
      </c>
      <c r="C1841">
        <v>59.99</v>
      </c>
      <c r="D1841">
        <v>18.350000000000001</v>
      </c>
      <c r="E1841">
        <f t="shared" ca="1" si="112"/>
        <v>60.617551906727165</v>
      </c>
      <c r="F1841">
        <f t="shared" ca="1" si="113"/>
        <v>-0.6275519067271631</v>
      </c>
      <c r="G1841">
        <f t="shared" ca="1" si="114"/>
        <v>-1.0352643532895943E-2</v>
      </c>
      <c r="H1841" t="str">
        <f t="shared" ca="1" si="115"/>
        <v>competitive</v>
      </c>
    </row>
    <row r="1842" spans="1:8" x14ac:dyDescent="0.3">
      <c r="A1842" t="s">
        <v>2089</v>
      </c>
      <c r="B1842" t="s">
        <v>79</v>
      </c>
      <c r="C1842">
        <v>219.99</v>
      </c>
      <c r="D1842">
        <v>19.82</v>
      </c>
      <c r="E1842">
        <f t="shared" ca="1" si="112"/>
        <v>241.81842786088583</v>
      </c>
      <c r="F1842">
        <f t="shared" ca="1" si="113"/>
        <v>-21.828427860885824</v>
      </c>
      <c r="G1842">
        <f t="shared" ca="1" si="114"/>
        <v>-9.0267842918255015E-2</v>
      </c>
      <c r="H1842" t="str">
        <f t="shared" ca="1" si="115"/>
        <v>underprived</v>
      </c>
    </row>
    <row r="1843" spans="1:8" x14ac:dyDescent="0.3">
      <c r="A1843" t="s">
        <v>2090</v>
      </c>
      <c r="B1843" t="s">
        <v>313</v>
      </c>
      <c r="C1843">
        <v>66.290000000000006</v>
      </c>
      <c r="D1843">
        <v>12.8</v>
      </c>
      <c r="E1843">
        <f t="shared" ca="1" si="112"/>
        <v>67.203848117081719</v>
      </c>
      <c r="F1843">
        <f t="shared" ca="1" si="113"/>
        <v>-0.91384811708171299</v>
      </c>
      <c r="G1843">
        <f t="shared" ca="1" si="114"/>
        <v>-1.3598151633960276E-2</v>
      </c>
      <c r="H1843" t="str">
        <f t="shared" ca="1" si="115"/>
        <v>competitive</v>
      </c>
    </row>
    <row r="1844" spans="1:8" x14ac:dyDescent="0.3">
      <c r="A1844" t="s">
        <v>1219</v>
      </c>
      <c r="B1844" t="s">
        <v>1220</v>
      </c>
      <c r="C1844">
        <v>42.97</v>
      </c>
      <c r="D1844">
        <v>23.1</v>
      </c>
      <c r="E1844">
        <f t="shared" ca="1" si="112"/>
        <v>45.122040185125172</v>
      </c>
      <c r="F1844">
        <f t="shared" ca="1" si="113"/>
        <v>-2.1520401851251734</v>
      </c>
      <c r="G1844">
        <f t="shared" ca="1" si="114"/>
        <v>-4.7693769525842714E-2</v>
      </c>
      <c r="H1844" t="str">
        <f t="shared" ca="1" si="115"/>
        <v>competitive</v>
      </c>
    </row>
    <row r="1845" spans="1:8" x14ac:dyDescent="0.3">
      <c r="A1845" t="s">
        <v>2091</v>
      </c>
      <c r="B1845" t="s">
        <v>350</v>
      </c>
      <c r="C1845">
        <v>15.99</v>
      </c>
      <c r="D1845">
        <v>8.8800000000000008</v>
      </c>
      <c r="E1845">
        <f t="shared" ca="1" si="112"/>
        <v>14.605773627863901</v>
      </c>
      <c r="F1845">
        <f t="shared" ca="1" si="113"/>
        <v>1.3842263721360997</v>
      </c>
      <c r="G1845">
        <f t="shared" ca="1" si="114"/>
        <v>9.4772547309330255E-2</v>
      </c>
      <c r="H1845" t="str">
        <f t="shared" ca="1" si="115"/>
        <v>overpriced</v>
      </c>
    </row>
    <row r="1846" spans="1:8" x14ac:dyDescent="0.3">
      <c r="A1846" t="s">
        <v>2092</v>
      </c>
      <c r="B1846" t="s">
        <v>2093</v>
      </c>
      <c r="C1846">
        <v>145</v>
      </c>
      <c r="D1846">
        <v>28.2</v>
      </c>
      <c r="E1846">
        <f t="shared" ca="1" si="112"/>
        <v>132.71145843442986</v>
      </c>
      <c r="F1846">
        <f t="shared" ca="1" si="113"/>
        <v>12.288541565570142</v>
      </c>
      <c r="G1846">
        <f t="shared" ca="1" si="114"/>
        <v>9.259593489918333E-2</v>
      </c>
      <c r="H1846" t="str">
        <f t="shared" ca="1" si="115"/>
        <v>overpriced</v>
      </c>
    </row>
    <row r="1847" spans="1:8" x14ac:dyDescent="0.3">
      <c r="A1847" t="s">
        <v>2094</v>
      </c>
      <c r="B1847" t="s">
        <v>2095</v>
      </c>
      <c r="C1847">
        <v>569.9</v>
      </c>
      <c r="D1847">
        <v>22.87</v>
      </c>
      <c r="E1847">
        <f t="shared" ca="1" si="112"/>
        <v>585.84133576121349</v>
      </c>
      <c r="F1847">
        <f t="shared" ca="1" si="113"/>
        <v>-15.941335761213509</v>
      </c>
      <c r="G1847">
        <f t="shared" ca="1" si="114"/>
        <v>-2.7211012245320857E-2</v>
      </c>
      <c r="H1847" t="str">
        <f t="shared" ca="1" si="115"/>
        <v>competitive</v>
      </c>
    </row>
    <row r="1848" spans="1:8" x14ac:dyDescent="0.3">
      <c r="A1848" t="s">
        <v>2096</v>
      </c>
      <c r="B1848" t="s">
        <v>346</v>
      </c>
      <c r="C1848">
        <v>54.49</v>
      </c>
      <c r="D1848">
        <v>7.78</v>
      </c>
      <c r="E1848">
        <f t="shared" ca="1" si="112"/>
        <v>57.471555597639288</v>
      </c>
      <c r="F1848">
        <f t="shared" ca="1" si="113"/>
        <v>-2.9815555976392858</v>
      </c>
      <c r="G1848">
        <f t="shared" ca="1" si="114"/>
        <v>-5.1878804508325452E-2</v>
      </c>
      <c r="H1848" t="str">
        <f t="shared" ca="1" si="115"/>
        <v>underprived</v>
      </c>
    </row>
    <row r="1849" spans="1:8" x14ac:dyDescent="0.3">
      <c r="A1849" t="s">
        <v>2097</v>
      </c>
      <c r="B1849" t="s">
        <v>573</v>
      </c>
      <c r="C1849">
        <v>97</v>
      </c>
      <c r="D1849">
        <v>15.43</v>
      </c>
      <c r="E1849">
        <f t="shared" ca="1" si="112"/>
        <v>102.90241071603764</v>
      </c>
      <c r="F1849">
        <f t="shared" ca="1" si="113"/>
        <v>-5.902410716037636</v>
      </c>
      <c r="G1849">
        <f t="shared" ca="1" si="114"/>
        <v>-5.7359304558233529E-2</v>
      </c>
      <c r="H1849" t="str">
        <f t="shared" ca="1" si="115"/>
        <v>underprived</v>
      </c>
    </row>
    <row r="1850" spans="1:8" x14ac:dyDescent="0.3">
      <c r="A1850" t="s">
        <v>30</v>
      </c>
      <c r="B1850" t="s">
        <v>31</v>
      </c>
      <c r="C1850">
        <v>53.9</v>
      </c>
      <c r="D1850">
        <v>14.47</v>
      </c>
      <c r="E1850">
        <f t="shared" ca="1" si="112"/>
        <v>49.063278234555128</v>
      </c>
      <c r="F1850">
        <f t="shared" ca="1" si="113"/>
        <v>4.8367217654448709</v>
      </c>
      <c r="G1850">
        <f t="shared" ca="1" si="114"/>
        <v>9.8581300302073613E-2</v>
      </c>
      <c r="H1850" t="str">
        <f t="shared" ca="1" si="115"/>
        <v>overpriced</v>
      </c>
    </row>
    <row r="1851" spans="1:8" x14ac:dyDescent="0.3">
      <c r="A1851" t="s">
        <v>30</v>
      </c>
      <c r="B1851" t="s">
        <v>31</v>
      </c>
      <c r="C1851">
        <v>53.9</v>
      </c>
      <c r="D1851">
        <v>14.47</v>
      </c>
      <c r="E1851">
        <f t="shared" ca="1" si="112"/>
        <v>54.696789229961212</v>
      </c>
      <c r="F1851">
        <f t="shared" ca="1" si="113"/>
        <v>-0.79678922996121315</v>
      </c>
      <c r="G1851">
        <f t="shared" ca="1" si="114"/>
        <v>-1.4567385785869066E-2</v>
      </c>
      <c r="H1851" t="str">
        <f t="shared" ca="1" si="115"/>
        <v>competitive</v>
      </c>
    </row>
    <row r="1852" spans="1:8" x14ac:dyDescent="0.3">
      <c r="A1852" t="s">
        <v>2098</v>
      </c>
      <c r="B1852" t="s">
        <v>575</v>
      </c>
      <c r="C1852">
        <v>59.5</v>
      </c>
      <c r="D1852">
        <v>17.16</v>
      </c>
      <c r="E1852">
        <f t="shared" ca="1" si="112"/>
        <v>54.562781787609154</v>
      </c>
      <c r="F1852">
        <f t="shared" ca="1" si="113"/>
        <v>4.9372182123908459</v>
      </c>
      <c r="G1852">
        <f t="shared" ca="1" si="114"/>
        <v>9.0486922598804434E-2</v>
      </c>
      <c r="H1852" t="str">
        <f t="shared" ca="1" si="115"/>
        <v>overpriced</v>
      </c>
    </row>
    <row r="1853" spans="1:8" x14ac:dyDescent="0.3">
      <c r="A1853" t="s">
        <v>2098</v>
      </c>
      <c r="B1853" t="s">
        <v>575</v>
      </c>
      <c r="C1853">
        <v>59.5</v>
      </c>
      <c r="D1853">
        <v>17.16</v>
      </c>
      <c r="E1853">
        <f t="shared" ca="1" si="112"/>
        <v>62.467422863402</v>
      </c>
      <c r="F1853">
        <f t="shared" ca="1" si="113"/>
        <v>-2.9674228634019997</v>
      </c>
      <c r="G1853">
        <f t="shared" ca="1" si="114"/>
        <v>-4.7503526276262212E-2</v>
      </c>
      <c r="H1853" t="str">
        <f t="shared" ca="1" si="115"/>
        <v>competitive</v>
      </c>
    </row>
    <row r="1854" spans="1:8" x14ac:dyDescent="0.3">
      <c r="A1854" t="s">
        <v>2099</v>
      </c>
      <c r="B1854" t="s">
        <v>71</v>
      </c>
      <c r="C1854">
        <v>15.9</v>
      </c>
      <c r="D1854">
        <v>7.39</v>
      </c>
      <c r="E1854">
        <f t="shared" ca="1" si="112"/>
        <v>16.758909028898131</v>
      </c>
      <c r="F1854">
        <f t="shared" ca="1" si="113"/>
        <v>-0.8589090288981307</v>
      </c>
      <c r="G1854">
        <f t="shared" ca="1" si="114"/>
        <v>-5.1250891535784084E-2</v>
      </c>
      <c r="H1854" t="str">
        <f t="shared" ca="1" si="115"/>
        <v>underprived</v>
      </c>
    </row>
    <row r="1855" spans="1:8" x14ac:dyDescent="0.3">
      <c r="A1855" t="s">
        <v>2100</v>
      </c>
      <c r="B1855" t="s">
        <v>313</v>
      </c>
      <c r="C1855">
        <v>45.9</v>
      </c>
      <c r="D1855">
        <v>16.11</v>
      </c>
      <c r="E1855">
        <f t="shared" ca="1" si="112"/>
        <v>50.263757665679464</v>
      </c>
      <c r="F1855">
        <f t="shared" ca="1" si="113"/>
        <v>-4.363757665679465</v>
      </c>
      <c r="G1855">
        <f t="shared" ca="1" si="114"/>
        <v>-8.6817179382095364E-2</v>
      </c>
      <c r="H1855" t="str">
        <f t="shared" ca="1" si="115"/>
        <v>underprived</v>
      </c>
    </row>
    <row r="1856" spans="1:8" x14ac:dyDescent="0.3">
      <c r="A1856" t="s">
        <v>2100</v>
      </c>
      <c r="B1856" t="s">
        <v>313</v>
      </c>
      <c r="C1856">
        <v>45.9</v>
      </c>
      <c r="D1856">
        <v>16.11</v>
      </c>
      <c r="E1856">
        <f t="shared" ca="1" si="112"/>
        <v>47.577280758751634</v>
      </c>
      <c r="F1856">
        <f t="shared" ca="1" si="113"/>
        <v>-1.6772807587516354</v>
      </c>
      <c r="G1856">
        <f t="shared" ca="1" si="114"/>
        <v>-3.5253817200200266E-2</v>
      </c>
      <c r="H1856" t="str">
        <f t="shared" ca="1" si="115"/>
        <v>competitive</v>
      </c>
    </row>
    <row r="1857" spans="1:8" x14ac:dyDescent="0.3">
      <c r="A1857" t="s">
        <v>2100</v>
      </c>
      <c r="B1857" t="s">
        <v>313</v>
      </c>
      <c r="C1857">
        <v>45.9</v>
      </c>
      <c r="D1857">
        <v>16.11</v>
      </c>
      <c r="E1857">
        <f t="shared" ca="1" si="112"/>
        <v>46.948180276708392</v>
      </c>
      <c r="F1857">
        <f t="shared" ca="1" si="113"/>
        <v>-1.0481802767083934</v>
      </c>
      <c r="G1857">
        <f t="shared" ca="1" si="114"/>
        <v>-2.2326323843235504E-2</v>
      </c>
      <c r="H1857" t="str">
        <f t="shared" ca="1" si="115"/>
        <v>competitive</v>
      </c>
    </row>
    <row r="1858" spans="1:8" x14ac:dyDescent="0.3">
      <c r="A1858" t="s">
        <v>2101</v>
      </c>
      <c r="B1858" t="s">
        <v>416</v>
      </c>
      <c r="C1858">
        <v>18.989999999999998</v>
      </c>
      <c r="D1858">
        <v>7.39</v>
      </c>
      <c r="E1858">
        <f t="shared" ca="1" si="112"/>
        <v>18.177456803238549</v>
      </c>
      <c r="F1858">
        <f t="shared" ca="1" si="113"/>
        <v>0.81254319676144959</v>
      </c>
      <c r="G1858">
        <f t="shared" ca="1" si="114"/>
        <v>4.4700598414662965E-2</v>
      </c>
      <c r="H1858" t="str">
        <f t="shared" ca="1" si="115"/>
        <v>competitive</v>
      </c>
    </row>
    <row r="1859" spans="1:8" x14ac:dyDescent="0.3">
      <c r="A1859" t="s">
        <v>2101</v>
      </c>
      <c r="B1859" t="s">
        <v>416</v>
      </c>
      <c r="C1859">
        <v>18.989999999999998</v>
      </c>
      <c r="D1859">
        <v>7.39</v>
      </c>
      <c r="E1859">
        <f t="shared" ref="E1859:E1922" ca="1" si="116">C1859*(1+RAND()*0.2-0.1)</f>
        <v>19.851267447877085</v>
      </c>
      <c r="F1859">
        <f t="shared" ref="F1859:F1922" ca="1" si="117">C1859-E1859</f>
        <v>-0.86126744787708631</v>
      </c>
      <c r="G1859">
        <f t="shared" ref="G1859:G1922" ca="1" si="118">(C1859-E1859)/E1859</f>
        <v>-4.3386018053431202E-2</v>
      </c>
      <c r="H1859" t="str">
        <f t="shared" ref="H1859:H1922" ca="1" si="119">IF(E1859="","competitive",IF(ABS(C1859-E1859)/E1859&lt;=0.05,"competitive",IF(C1859&gt;E1859,"overpriced","underprived")))</f>
        <v>competitive</v>
      </c>
    </row>
    <row r="1860" spans="1:8" x14ac:dyDescent="0.3">
      <c r="A1860" t="s">
        <v>2102</v>
      </c>
      <c r="B1860" t="s">
        <v>2103</v>
      </c>
      <c r="C1860">
        <v>90</v>
      </c>
      <c r="D1860">
        <v>44.48</v>
      </c>
      <c r="E1860">
        <f t="shared" ca="1" si="116"/>
        <v>81.793392766862652</v>
      </c>
      <c r="F1860">
        <f t="shared" ca="1" si="117"/>
        <v>8.2066072331373476</v>
      </c>
      <c r="G1860">
        <f t="shared" ca="1" si="118"/>
        <v>0.10033337602865802</v>
      </c>
      <c r="H1860" t="str">
        <f t="shared" ca="1" si="119"/>
        <v>overpriced</v>
      </c>
    </row>
    <row r="1861" spans="1:8" x14ac:dyDescent="0.3">
      <c r="A1861" t="s">
        <v>2104</v>
      </c>
      <c r="B1861" t="s">
        <v>290</v>
      </c>
      <c r="C1861">
        <v>49.9</v>
      </c>
      <c r="D1861">
        <v>14.1</v>
      </c>
      <c r="E1861">
        <f t="shared" ca="1" si="116"/>
        <v>52.91486254343922</v>
      </c>
      <c r="F1861">
        <f t="shared" ca="1" si="117"/>
        <v>-3.0148625434392216</v>
      </c>
      <c r="G1861">
        <f t="shared" ca="1" si="118"/>
        <v>-5.6975722859796539E-2</v>
      </c>
      <c r="H1861" t="str">
        <f t="shared" ca="1" si="119"/>
        <v>underprived</v>
      </c>
    </row>
    <row r="1862" spans="1:8" x14ac:dyDescent="0.3">
      <c r="A1862" t="s">
        <v>2105</v>
      </c>
      <c r="B1862" t="s">
        <v>1754</v>
      </c>
      <c r="C1862">
        <v>69.900000000000006</v>
      </c>
      <c r="D1862">
        <v>15.24</v>
      </c>
      <c r="E1862">
        <f t="shared" ca="1" si="116"/>
        <v>75.926401287011444</v>
      </c>
      <c r="F1862">
        <f t="shared" ca="1" si="117"/>
        <v>-6.0264012870114385</v>
      </c>
      <c r="G1862">
        <f t="shared" ca="1" si="118"/>
        <v>-7.9371617577802422E-2</v>
      </c>
      <c r="H1862" t="str">
        <f t="shared" ca="1" si="119"/>
        <v>underprived</v>
      </c>
    </row>
    <row r="1863" spans="1:8" x14ac:dyDescent="0.3">
      <c r="A1863" t="s">
        <v>2106</v>
      </c>
      <c r="B1863" t="s">
        <v>47</v>
      </c>
      <c r="C1863">
        <v>119.94</v>
      </c>
      <c r="D1863">
        <v>34.200000000000003</v>
      </c>
      <c r="E1863">
        <f t="shared" ca="1" si="116"/>
        <v>110.33933413050623</v>
      </c>
      <c r="F1863">
        <f t="shared" ca="1" si="117"/>
        <v>9.600665869493767</v>
      </c>
      <c r="G1863">
        <f t="shared" ca="1" si="118"/>
        <v>8.7010366204841982E-2</v>
      </c>
      <c r="H1863" t="str">
        <f t="shared" ca="1" si="119"/>
        <v>overpriced</v>
      </c>
    </row>
    <row r="1864" spans="1:8" x14ac:dyDescent="0.3">
      <c r="A1864" t="s">
        <v>592</v>
      </c>
      <c r="B1864" t="s">
        <v>438</v>
      </c>
      <c r="C1864">
        <v>225</v>
      </c>
      <c r="D1864">
        <v>20.72</v>
      </c>
      <c r="E1864">
        <f t="shared" ca="1" si="116"/>
        <v>220.38132717231682</v>
      </c>
      <c r="F1864">
        <f t="shared" ca="1" si="117"/>
        <v>4.6186728276831843</v>
      </c>
      <c r="G1864">
        <f t="shared" ca="1" si="118"/>
        <v>2.0957641407031869E-2</v>
      </c>
      <c r="H1864" t="str">
        <f t="shared" ca="1" si="119"/>
        <v>competitive</v>
      </c>
    </row>
    <row r="1865" spans="1:8" x14ac:dyDescent="0.3">
      <c r="A1865" t="s">
        <v>2035</v>
      </c>
      <c r="B1865" t="s">
        <v>307</v>
      </c>
      <c r="C1865">
        <v>108</v>
      </c>
      <c r="D1865">
        <v>9.77</v>
      </c>
      <c r="E1865">
        <f t="shared" ca="1" si="116"/>
        <v>115.59275214215928</v>
      </c>
      <c r="F1865">
        <f t="shared" ca="1" si="117"/>
        <v>-7.5927521421592843</v>
      </c>
      <c r="G1865">
        <f t="shared" ca="1" si="118"/>
        <v>-6.5685365227929685E-2</v>
      </c>
      <c r="H1865" t="str">
        <f t="shared" ca="1" si="119"/>
        <v>underprived</v>
      </c>
    </row>
    <row r="1866" spans="1:8" x14ac:dyDescent="0.3">
      <c r="A1866" t="s">
        <v>2107</v>
      </c>
      <c r="B1866" t="s">
        <v>143</v>
      </c>
      <c r="C1866">
        <v>64.989999999999995</v>
      </c>
      <c r="D1866">
        <v>18.559999999999999</v>
      </c>
      <c r="E1866">
        <f t="shared" ca="1" si="116"/>
        <v>62.887431960936787</v>
      </c>
      <c r="F1866">
        <f t="shared" ca="1" si="117"/>
        <v>2.1025680390632076</v>
      </c>
      <c r="G1866">
        <f t="shared" ca="1" si="118"/>
        <v>3.3433835243411446E-2</v>
      </c>
      <c r="H1866" t="str">
        <f t="shared" ca="1" si="119"/>
        <v>competitive</v>
      </c>
    </row>
    <row r="1867" spans="1:8" x14ac:dyDescent="0.3">
      <c r="A1867" t="s">
        <v>2108</v>
      </c>
      <c r="B1867" t="s">
        <v>1560</v>
      </c>
      <c r="C1867">
        <v>30</v>
      </c>
      <c r="D1867">
        <v>15.23</v>
      </c>
      <c r="E1867">
        <f t="shared" ca="1" si="116"/>
        <v>31.220528133592364</v>
      </c>
      <c r="F1867">
        <f t="shared" ca="1" si="117"/>
        <v>-1.2205281335923637</v>
      </c>
      <c r="G1867">
        <f t="shared" ca="1" si="118"/>
        <v>-3.9093769598314759E-2</v>
      </c>
      <c r="H1867" t="str">
        <f t="shared" ca="1" si="119"/>
        <v>competitive</v>
      </c>
    </row>
    <row r="1868" spans="1:8" x14ac:dyDescent="0.3">
      <c r="A1868" t="s">
        <v>2109</v>
      </c>
      <c r="B1868" t="s">
        <v>2110</v>
      </c>
      <c r="C1868">
        <v>489</v>
      </c>
      <c r="D1868">
        <v>17.170000000000002</v>
      </c>
      <c r="E1868">
        <f t="shared" ca="1" si="116"/>
        <v>504.5017003031308</v>
      </c>
      <c r="F1868">
        <f t="shared" ca="1" si="117"/>
        <v>-15.501700303130804</v>
      </c>
      <c r="G1868">
        <f t="shared" ca="1" si="118"/>
        <v>-3.0726755318795908E-2</v>
      </c>
      <c r="H1868" t="str">
        <f t="shared" ca="1" si="119"/>
        <v>competitive</v>
      </c>
    </row>
    <row r="1869" spans="1:8" x14ac:dyDescent="0.3">
      <c r="A1869" t="s">
        <v>2111</v>
      </c>
      <c r="B1869" t="s">
        <v>573</v>
      </c>
      <c r="C1869">
        <v>467</v>
      </c>
      <c r="D1869">
        <v>19.239999999999998</v>
      </c>
      <c r="E1869">
        <f t="shared" ca="1" si="116"/>
        <v>454.26330151271759</v>
      </c>
      <c r="F1869">
        <f t="shared" ca="1" si="117"/>
        <v>12.73669848728241</v>
      </c>
      <c r="G1869">
        <f t="shared" ca="1" si="118"/>
        <v>2.803814097433938E-2</v>
      </c>
      <c r="H1869" t="str">
        <f t="shared" ca="1" si="119"/>
        <v>competitive</v>
      </c>
    </row>
    <row r="1870" spans="1:8" x14ac:dyDescent="0.3">
      <c r="A1870" t="s">
        <v>2111</v>
      </c>
      <c r="B1870" t="s">
        <v>573</v>
      </c>
      <c r="C1870">
        <v>467</v>
      </c>
      <c r="D1870">
        <v>19.239999999999998</v>
      </c>
      <c r="E1870">
        <f t="shared" ca="1" si="116"/>
        <v>502.49089597074601</v>
      </c>
      <c r="F1870">
        <f t="shared" ca="1" si="117"/>
        <v>-35.49089597074601</v>
      </c>
      <c r="G1870">
        <f t="shared" ca="1" si="118"/>
        <v>-7.0629928333691083E-2</v>
      </c>
      <c r="H1870" t="str">
        <f t="shared" ca="1" si="119"/>
        <v>underprived</v>
      </c>
    </row>
    <row r="1871" spans="1:8" x14ac:dyDescent="0.3">
      <c r="A1871" t="s">
        <v>2112</v>
      </c>
      <c r="B1871" t="s">
        <v>461</v>
      </c>
      <c r="C1871">
        <v>249</v>
      </c>
      <c r="D1871">
        <v>15.22</v>
      </c>
      <c r="E1871">
        <f t="shared" ca="1" si="116"/>
        <v>247.52085090884177</v>
      </c>
      <c r="F1871">
        <f t="shared" ca="1" si="117"/>
        <v>1.4791490911582343</v>
      </c>
      <c r="G1871">
        <f t="shared" ca="1" si="118"/>
        <v>5.975856521691511E-3</v>
      </c>
      <c r="H1871" t="str">
        <f t="shared" ca="1" si="119"/>
        <v>competitive</v>
      </c>
    </row>
    <row r="1872" spans="1:8" x14ac:dyDescent="0.3">
      <c r="A1872" t="s">
        <v>883</v>
      </c>
      <c r="B1872" t="s">
        <v>29</v>
      </c>
      <c r="C1872">
        <v>89.9</v>
      </c>
      <c r="D1872">
        <v>17.88</v>
      </c>
      <c r="E1872">
        <f t="shared" ca="1" si="116"/>
        <v>86.678350971761063</v>
      </c>
      <c r="F1872">
        <f t="shared" ca="1" si="117"/>
        <v>3.2216490282389429</v>
      </c>
      <c r="G1872">
        <f t="shared" ca="1" si="118"/>
        <v>3.7167862472239736E-2</v>
      </c>
      <c r="H1872" t="str">
        <f t="shared" ca="1" si="119"/>
        <v>competitive</v>
      </c>
    </row>
    <row r="1873" spans="1:8" x14ac:dyDescent="0.3">
      <c r="A1873" t="s">
        <v>2113</v>
      </c>
      <c r="B1873" t="s">
        <v>2095</v>
      </c>
      <c r="C1873">
        <v>39.9</v>
      </c>
      <c r="D1873">
        <v>17.600000000000001</v>
      </c>
      <c r="E1873">
        <f t="shared" ca="1" si="116"/>
        <v>41.617934856542654</v>
      </c>
      <c r="F1873">
        <f t="shared" ca="1" si="117"/>
        <v>-1.7179348565426551</v>
      </c>
      <c r="G1873">
        <f t="shared" ca="1" si="118"/>
        <v>-4.1278714632631101E-2</v>
      </c>
      <c r="H1873" t="str">
        <f t="shared" ca="1" si="119"/>
        <v>competitive</v>
      </c>
    </row>
    <row r="1874" spans="1:8" x14ac:dyDescent="0.3">
      <c r="A1874" t="s">
        <v>2114</v>
      </c>
      <c r="B1874" t="s">
        <v>401</v>
      </c>
      <c r="C1874">
        <v>130</v>
      </c>
      <c r="D1874">
        <v>8.65</v>
      </c>
      <c r="E1874">
        <f t="shared" ca="1" si="116"/>
        <v>129.03421609997383</v>
      </c>
      <c r="F1874">
        <f t="shared" ca="1" si="117"/>
        <v>0.96578390002616743</v>
      </c>
      <c r="G1874">
        <f t="shared" ca="1" si="118"/>
        <v>7.4847116463891417E-3</v>
      </c>
      <c r="H1874" t="str">
        <f t="shared" ca="1" si="119"/>
        <v>competitive</v>
      </c>
    </row>
    <row r="1875" spans="1:8" x14ac:dyDescent="0.3">
      <c r="A1875" t="s">
        <v>2115</v>
      </c>
      <c r="B1875" t="s">
        <v>1165</v>
      </c>
      <c r="C1875">
        <v>12.89</v>
      </c>
      <c r="D1875">
        <v>16.79</v>
      </c>
      <c r="E1875">
        <f t="shared" ca="1" si="116"/>
        <v>14.024923657864759</v>
      </c>
      <c r="F1875">
        <f t="shared" ca="1" si="117"/>
        <v>-1.1349236578647588</v>
      </c>
      <c r="G1875">
        <f t="shared" ca="1" si="118"/>
        <v>-8.0921913412935226E-2</v>
      </c>
      <c r="H1875" t="str">
        <f t="shared" ca="1" si="119"/>
        <v>underprived</v>
      </c>
    </row>
    <row r="1876" spans="1:8" x14ac:dyDescent="0.3">
      <c r="A1876" t="s">
        <v>2116</v>
      </c>
      <c r="B1876" t="s">
        <v>33</v>
      </c>
      <c r="C1876">
        <v>129.9</v>
      </c>
      <c r="D1876">
        <v>17.350000000000001</v>
      </c>
      <c r="E1876">
        <f t="shared" ca="1" si="116"/>
        <v>127.27000891486259</v>
      </c>
      <c r="F1876">
        <f t="shared" ca="1" si="117"/>
        <v>2.6299910851374193</v>
      </c>
      <c r="G1876">
        <f t="shared" ca="1" si="118"/>
        <v>2.0664657035553088E-2</v>
      </c>
      <c r="H1876" t="str">
        <f t="shared" ca="1" si="119"/>
        <v>competitive</v>
      </c>
    </row>
    <row r="1877" spans="1:8" x14ac:dyDescent="0.3">
      <c r="A1877" t="s">
        <v>2117</v>
      </c>
      <c r="B1877" t="s">
        <v>45</v>
      </c>
      <c r="C1877">
        <v>27.99</v>
      </c>
      <c r="D1877">
        <v>18.23</v>
      </c>
      <c r="E1877">
        <f t="shared" ca="1" si="116"/>
        <v>30.638364029467645</v>
      </c>
      <c r="F1877">
        <f t="shared" ca="1" si="117"/>
        <v>-2.6483640294676469</v>
      </c>
      <c r="G1877">
        <f t="shared" ca="1" si="118"/>
        <v>-8.6439472646792734E-2</v>
      </c>
      <c r="H1877" t="str">
        <f t="shared" ca="1" si="119"/>
        <v>underprived</v>
      </c>
    </row>
    <row r="1878" spans="1:8" x14ac:dyDescent="0.3">
      <c r="A1878" t="s">
        <v>2118</v>
      </c>
      <c r="B1878" t="s">
        <v>2119</v>
      </c>
      <c r="C1878">
        <v>189.9</v>
      </c>
      <c r="D1878">
        <v>13.77</v>
      </c>
      <c r="E1878">
        <f t="shared" ca="1" si="116"/>
        <v>171.47061601904349</v>
      </c>
      <c r="F1878">
        <f t="shared" ca="1" si="117"/>
        <v>18.429383980956516</v>
      </c>
      <c r="G1878">
        <f t="shared" ca="1" si="118"/>
        <v>0.10747837972956108</v>
      </c>
      <c r="H1878" t="str">
        <f t="shared" ca="1" si="119"/>
        <v>overpriced</v>
      </c>
    </row>
    <row r="1879" spans="1:8" x14ac:dyDescent="0.3">
      <c r="A1879" t="s">
        <v>2120</v>
      </c>
      <c r="B1879" t="s">
        <v>2121</v>
      </c>
      <c r="C1879">
        <v>379.9</v>
      </c>
      <c r="D1879">
        <v>13.86</v>
      </c>
      <c r="E1879">
        <f t="shared" ca="1" si="116"/>
        <v>393.41167191473249</v>
      </c>
      <c r="F1879">
        <f t="shared" ca="1" si="117"/>
        <v>-13.511671914732517</v>
      </c>
      <c r="G1879">
        <f t="shared" ca="1" si="118"/>
        <v>-3.4344867931780675E-2</v>
      </c>
      <c r="H1879" t="str">
        <f t="shared" ca="1" si="119"/>
        <v>competitive</v>
      </c>
    </row>
    <row r="1880" spans="1:8" x14ac:dyDescent="0.3">
      <c r="A1880" t="s">
        <v>2122</v>
      </c>
      <c r="B1880" t="s">
        <v>304</v>
      </c>
      <c r="C1880">
        <v>120</v>
      </c>
      <c r="D1880">
        <v>20.03</v>
      </c>
      <c r="E1880">
        <f t="shared" ca="1" si="116"/>
        <v>125.55922166399121</v>
      </c>
      <c r="F1880">
        <f t="shared" ca="1" si="117"/>
        <v>-5.5592216639912095</v>
      </c>
      <c r="G1880">
        <f t="shared" ca="1" si="118"/>
        <v>-4.4275693894218551E-2</v>
      </c>
      <c r="H1880" t="str">
        <f t="shared" ca="1" si="119"/>
        <v>competitive</v>
      </c>
    </row>
    <row r="1881" spans="1:8" x14ac:dyDescent="0.3">
      <c r="A1881" t="s">
        <v>2123</v>
      </c>
      <c r="B1881" t="s">
        <v>1595</v>
      </c>
      <c r="C1881">
        <v>225</v>
      </c>
      <c r="D1881">
        <v>8.84</v>
      </c>
      <c r="E1881">
        <f t="shared" ca="1" si="116"/>
        <v>220.83211692283263</v>
      </c>
      <c r="F1881">
        <f t="shared" ca="1" si="117"/>
        <v>4.1678830771673745</v>
      </c>
      <c r="G1881">
        <f t="shared" ca="1" si="118"/>
        <v>1.8873536762878545E-2</v>
      </c>
      <c r="H1881" t="str">
        <f t="shared" ca="1" si="119"/>
        <v>competitive</v>
      </c>
    </row>
    <row r="1882" spans="1:8" x14ac:dyDescent="0.3">
      <c r="A1882" t="s">
        <v>2124</v>
      </c>
      <c r="B1882" t="s">
        <v>49</v>
      </c>
      <c r="C1882">
        <v>55</v>
      </c>
      <c r="D1882">
        <v>25.67</v>
      </c>
      <c r="E1882">
        <f t="shared" ca="1" si="116"/>
        <v>51.352474213627808</v>
      </c>
      <c r="F1882">
        <f t="shared" ca="1" si="117"/>
        <v>3.6475257863721922</v>
      </c>
      <c r="G1882">
        <f t="shared" ca="1" si="118"/>
        <v>7.1029212169960443E-2</v>
      </c>
      <c r="H1882" t="str">
        <f t="shared" ca="1" si="119"/>
        <v>overpriced</v>
      </c>
    </row>
    <row r="1883" spans="1:8" x14ac:dyDescent="0.3">
      <c r="A1883" t="s">
        <v>2125</v>
      </c>
      <c r="B1883" t="s">
        <v>1002</v>
      </c>
      <c r="C1883">
        <v>29.1</v>
      </c>
      <c r="D1883">
        <v>15.11</v>
      </c>
      <c r="E1883">
        <f t="shared" ca="1" si="116"/>
        <v>27.108380543744083</v>
      </c>
      <c r="F1883">
        <f t="shared" ca="1" si="117"/>
        <v>1.9916194562559184</v>
      </c>
      <c r="G1883">
        <f t="shared" ca="1" si="118"/>
        <v>7.3468772988563233E-2</v>
      </c>
      <c r="H1883" t="str">
        <f t="shared" ca="1" si="119"/>
        <v>overpriced</v>
      </c>
    </row>
    <row r="1884" spans="1:8" x14ac:dyDescent="0.3">
      <c r="A1884" t="s">
        <v>389</v>
      </c>
      <c r="B1884" t="s">
        <v>390</v>
      </c>
      <c r="C1884">
        <v>39.99</v>
      </c>
      <c r="D1884">
        <v>12.94</v>
      </c>
      <c r="E1884">
        <f t="shared" ca="1" si="116"/>
        <v>42.285792069292043</v>
      </c>
      <c r="F1884">
        <f t="shared" ca="1" si="117"/>
        <v>-2.295792069292041</v>
      </c>
      <c r="G1884">
        <f t="shared" ca="1" si="118"/>
        <v>-5.4292280147667994E-2</v>
      </c>
      <c r="H1884" t="str">
        <f t="shared" ca="1" si="119"/>
        <v>underprived</v>
      </c>
    </row>
    <row r="1885" spans="1:8" x14ac:dyDescent="0.3">
      <c r="A1885" t="s">
        <v>2126</v>
      </c>
      <c r="B1885" t="s">
        <v>2127</v>
      </c>
      <c r="C1885">
        <v>115</v>
      </c>
      <c r="D1885">
        <v>21.3</v>
      </c>
      <c r="E1885">
        <f t="shared" ca="1" si="116"/>
        <v>123.93138796327841</v>
      </c>
      <c r="F1885">
        <f t="shared" ca="1" si="117"/>
        <v>-8.9313879632784108</v>
      </c>
      <c r="G1885">
        <f t="shared" ca="1" si="118"/>
        <v>-7.2067198714217851E-2</v>
      </c>
      <c r="H1885" t="str">
        <f t="shared" ca="1" si="119"/>
        <v>underprived</v>
      </c>
    </row>
    <row r="1886" spans="1:8" x14ac:dyDescent="0.3">
      <c r="A1886" t="s">
        <v>897</v>
      </c>
      <c r="B1886" t="s">
        <v>25</v>
      </c>
      <c r="C1886">
        <v>56.99</v>
      </c>
      <c r="D1886">
        <v>14.15</v>
      </c>
      <c r="E1886">
        <f t="shared" ca="1" si="116"/>
        <v>58.859585115210265</v>
      </c>
      <c r="F1886">
        <f t="shared" ca="1" si="117"/>
        <v>-1.8695851152102634</v>
      </c>
      <c r="G1886">
        <f t="shared" ca="1" si="118"/>
        <v>-3.1763477631566457E-2</v>
      </c>
      <c r="H1886" t="str">
        <f t="shared" ca="1" si="119"/>
        <v>competitive</v>
      </c>
    </row>
    <row r="1887" spans="1:8" x14ac:dyDescent="0.3">
      <c r="A1887" t="s">
        <v>2128</v>
      </c>
      <c r="B1887" t="s">
        <v>186</v>
      </c>
      <c r="C1887">
        <v>131</v>
      </c>
      <c r="D1887">
        <v>25.23</v>
      </c>
      <c r="E1887">
        <f t="shared" ca="1" si="116"/>
        <v>126.14433392135344</v>
      </c>
      <c r="F1887">
        <f t="shared" ca="1" si="117"/>
        <v>4.8556660786465642</v>
      </c>
      <c r="G1887">
        <f t="shared" ca="1" si="118"/>
        <v>3.849293842776879E-2</v>
      </c>
      <c r="H1887" t="str">
        <f t="shared" ca="1" si="119"/>
        <v>competitive</v>
      </c>
    </row>
    <row r="1888" spans="1:8" x14ac:dyDescent="0.3">
      <c r="A1888" t="s">
        <v>2129</v>
      </c>
      <c r="B1888" t="s">
        <v>79</v>
      </c>
      <c r="C1888">
        <v>229.99</v>
      </c>
      <c r="D1888">
        <v>31.02</v>
      </c>
      <c r="E1888">
        <f t="shared" ca="1" si="116"/>
        <v>249.63855210236107</v>
      </c>
      <c r="F1888">
        <f t="shared" ca="1" si="117"/>
        <v>-19.648552102361066</v>
      </c>
      <c r="G1888">
        <f t="shared" ca="1" si="118"/>
        <v>-7.8708003779417973E-2</v>
      </c>
      <c r="H1888" t="str">
        <f t="shared" ca="1" si="119"/>
        <v>underprived</v>
      </c>
    </row>
    <row r="1889" spans="1:8" x14ac:dyDescent="0.3">
      <c r="A1889" t="s">
        <v>2130</v>
      </c>
      <c r="B1889" t="s">
        <v>1216</v>
      </c>
      <c r="C1889">
        <v>94.95</v>
      </c>
      <c r="D1889">
        <v>19.86</v>
      </c>
      <c r="E1889">
        <f t="shared" ca="1" si="116"/>
        <v>87.755825688588004</v>
      </c>
      <c r="F1889">
        <f t="shared" ca="1" si="117"/>
        <v>7.1941743114119987</v>
      </c>
      <c r="G1889">
        <f t="shared" ca="1" si="118"/>
        <v>8.1979449853749692E-2</v>
      </c>
      <c r="H1889" t="str">
        <f t="shared" ca="1" si="119"/>
        <v>overpriced</v>
      </c>
    </row>
    <row r="1890" spans="1:8" x14ac:dyDescent="0.3">
      <c r="A1890" t="s">
        <v>2131</v>
      </c>
      <c r="B1890" t="s">
        <v>791</v>
      </c>
      <c r="C1890">
        <v>478</v>
      </c>
      <c r="D1890">
        <v>12.1</v>
      </c>
      <c r="E1890">
        <f t="shared" ca="1" si="116"/>
        <v>520.91049687721704</v>
      </c>
      <c r="F1890">
        <f t="shared" ca="1" si="117"/>
        <v>-42.910496877217042</v>
      </c>
      <c r="G1890">
        <f t="shared" ca="1" si="118"/>
        <v>-8.2375949677457552E-2</v>
      </c>
      <c r="H1890" t="str">
        <f t="shared" ca="1" si="119"/>
        <v>underprived</v>
      </c>
    </row>
    <row r="1891" spans="1:8" x14ac:dyDescent="0.3">
      <c r="A1891" t="s">
        <v>221</v>
      </c>
      <c r="B1891" t="s">
        <v>31</v>
      </c>
      <c r="C1891">
        <v>49.9</v>
      </c>
      <c r="D1891">
        <v>17.600000000000001</v>
      </c>
      <c r="E1891">
        <f t="shared" ca="1" si="116"/>
        <v>52.158800994557659</v>
      </c>
      <c r="F1891">
        <f t="shared" ca="1" si="117"/>
        <v>-2.2588009945576601</v>
      </c>
      <c r="G1891">
        <f t="shared" ca="1" si="118"/>
        <v>-4.3306229274582969E-2</v>
      </c>
      <c r="H1891" t="str">
        <f t="shared" ca="1" si="119"/>
        <v>competitive</v>
      </c>
    </row>
    <row r="1892" spans="1:8" x14ac:dyDescent="0.3">
      <c r="A1892" t="s">
        <v>2132</v>
      </c>
      <c r="B1892" t="s">
        <v>628</v>
      </c>
      <c r="C1892">
        <v>74.989999999999995</v>
      </c>
      <c r="D1892">
        <v>27.06</v>
      </c>
      <c r="E1892">
        <f t="shared" ca="1" si="116"/>
        <v>68.204222152216303</v>
      </c>
      <c r="F1892">
        <f t="shared" ca="1" si="117"/>
        <v>6.7857778477836916</v>
      </c>
      <c r="G1892">
        <f t="shared" ca="1" si="118"/>
        <v>9.9492049519154108E-2</v>
      </c>
      <c r="H1892" t="str">
        <f t="shared" ca="1" si="119"/>
        <v>overpriced</v>
      </c>
    </row>
    <row r="1893" spans="1:8" x14ac:dyDescent="0.3">
      <c r="A1893" t="s">
        <v>2133</v>
      </c>
      <c r="B1893" t="s">
        <v>1033</v>
      </c>
      <c r="C1893">
        <v>15.9</v>
      </c>
      <c r="D1893">
        <v>11.85</v>
      </c>
      <c r="E1893">
        <f t="shared" ca="1" si="116"/>
        <v>15.876867026386265</v>
      </c>
      <c r="F1893">
        <f t="shared" ca="1" si="117"/>
        <v>2.3132973613735786E-2</v>
      </c>
      <c r="G1893">
        <f t="shared" ca="1" si="118"/>
        <v>1.4570238306644736E-3</v>
      </c>
      <c r="H1893" t="str">
        <f t="shared" ca="1" si="119"/>
        <v>competitive</v>
      </c>
    </row>
    <row r="1894" spans="1:8" x14ac:dyDescent="0.3">
      <c r="A1894" t="s">
        <v>2134</v>
      </c>
      <c r="B1894" t="s">
        <v>1033</v>
      </c>
      <c r="C1894">
        <v>12.9</v>
      </c>
      <c r="D1894">
        <v>11.85</v>
      </c>
      <c r="E1894">
        <f t="shared" ca="1" si="116"/>
        <v>13.800343667184205</v>
      </c>
      <c r="F1894">
        <f t="shared" ca="1" si="117"/>
        <v>-0.90034366718420422</v>
      </c>
      <c r="G1894">
        <f t="shared" ca="1" si="118"/>
        <v>-6.5240670007742543E-2</v>
      </c>
      <c r="H1894" t="str">
        <f t="shared" ca="1" si="119"/>
        <v>underprived</v>
      </c>
    </row>
    <row r="1895" spans="1:8" x14ac:dyDescent="0.3">
      <c r="A1895" t="s">
        <v>1065</v>
      </c>
      <c r="B1895" t="s">
        <v>1066</v>
      </c>
      <c r="C1895">
        <v>114.9</v>
      </c>
      <c r="D1895">
        <v>15.11</v>
      </c>
      <c r="E1895">
        <f t="shared" ca="1" si="116"/>
        <v>110.37080730300876</v>
      </c>
      <c r="F1895">
        <f t="shared" ca="1" si="117"/>
        <v>4.5291926969912453</v>
      </c>
      <c r="G1895">
        <f t="shared" ca="1" si="118"/>
        <v>4.1036147217415317E-2</v>
      </c>
      <c r="H1895" t="str">
        <f t="shared" ca="1" si="119"/>
        <v>competitive</v>
      </c>
    </row>
    <row r="1896" spans="1:8" x14ac:dyDescent="0.3">
      <c r="A1896" t="s">
        <v>531</v>
      </c>
      <c r="B1896" t="s">
        <v>319</v>
      </c>
      <c r="C1896">
        <v>64.900000000000006</v>
      </c>
      <c r="D1896">
        <v>16.7</v>
      </c>
      <c r="E1896">
        <f t="shared" ca="1" si="116"/>
        <v>66.660736444567888</v>
      </c>
      <c r="F1896">
        <f t="shared" ca="1" si="117"/>
        <v>-1.7607364445678826</v>
      </c>
      <c r="G1896">
        <f t="shared" ca="1" si="118"/>
        <v>-2.6413396228108475E-2</v>
      </c>
      <c r="H1896" t="str">
        <f t="shared" ca="1" si="119"/>
        <v>competitive</v>
      </c>
    </row>
    <row r="1897" spans="1:8" x14ac:dyDescent="0.3">
      <c r="A1897" t="s">
        <v>2135</v>
      </c>
      <c r="B1897" t="s">
        <v>438</v>
      </c>
      <c r="C1897">
        <v>230</v>
      </c>
      <c r="D1897">
        <v>19.489999999999998</v>
      </c>
      <c r="E1897">
        <f t="shared" ca="1" si="116"/>
        <v>215.57153141223884</v>
      </c>
      <c r="F1897">
        <f t="shared" ca="1" si="117"/>
        <v>14.428468587761159</v>
      </c>
      <c r="G1897">
        <f t="shared" ca="1" si="118"/>
        <v>6.6931233884355096E-2</v>
      </c>
      <c r="H1897" t="str">
        <f t="shared" ca="1" si="119"/>
        <v>overpriced</v>
      </c>
    </row>
    <row r="1898" spans="1:8" x14ac:dyDescent="0.3">
      <c r="A1898" t="s">
        <v>330</v>
      </c>
      <c r="B1898" t="s">
        <v>29</v>
      </c>
      <c r="C1898">
        <v>68.5</v>
      </c>
      <c r="D1898">
        <v>14.06</v>
      </c>
      <c r="E1898">
        <f t="shared" ca="1" si="116"/>
        <v>67.50630892506662</v>
      </c>
      <c r="F1898">
        <f t="shared" ca="1" si="117"/>
        <v>0.99369107493338049</v>
      </c>
      <c r="G1898">
        <f t="shared" ca="1" si="118"/>
        <v>1.4719973447761717E-2</v>
      </c>
      <c r="H1898" t="str">
        <f t="shared" ca="1" si="119"/>
        <v>competitive</v>
      </c>
    </row>
    <row r="1899" spans="1:8" x14ac:dyDescent="0.3">
      <c r="A1899" t="s">
        <v>417</v>
      </c>
      <c r="B1899" t="s">
        <v>111</v>
      </c>
      <c r="C1899">
        <v>69.900000000000006</v>
      </c>
      <c r="D1899">
        <v>20.059999999999999</v>
      </c>
      <c r="E1899">
        <f t="shared" ca="1" si="116"/>
        <v>66.413617314710805</v>
      </c>
      <c r="F1899">
        <f t="shared" ca="1" si="117"/>
        <v>3.4863826852892004</v>
      </c>
      <c r="G1899">
        <f t="shared" ca="1" si="118"/>
        <v>5.2494997656406174E-2</v>
      </c>
      <c r="H1899" t="str">
        <f t="shared" ca="1" si="119"/>
        <v>overpriced</v>
      </c>
    </row>
    <row r="1900" spans="1:8" x14ac:dyDescent="0.3">
      <c r="A1900" t="s">
        <v>2136</v>
      </c>
      <c r="B1900" t="s">
        <v>2137</v>
      </c>
      <c r="C1900">
        <v>87.51</v>
      </c>
      <c r="D1900">
        <v>15.49</v>
      </c>
      <c r="E1900">
        <f t="shared" ca="1" si="116"/>
        <v>81.916457891175597</v>
      </c>
      <c r="F1900">
        <f t="shared" ca="1" si="117"/>
        <v>5.5935421088244084</v>
      </c>
      <c r="G1900">
        <f t="shared" ca="1" si="118"/>
        <v>6.8283495805633088E-2</v>
      </c>
      <c r="H1900" t="str">
        <f t="shared" ca="1" si="119"/>
        <v>overpriced</v>
      </c>
    </row>
    <row r="1901" spans="1:8" x14ac:dyDescent="0.3">
      <c r="A1901" t="s">
        <v>562</v>
      </c>
      <c r="B1901" t="s">
        <v>563</v>
      </c>
      <c r="C1901">
        <v>38.950000000000003</v>
      </c>
      <c r="D1901">
        <v>7.53</v>
      </c>
      <c r="E1901">
        <f t="shared" ca="1" si="116"/>
        <v>41.462171565746509</v>
      </c>
      <c r="F1901">
        <f t="shared" ca="1" si="117"/>
        <v>-2.512171565746506</v>
      </c>
      <c r="G1901">
        <f t="shared" ca="1" si="118"/>
        <v>-6.0589483639634241E-2</v>
      </c>
      <c r="H1901" t="str">
        <f t="shared" ca="1" si="119"/>
        <v>underprived</v>
      </c>
    </row>
    <row r="1902" spans="1:8" x14ac:dyDescent="0.3">
      <c r="A1902" t="s">
        <v>2138</v>
      </c>
      <c r="B1902" t="s">
        <v>2139</v>
      </c>
      <c r="C1902">
        <v>19.899999999999999</v>
      </c>
      <c r="D1902">
        <v>15.1</v>
      </c>
      <c r="E1902">
        <f t="shared" ca="1" si="116"/>
        <v>18.833698237672703</v>
      </c>
      <c r="F1902">
        <f t="shared" ca="1" si="117"/>
        <v>1.0663017623272957</v>
      </c>
      <c r="G1902">
        <f t="shared" ca="1" si="118"/>
        <v>5.6616695715894595E-2</v>
      </c>
      <c r="H1902" t="str">
        <f t="shared" ca="1" si="119"/>
        <v>overpriced</v>
      </c>
    </row>
    <row r="1903" spans="1:8" x14ac:dyDescent="0.3">
      <c r="A1903" t="s">
        <v>2140</v>
      </c>
      <c r="B1903" t="s">
        <v>2139</v>
      </c>
      <c r="C1903">
        <v>19.899999999999999</v>
      </c>
      <c r="D1903">
        <v>15.1</v>
      </c>
      <c r="E1903">
        <f t="shared" ca="1" si="116"/>
        <v>18.560883173136059</v>
      </c>
      <c r="F1903">
        <f t="shared" ca="1" si="117"/>
        <v>1.3391168268639397</v>
      </c>
      <c r="G1903">
        <f t="shared" ca="1" si="118"/>
        <v>7.2147257992663805E-2</v>
      </c>
      <c r="H1903" t="str">
        <f t="shared" ca="1" si="119"/>
        <v>overpriced</v>
      </c>
    </row>
    <row r="1904" spans="1:8" x14ac:dyDescent="0.3">
      <c r="A1904" t="s">
        <v>2141</v>
      </c>
      <c r="B1904" t="s">
        <v>2142</v>
      </c>
      <c r="C1904">
        <v>89.9</v>
      </c>
      <c r="D1904">
        <v>24.94</v>
      </c>
      <c r="E1904">
        <f t="shared" ca="1" si="116"/>
        <v>85.499717055471208</v>
      </c>
      <c r="F1904">
        <f t="shared" ca="1" si="117"/>
        <v>4.4002829445287972</v>
      </c>
      <c r="G1904">
        <f t="shared" ca="1" si="118"/>
        <v>5.146546791112707E-2</v>
      </c>
      <c r="H1904" t="str">
        <f t="shared" ca="1" si="119"/>
        <v>overpriced</v>
      </c>
    </row>
    <row r="1905" spans="1:8" x14ac:dyDescent="0.3">
      <c r="A1905" t="s">
        <v>1441</v>
      </c>
      <c r="B1905" t="s">
        <v>1442</v>
      </c>
      <c r="C1905">
        <v>39.9</v>
      </c>
      <c r="D1905">
        <v>25.63</v>
      </c>
      <c r="E1905">
        <f t="shared" ca="1" si="116"/>
        <v>42.548754939691882</v>
      </c>
      <c r="F1905">
        <f t="shared" ca="1" si="117"/>
        <v>-2.6487549396918837</v>
      </c>
      <c r="G1905">
        <f t="shared" ca="1" si="118"/>
        <v>-6.225223143300429E-2</v>
      </c>
      <c r="H1905" t="str">
        <f t="shared" ca="1" si="119"/>
        <v>underprived</v>
      </c>
    </row>
    <row r="1906" spans="1:8" x14ac:dyDescent="0.3">
      <c r="A1906" t="s">
        <v>548</v>
      </c>
      <c r="B1906" t="s">
        <v>549</v>
      </c>
      <c r="C1906">
        <v>79.989999999999995</v>
      </c>
      <c r="D1906">
        <v>23.14</v>
      </c>
      <c r="E1906">
        <f t="shared" ca="1" si="116"/>
        <v>76.249525861858814</v>
      </c>
      <c r="F1906">
        <f t="shared" ca="1" si="117"/>
        <v>3.740474138141181</v>
      </c>
      <c r="G1906">
        <f t="shared" ca="1" si="118"/>
        <v>4.9055703571426718E-2</v>
      </c>
      <c r="H1906" t="str">
        <f t="shared" ca="1" si="119"/>
        <v>competitive</v>
      </c>
    </row>
    <row r="1907" spans="1:8" x14ac:dyDescent="0.3">
      <c r="A1907" t="s">
        <v>2143</v>
      </c>
      <c r="B1907" t="s">
        <v>109</v>
      </c>
      <c r="C1907">
        <v>12.99</v>
      </c>
      <c r="D1907">
        <v>18.23</v>
      </c>
      <c r="E1907">
        <f t="shared" ca="1" si="116"/>
        <v>13.709841554373066</v>
      </c>
      <c r="F1907">
        <f t="shared" ca="1" si="117"/>
        <v>-0.71984155437306541</v>
      </c>
      <c r="G1907">
        <f t="shared" ca="1" si="118"/>
        <v>-5.2505461242435408E-2</v>
      </c>
      <c r="H1907" t="str">
        <f t="shared" ca="1" si="119"/>
        <v>underprived</v>
      </c>
    </row>
    <row r="1908" spans="1:8" x14ac:dyDescent="0.3">
      <c r="A1908" t="s">
        <v>548</v>
      </c>
      <c r="B1908" t="s">
        <v>549</v>
      </c>
      <c r="C1908">
        <v>99.99</v>
      </c>
      <c r="D1908">
        <v>14.54</v>
      </c>
      <c r="E1908">
        <f t="shared" ca="1" si="116"/>
        <v>93.289101506979975</v>
      </c>
      <c r="F1908">
        <f t="shared" ca="1" si="117"/>
        <v>6.7008984930200199</v>
      </c>
      <c r="G1908">
        <f t="shared" ca="1" si="118"/>
        <v>7.1829381833189293E-2</v>
      </c>
      <c r="H1908" t="str">
        <f t="shared" ca="1" si="119"/>
        <v>overpriced</v>
      </c>
    </row>
    <row r="1909" spans="1:8" x14ac:dyDescent="0.3">
      <c r="A1909" t="s">
        <v>2144</v>
      </c>
      <c r="B1909" t="s">
        <v>2145</v>
      </c>
      <c r="C1909">
        <v>29.9</v>
      </c>
      <c r="D1909">
        <v>20.399999999999999</v>
      </c>
      <c r="E1909">
        <f t="shared" ca="1" si="116"/>
        <v>28.496891648479046</v>
      </c>
      <c r="F1909">
        <f t="shared" ca="1" si="117"/>
        <v>1.4031083515209524</v>
      </c>
      <c r="G1909">
        <f t="shared" ca="1" si="118"/>
        <v>4.9237242041303121E-2</v>
      </c>
      <c r="H1909" t="str">
        <f t="shared" ca="1" si="119"/>
        <v>competitive</v>
      </c>
    </row>
    <row r="1910" spans="1:8" x14ac:dyDescent="0.3">
      <c r="A1910" t="s">
        <v>2146</v>
      </c>
      <c r="B1910" t="s">
        <v>2147</v>
      </c>
      <c r="C1910">
        <v>59.9</v>
      </c>
      <c r="D1910">
        <v>11.91</v>
      </c>
      <c r="E1910">
        <f t="shared" ca="1" si="116"/>
        <v>54.712463744245341</v>
      </c>
      <c r="F1910">
        <f t="shared" ca="1" si="117"/>
        <v>5.187536255754658</v>
      </c>
      <c r="G1910">
        <f t="shared" ca="1" si="118"/>
        <v>9.4814524895166744E-2</v>
      </c>
      <c r="H1910" t="str">
        <f t="shared" ca="1" si="119"/>
        <v>overpriced</v>
      </c>
    </row>
    <row r="1911" spans="1:8" x14ac:dyDescent="0.3">
      <c r="A1911" t="s">
        <v>2148</v>
      </c>
      <c r="B1911" t="s">
        <v>113</v>
      </c>
      <c r="C1911">
        <v>69</v>
      </c>
      <c r="D1911">
        <v>9.4700000000000006</v>
      </c>
      <c r="E1911">
        <f t="shared" ca="1" si="116"/>
        <v>68.101332981727097</v>
      </c>
      <c r="F1911">
        <f t="shared" ca="1" si="117"/>
        <v>0.89866701827290285</v>
      </c>
      <c r="G1911">
        <f t="shared" ca="1" si="118"/>
        <v>1.3196026845965447E-2</v>
      </c>
      <c r="H1911" t="str">
        <f t="shared" ca="1" si="119"/>
        <v>competitive</v>
      </c>
    </row>
    <row r="1912" spans="1:8" x14ac:dyDescent="0.3">
      <c r="A1912" t="s">
        <v>2149</v>
      </c>
      <c r="B1912" t="s">
        <v>2150</v>
      </c>
      <c r="C1912">
        <v>112.9</v>
      </c>
      <c r="D1912">
        <v>13.13</v>
      </c>
      <c r="E1912">
        <f t="shared" ca="1" si="116"/>
        <v>117.55962583577139</v>
      </c>
      <c r="F1912">
        <f t="shared" ca="1" si="117"/>
        <v>-4.6596258357713793</v>
      </c>
      <c r="G1912">
        <f t="shared" ca="1" si="118"/>
        <v>-3.963627650772545E-2</v>
      </c>
      <c r="H1912" t="str">
        <f t="shared" ca="1" si="119"/>
        <v>competitive</v>
      </c>
    </row>
    <row r="1913" spans="1:8" x14ac:dyDescent="0.3">
      <c r="A1913" t="s">
        <v>441</v>
      </c>
      <c r="B1913" t="s">
        <v>190</v>
      </c>
      <c r="C1913">
        <v>170</v>
      </c>
      <c r="D1913">
        <v>21.68</v>
      </c>
      <c r="E1913">
        <f t="shared" ca="1" si="116"/>
        <v>154.769137945338</v>
      </c>
      <c r="F1913">
        <f t="shared" ca="1" si="117"/>
        <v>15.230862054661998</v>
      </c>
      <c r="G1913">
        <f t="shared" ca="1" si="118"/>
        <v>9.841020152248503E-2</v>
      </c>
      <c r="H1913" t="str">
        <f t="shared" ca="1" si="119"/>
        <v>overpriced</v>
      </c>
    </row>
    <row r="1914" spans="1:8" x14ac:dyDescent="0.3">
      <c r="A1914" t="s">
        <v>2151</v>
      </c>
      <c r="B1914" t="s">
        <v>1216</v>
      </c>
      <c r="C1914">
        <v>139.9</v>
      </c>
      <c r="D1914">
        <v>34.25</v>
      </c>
      <c r="E1914">
        <f t="shared" ca="1" si="116"/>
        <v>150.7534903334296</v>
      </c>
      <c r="F1914">
        <f t="shared" ca="1" si="117"/>
        <v>-10.85349033342959</v>
      </c>
      <c r="G1914">
        <f t="shared" ca="1" si="118"/>
        <v>-7.1994952219178093E-2</v>
      </c>
      <c r="H1914" t="str">
        <f t="shared" ca="1" si="119"/>
        <v>underprived</v>
      </c>
    </row>
    <row r="1915" spans="1:8" x14ac:dyDescent="0.3">
      <c r="A1915" t="s">
        <v>886</v>
      </c>
      <c r="B1915" t="s">
        <v>841</v>
      </c>
      <c r="C1915">
        <v>29.99</v>
      </c>
      <c r="D1915">
        <v>7.78</v>
      </c>
      <c r="E1915">
        <f t="shared" ca="1" si="116"/>
        <v>30.81926246098428</v>
      </c>
      <c r="F1915">
        <f t="shared" ca="1" si="117"/>
        <v>-0.8292624609842818</v>
      </c>
      <c r="G1915">
        <f t="shared" ca="1" si="118"/>
        <v>-2.6907277941322853E-2</v>
      </c>
      <c r="H1915" t="str">
        <f t="shared" ca="1" si="119"/>
        <v>competitive</v>
      </c>
    </row>
    <row r="1916" spans="1:8" x14ac:dyDescent="0.3">
      <c r="A1916" t="s">
        <v>868</v>
      </c>
      <c r="B1916" t="s">
        <v>190</v>
      </c>
      <c r="C1916">
        <v>212</v>
      </c>
      <c r="D1916">
        <v>12.98</v>
      </c>
      <c r="E1916">
        <f t="shared" ca="1" si="116"/>
        <v>208.4759663051525</v>
      </c>
      <c r="F1916">
        <f t="shared" ca="1" si="117"/>
        <v>3.5240336948475033</v>
      </c>
      <c r="G1916">
        <f t="shared" ca="1" si="118"/>
        <v>1.6903788754667623E-2</v>
      </c>
      <c r="H1916" t="str">
        <f t="shared" ca="1" si="119"/>
        <v>competitive</v>
      </c>
    </row>
    <row r="1917" spans="1:8" x14ac:dyDescent="0.3">
      <c r="A1917" t="s">
        <v>2152</v>
      </c>
      <c r="B1917" t="s">
        <v>1446</v>
      </c>
      <c r="C1917">
        <v>169.9</v>
      </c>
      <c r="D1917">
        <v>52.99</v>
      </c>
      <c r="E1917">
        <f t="shared" ca="1" si="116"/>
        <v>165.97816288266182</v>
      </c>
      <c r="F1917">
        <f t="shared" ca="1" si="117"/>
        <v>3.9218371173381854</v>
      </c>
      <c r="G1917">
        <f t="shared" ca="1" si="118"/>
        <v>2.3628633123929238E-2</v>
      </c>
      <c r="H1917" t="str">
        <f t="shared" ca="1" si="119"/>
        <v>competitive</v>
      </c>
    </row>
    <row r="1918" spans="1:8" x14ac:dyDescent="0.3">
      <c r="A1918" t="s">
        <v>805</v>
      </c>
      <c r="B1918" t="s">
        <v>71</v>
      </c>
      <c r="C1918">
        <v>14.4</v>
      </c>
      <c r="D1918">
        <v>12.79</v>
      </c>
      <c r="E1918">
        <f t="shared" ca="1" si="116"/>
        <v>13.06776012579553</v>
      </c>
      <c r="F1918">
        <f t="shared" ca="1" si="117"/>
        <v>1.3322398742044701</v>
      </c>
      <c r="G1918">
        <f t="shared" ca="1" si="118"/>
        <v>0.10194860185523699</v>
      </c>
      <c r="H1918" t="str">
        <f t="shared" ca="1" si="119"/>
        <v>overpriced</v>
      </c>
    </row>
    <row r="1919" spans="1:8" x14ac:dyDescent="0.3">
      <c r="A1919" t="s">
        <v>2153</v>
      </c>
      <c r="B1919" t="s">
        <v>624</v>
      </c>
      <c r="C1919">
        <v>96</v>
      </c>
      <c r="D1919">
        <v>29.07</v>
      </c>
      <c r="E1919">
        <f t="shared" ca="1" si="116"/>
        <v>91.484474755865349</v>
      </c>
      <c r="F1919">
        <f t="shared" ca="1" si="117"/>
        <v>4.5155252441346505</v>
      </c>
      <c r="G1919">
        <f t="shared" ca="1" si="118"/>
        <v>4.9358377540940586E-2</v>
      </c>
      <c r="H1919" t="str">
        <f t="shared" ca="1" si="119"/>
        <v>competitive</v>
      </c>
    </row>
    <row r="1920" spans="1:8" x14ac:dyDescent="0.3">
      <c r="A1920" t="s">
        <v>2154</v>
      </c>
      <c r="B1920" t="s">
        <v>229</v>
      </c>
      <c r="C1920">
        <v>15</v>
      </c>
      <c r="D1920">
        <v>11.85</v>
      </c>
      <c r="E1920">
        <f t="shared" ca="1" si="116"/>
        <v>14.761645523229587</v>
      </c>
      <c r="F1920">
        <f t="shared" ca="1" si="117"/>
        <v>0.23835447677041266</v>
      </c>
      <c r="G1920">
        <f t="shared" ca="1" si="118"/>
        <v>1.6146877148304865E-2</v>
      </c>
      <c r="H1920" t="str">
        <f t="shared" ca="1" si="119"/>
        <v>competitive</v>
      </c>
    </row>
    <row r="1921" spans="1:8" x14ac:dyDescent="0.3">
      <c r="A1921" t="s">
        <v>2155</v>
      </c>
      <c r="B1921" t="s">
        <v>81</v>
      </c>
      <c r="C1921">
        <v>42.89</v>
      </c>
      <c r="D1921">
        <v>18.399999999999999</v>
      </c>
      <c r="E1921">
        <f t="shared" ca="1" si="116"/>
        <v>43.287529487182333</v>
      </c>
      <c r="F1921">
        <f t="shared" ca="1" si="117"/>
        <v>-0.39752948718233228</v>
      </c>
      <c r="G1921">
        <f t="shared" ca="1" si="118"/>
        <v>-9.1834644270942477E-3</v>
      </c>
      <c r="H1921" t="str">
        <f t="shared" ca="1" si="119"/>
        <v>competitive</v>
      </c>
    </row>
    <row r="1922" spans="1:8" x14ac:dyDescent="0.3">
      <c r="A1922" t="s">
        <v>2156</v>
      </c>
      <c r="B1922" t="s">
        <v>2157</v>
      </c>
      <c r="C1922">
        <v>189.9</v>
      </c>
      <c r="D1922">
        <v>16.09</v>
      </c>
      <c r="E1922">
        <f t="shared" ca="1" si="116"/>
        <v>200.67789261521889</v>
      </c>
      <c r="F1922">
        <f t="shared" ca="1" si="117"/>
        <v>-10.777892615218889</v>
      </c>
      <c r="G1922">
        <f t="shared" ca="1" si="118"/>
        <v>-5.3707423746393881E-2</v>
      </c>
      <c r="H1922" t="str">
        <f t="shared" ca="1" si="119"/>
        <v>underprived</v>
      </c>
    </row>
    <row r="1923" spans="1:8" x14ac:dyDescent="0.3">
      <c r="A1923" t="s">
        <v>2158</v>
      </c>
      <c r="B1923" t="s">
        <v>1157</v>
      </c>
      <c r="C1923">
        <v>39.9</v>
      </c>
      <c r="D1923">
        <v>15.23</v>
      </c>
      <c r="E1923">
        <f t="shared" ref="E1923:E1986" ca="1" si="120">C1923*(1+RAND()*0.2-0.1)</f>
        <v>41.537202218234569</v>
      </c>
      <c r="F1923">
        <f t="shared" ref="F1923:F1986" ca="1" si="121">C1923-E1923</f>
        <v>-1.6372022182345702</v>
      </c>
      <c r="G1923">
        <f t="shared" ref="G1923:G1986" ca="1" si="122">(C1923-E1923)/E1923</f>
        <v>-3.9415322429103054E-2</v>
      </c>
      <c r="H1923" t="str">
        <f t="shared" ref="H1923:H1986" ca="1" si="123">IF(E1923="","competitive",IF(ABS(C1923-E1923)/E1923&lt;=0.05,"competitive",IF(C1923&gt;E1923,"overpriced","underprived")))</f>
        <v>competitive</v>
      </c>
    </row>
    <row r="1924" spans="1:8" x14ac:dyDescent="0.3">
      <c r="A1924" t="s">
        <v>2159</v>
      </c>
      <c r="B1924" t="s">
        <v>350</v>
      </c>
      <c r="C1924">
        <v>34.99</v>
      </c>
      <c r="D1924">
        <v>12.79</v>
      </c>
      <c r="E1924">
        <f t="shared" ca="1" si="120"/>
        <v>36.817438602979458</v>
      </c>
      <c r="F1924">
        <f t="shared" ca="1" si="121"/>
        <v>-1.8274386029794556</v>
      </c>
      <c r="G1924">
        <f t="shared" ca="1" si="122"/>
        <v>-4.9635136835172719E-2</v>
      </c>
      <c r="H1924" t="str">
        <f t="shared" ca="1" si="123"/>
        <v>competitive</v>
      </c>
    </row>
    <row r="1925" spans="1:8" x14ac:dyDescent="0.3">
      <c r="A1925" t="s">
        <v>2160</v>
      </c>
      <c r="B1925" t="s">
        <v>1643</v>
      </c>
      <c r="C1925">
        <v>219</v>
      </c>
      <c r="D1925">
        <v>17.97</v>
      </c>
      <c r="E1925">
        <f t="shared" ca="1" si="120"/>
        <v>223.62779366510361</v>
      </c>
      <c r="F1925">
        <f t="shared" ca="1" si="121"/>
        <v>-4.62779366510361</v>
      </c>
      <c r="G1925">
        <f t="shared" ca="1" si="122"/>
        <v>-2.0694179329220661E-2</v>
      </c>
      <c r="H1925" t="str">
        <f t="shared" ca="1" si="123"/>
        <v>competitive</v>
      </c>
    </row>
    <row r="1926" spans="1:8" x14ac:dyDescent="0.3">
      <c r="A1926" t="s">
        <v>2161</v>
      </c>
      <c r="B1926" t="s">
        <v>384</v>
      </c>
      <c r="C1926">
        <v>72</v>
      </c>
      <c r="D1926">
        <v>19.690000000000001</v>
      </c>
      <c r="E1926">
        <f t="shared" ca="1" si="120"/>
        <v>75.258898799358718</v>
      </c>
      <c r="F1926">
        <f t="shared" ca="1" si="121"/>
        <v>-3.2588987993587182</v>
      </c>
      <c r="G1926">
        <f t="shared" ca="1" si="122"/>
        <v>-4.3302504439335317E-2</v>
      </c>
      <c r="H1926" t="str">
        <f t="shared" ca="1" si="123"/>
        <v>competitive</v>
      </c>
    </row>
    <row r="1927" spans="1:8" x14ac:dyDescent="0.3">
      <c r="A1927" t="s">
        <v>2162</v>
      </c>
      <c r="B1927" t="s">
        <v>2163</v>
      </c>
      <c r="C1927">
        <v>35</v>
      </c>
      <c r="D1927">
        <v>19.440000000000001</v>
      </c>
      <c r="E1927">
        <f t="shared" ca="1" si="120"/>
        <v>35.567358593378728</v>
      </c>
      <c r="F1927">
        <f t="shared" ca="1" si="121"/>
        <v>-0.56735859337872796</v>
      </c>
      <c r="G1927">
        <f t="shared" ca="1" si="122"/>
        <v>-1.5951665117025258E-2</v>
      </c>
      <c r="H1927" t="str">
        <f t="shared" ca="1" si="123"/>
        <v>competitive</v>
      </c>
    </row>
    <row r="1928" spans="1:8" x14ac:dyDescent="0.3">
      <c r="A1928" t="s">
        <v>2164</v>
      </c>
      <c r="B1928" t="s">
        <v>1195</v>
      </c>
      <c r="C1928">
        <v>176.96</v>
      </c>
      <c r="D1928">
        <v>33.520000000000003</v>
      </c>
      <c r="E1928">
        <f t="shared" ca="1" si="120"/>
        <v>172.82842573113274</v>
      </c>
      <c r="F1928">
        <f t="shared" ca="1" si="121"/>
        <v>4.1315742688672685</v>
      </c>
      <c r="G1928">
        <f t="shared" ca="1" si="122"/>
        <v>2.3905640819148075E-2</v>
      </c>
      <c r="H1928" t="str">
        <f t="shared" ca="1" si="123"/>
        <v>competitive</v>
      </c>
    </row>
    <row r="1929" spans="1:8" x14ac:dyDescent="0.3">
      <c r="A1929" t="s">
        <v>2165</v>
      </c>
      <c r="B1929" t="s">
        <v>1572</v>
      </c>
      <c r="C1929">
        <v>69</v>
      </c>
      <c r="D1929">
        <v>15.36</v>
      </c>
      <c r="E1929">
        <f t="shared" ca="1" si="120"/>
        <v>64.107533047112213</v>
      </c>
      <c r="F1929">
        <f t="shared" ca="1" si="121"/>
        <v>4.8924669528877871</v>
      </c>
      <c r="G1929">
        <f t="shared" ca="1" si="122"/>
        <v>7.6316568745397592E-2</v>
      </c>
      <c r="H1929" t="str">
        <f t="shared" ca="1" si="123"/>
        <v>overpriced</v>
      </c>
    </row>
    <row r="1930" spans="1:8" x14ac:dyDescent="0.3">
      <c r="A1930" t="s">
        <v>2166</v>
      </c>
      <c r="B1930" t="s">
        <v>339</v>
      </c>
      <c r="C1930">
        <v>34.9</v>
      </c>
      <c r="D1930">
        <v>13.58</v>
      </c>
      <c r="E1930">
        <f t="shared" ca="1" si="120"/>
        <v>33.930858597741526</v>
      </c>
      <c r="F1930">
        <f t="shared" ca="1" si="121"/>
        <v>0.96914140225847234</v>
      </c>
      <c r="G1930">
        <f t="shared" ca="1" si="122"/>
        <v>2.8562242227580394E-2</v>
      </c>
      <c r="H1930" t="str">
        <f t="shared" ca="1" si="123"/>
        <v>competitive</v>
      </c>
    </row>
    <row r="1931" spans="1:8" x14ac:dyDescent="0.3">
      <c r="A1931" t="s">
        <v>2167</v>
      </c>
      <c r="B1931" t="s">
        <v>29</v>
      </c>
      <c r="C1931">
        <v>153</v>
      </c>
      <c r="D1931">
        <v>33.520000000000003</v>
      </c>
      <c r="E1931">
        <f t="shared" ca="1" si="120"/>
        <v>146.18138646192418</v>
      </c>
      <c r="F1931">
        <f t="shared" ca="1" si="121"/>
        <v>6.818613538075823</v>
      </c>
      <c r="G1931">
        <f t="shared" ca="1" si="122"/>
        <v>4.6644882109199759E-2</v>
      </c>
      <c r="H1931" t="str">
        <f t="shared" ca="1" si="123"/>
        <v>competitive</v>
      </c>
    </row>
    <row r="1932" spans="1:8" x14ac:dyDescent="0.3">
      <c r="A1932" t="s">
        <v>2168</v>
      </c>
      <c r="B1932" t="s">
        <v>95</v>
      </c>
      <c r="C1932">
        <v>35</v>
      </c>
      <c r="D1932">
        <v>16.440000000000001</v>
      </c>
      <c r="E1932">
        <f t="shared" ca="1" si="120"/>
        <v>33.210554755589094</v>
      </c>
      <c r="F1932">
        <f t="shared" ca="1" si="121"/>
        <v>1.7894452444109064</v>
      </c>
      <c r="G1932">
        <f t="shared" ca="1" si="122"/>
        <v>5.3881823341410937E-2</v>
      </c>
      <c r="H1932" t="str">
        <f t="shared" ca="1" si="123"/>
        <v>overpriced</v>
      </c>
    </row>
    <row r="1933" spans="1:8" x14ac:dyDescent="0.3">
      <c r="A1933" t="s">
        <v>2169</v>
      </c>
      <c r="B1933" t="s">
        <v>322</v>
      </c>
      <c r="C1933">
        <v>335.9</v>
      </c>
      <c r="D1933">
        <v>16.86</v>
      </c>
      <c r="E1933">
        <f t="shared" ca="1" si="120"/>
        <v>353.46710807757404</v>
      </c>
      <c r="F1933">
        <f t="shared" ca="1" si="121"/>
        <v>-17.567108077574062</v>
      </c>
      <c r="G1933">
        <f t="shared" ca="1" si="122"/>
        <v>-4.9699413824153271E-2</v>
      </c>
      <c r="H1933" t="str">
        <f t="shared" ca="1" si="123"/>
        <v>competitive</v>
      </c>
    </row>
    <row r="1934" spans="1:8" x14ac:dyDescent="0.3">
      <c r="A1934" t="s">
        <v>2170</v>
      </c>
      <c r="B1934" t="s">
        <v>190</v>
      </c>
      <c r="C1934">
        <v>119.9</v>
      </c>
      <c r="D1934">
        <v>13.5</v>
      </c>
      <c r="E1934">
        <f t="shared" ca="1" si="120"/>
        <v>129.41769137119536</v>
      </c>
      <c r="F1934">
        <f t="shared" ca="1" si="121"/>
        <v>-9.5176913711953546</v>
      </c>
      <c r="G1934">
        <f t="shared" ca="1" si="122"/>
        <v>-7.3542428939616503E-2</v>
      </c>
      <c r="H1934" t="str">
        <f t="shared" ca="1" si="123"/>
        <v>underprived</v>
      </c>
    </row>
    <row r="1935" spans="1:8" x14ac:dyDescent="0.3">
      <c r="A1935" t="s">
        <v>2171</v>
      </c>
      <c r="B1935" t="s">
        <v>25</v>
      </c>
      <c r="C1935">
        <v>49.99</v>
      </c>
      <c r="D1935">
        <v>11.85</v>
      </c>
      <c r="E1935">
        <f t="shared" ca="1" si="120"/>
        <v>52.734683700796239</v>
      </c>
      <c r="F1935">
        <f t="shared" ca="1" si="121"/>
        <v>-2.7446837007962372</v>
      </c>
      <c r="G1935">
        <f t="shared" ca="1" si="122"/>
        <v>-5.2047030686083275E-2</v>
      </c>
      <c r="H1935" t="str">
        <f t="shared" ca="1" si="123"/>
        <v>underprived</v>
      </c>
    </row>
    <row r="1936" spans="1:8" x14ac:dyDescent="0.3">
      <c r="A1936" t="s">
        <v>405</v>
      </c>
      <c r="B1936" t="s">
        <v>25</v>
      </c>
      <c r="C1936">
        <v>53.99</v>
      </c>
      <c r="D1936">
        <v>15.13</v>
      </c>
      <c r="E1936">
        <f t="shared" ca="1" si="120"/>
        <v>49.969060936971523</v>
      </c>
      <c r="F1936">
        <f t="shared" ca="1" si="121"/>
        <v>4.0209390630284787</v>
      </c>
      <c r="G1936">
        <f t="shared" ca="1" si="122"/>
        <v>8.0468573706043628E-2</v>
      </c>
      <c r="H1936" t="str">
        <f t="shared" ca="1" si="123"/>
        <v>overpriced</v>
      </c>
    </row>
    <row r="1937" spans="1:8" x14ac:dyDescent="0.3">
      <c r="A1937" t="s">
        <v>2172</v>
      </c>
      <c r="B1937" t="s">
        <v>2173</v>
      </c>
      <c r="C1937">
        <v>151.19999999999999</v>
      </c>
      <c r="D1937">
        <v>18.309999999999999</v>
      </c>
      <c r="E1937">
        <f t="shared" ca="1" si="120"/>
        <v>160.63728023479217</v>
      </c>
      <c r="F1937">
        <f t="shared" ca="1" si="121"/>
        <v>-9.4372802347921834</v>
      </c>
      <c r="G1937">
        <f t="shared" ca="1" si="122"/>
        <v>-5.8749004097917848E-2</v>
      </c>
      <c r="H1937" t="str">
        <f t="shared" ca="1" si="123"/>
        <v>underprived</v>
      </c>
    </row>
    <row r="1938" spans="1:8" x14ac:dyDescent="0.3">
      <c r="A1938" t="s">
        <v>843</v>
      </c>
      <c r="B1938" t="s">
        <v>25</v>
      </c>
      <c r="C1938">
        <v>58.99</v>
      </c>
      <c r="D1938">
        <v>37.96</v>
      </c>
      <c r="E1938">
        <f t="shared" ca="1" si="120"/>
        <v>56.721481535241196</v>
      </c>
      <c r="F1938">
        <f t="shared" ca="1" si="121"/>
        <v>2.2685184647588059</v>
      </c>
      <c r="G1938">
        <f t="shared" ca="1" si="122"/>
        <v>3.9993991753360145E-2</v>
      </c>
      <c r="H1938" t="str">
        <f t="shared" ca="1" si="123"/>
        <v>competitive</v>
      </c>
    </row>
    <row r="1939" spans="1:8" x14ac:dyDescent="0.3">
      <c r="A1939" t="s">
        <v>2174</v>
      </c>
      <c r="B1939" t="s">
        <v>176</v>
      </c>
      <c r="C1939">
        <v>149.99</v>
      </c>
      <c r="D1939">
        <v>8.99</v>
      </c>
      <c r="E1939">
        <f t="shared" ca="1" si="120"/>
        <v>160.76732877911786</v>
      </c>
      <c r="F1939">
        <f t="shared" ca="1" si="121"/>
        <v>-10.777328779117852</v>
      </c>
      <c r="G1939">
        <f t="shared" ca="1" si="122"/>
        <v>-6.7036809412471393E-2</v>
      </c>
      <c r="H1939" t="str">
        <f t="shared" ca="1" si="123"/>
        <v>underprived</v>
      </c>
    </row>
    <row r="1940" spans="1:8" x14ac:dyDescent="0.3">
      <c r="A1940" t="s">
        <v>1529</v>
      </c>
      <c r="B1940" t="s">
        <v>49</v>
      </c>
      <c r="C1940">
        <v>69</v>
      </c>
      <c r="D1940">
        <v>19.39</v>
      </c>
      <c r="E1940">
        <f t="shared" ca="1" si="120"/>
        <v>69.638653085765327</v>
      </c>
      <c r="F1940">
        <f t="shared" ca="1" si="121"/>
        <v>-0.63865308576532698</v>
      </c>
      <c r="G1940">
        <f t="shared" ca="1" si="122"/>
        <v>-9.1709568962911568E-3</v>
      </c>
      <c r="H1940" t="str">
        <f t="shared" ca="1" si="123"/>
        <v>competitive</v>
      </c>
    </row>
    <row r="1941" spans="1:8" x14ac:dyDescent="0.3">
      <c r="A1941" t="s">
        <v>2175</v>
      </c>
      <c r="B1941" t="s">
        <v>2176</v>
      </c>
      <c r="C1941">
        <v>14</v>
      </c>
      <c r="D1941">
        <v>18.23</v>
      </c>
      <c r="E1941">
        <f t="shared" ca="1" si="120"/>
        <v>13.959721872400396</v>
      </c>
      <c r="F1941">
        <f t="shared" ca="1" si="121"/>
        <v>4.0278127599604474E-2</v>
      </c>
      <c r="G1941">
        <f t="shared" ca="1" si="122"/>
        <v>2.8853101779368466E-3</v>
      </c>
      <c r="H1941" t="str">
        <f t="shared" ca="1" si="123"/>
        <v>competitive</v>
      </c>
    </row>
    <row r="1942" spans="1:8" x14ac:dyDescent="0.3">
      <c r="A1942" t="s">
        <v>2175</v>
      </c>
      <c r="B1942" t="s">
        <v>2176</v>
      </c>
      <c r="C1942">
        <v>14</v>
      </c>
      <c r="D1942">
        <v>18.23</v>
      </c>
      <c r="E1942">
        <f t="shared" ca="1" si="120"/>
        <v>13.078659729436785</v>
      </c>
      <c r="F1942">
        <f t="shared" ca="1" si="121"/>
        <v>0.92134027056321521</v>
      </c>
      <c r="G1942">
        <f t="shared" ca="1" si="122"/>
        <v>7.0446077015790018E-2</v>
      </c>
      <c r="H1942" t="str">
        <f t="shared" ca="1" si="123"/>
        <v>overpriced</v>
      </c>
    </row>
    <row r="1943" spans="1:8" x14ac:dyDescent="0.3">
      <c r="A1943" t="s">
        <v>1193</v>
      </c>
      <c r="B1943" t="s">
        <v>1194</v>
      </c>
      <c r="C1943">
        <v>109.9</v>
      </c>
      <c r="D1943">
        <v>8.93</v>
      </c>
      <c r="E1943">
        <f t="shared" ca="1" si="120"/>
        <v>110.72615923093022</v>
      </c>
      <c r="F1943">
        <f t="shared" ca="1" si="121"/>
        <v>-0.82615923093021593</v>
      </c>
      <c r="G1943">
        <f t="shared" ca="1" si="122"/>
        <v>-7.4612831933164063E-3</v>
      </c>
      <c r="H1943" t="str">
        <f t="shared" ca="1" si="123"/>
        <v>competitive</v>
      </c>
    </row>
    <row r="1944" spans="1:8" x14ac:dyDescent="0.3">
      <c r="A1944" t="s">
        <v>2177</v>
      </c>
      <c r="B1944" t="s">
        <v>1740</v>
      </c>
      <c r="C1944">
        <v>79.989999999999995</v>
      </c>
      <c r="D1944">
        <v>8.91</v>
      </c>
      <c r="E1944">
        <f t="shared" ca="1" si="120"/>
        <v>83.726150442531747</v>
      </c>
      <c r="F1944">
        <f t="shared" ca="1" si="121"/>
        <v>-3.736150442531752</v>
      </c>
      <c r="G1944">
        <f t="shared" ca="1" si="122"/>
        <v>-4.4623459012321176E-2</v>
      </c>
      <c r="H1944" t="str">
        <f t="shared" ca="1" si="123"/>
        <v>competitive</v>
      </c>
    </row>
    <row r="1945" spans="1:8" x14ac:dyDescent="0.3">
      <c r="A1945" t="s">
        <v>2178</v>
      </c>
      <c r="B1945" t="s">
        <v>473</v>
      </c>
      <c r="C1945">
        <v>79.900000000000006</v>
      </c>
      <c r="D1945">
        <v>15.31</v>
      </c>
      <c r="E1945">
        <f t="shared" ca="1" si="120"/>
        <v>73.27578493049738</v>
      </c>
      <c r="F1945">
        <f t="shared" ca="1" si="121"/>
        <v>6.6242150695026254</v>
      </c>
      <c r="G1945">
        <f t="shared" ca="1" si="122"/>
        <v>9.0401147879695068E-2</v>
      </c>
      <c r="H1945" t="str">
        <f t="shared" ca="1" si="123"/>
        <v>overpriced</v>
      </c>
    </row>
    <row r="1946" spans="1:8" x14ac:dyDescent="0.3">
      <c r="A1946" t="s">
        <v>2179</v>
      </c>
      <c r="B1946" t="s">
        <v>227</v>
      </c>
      <c r="C1946">
        <v>198.9</v>
      </c>
      <c r="D1946">
        <v>25.88</v>
      </c>
      <c r="E1946">
        <f t="shared" ca="1" si="120"/>
        <v>180.22297352268572</v>
      </c>
      <c r="F1946">
        <f t="shared" ca="1" si="121"/>
        <v>18.677026477314286</v>
      </c>
      <c r="G1946">
        <f t="shared" ca="1" si="122"/>
        <v>0.10363288382301215</v>
      </c>
      <c r="H1946" t="str">
        <f t="shared" ca="1" si="123"/>
        <v>overpriced</v>
      </c>
    </row>
    <row r="1947" spans="1:8" x14ac:dyDescent="0.3">
      <c r="A1947" t="s">
        <v>951</v>
      </c>
      <c r="B1947" t="s">
        <v>644</v>
      </c>
      <c r="C1947">
        <v>319</v>
      </c>
      <c r="D1947">
        <v>23.03</v>
      </c>
      <c r="E1947">
        <f t="shared" ca="1" si="120"/>
        <v>328.47355571844577</v>
      </c>
      <c r="F1947">
        <f t="shared" ca="1" si="121"/>
        <v>-9.4735557184457662</v>
      </c>
      <c r="G1947">
        <f t="shared" ca="1" si="122"/>
        <v>-2.8841151908636793E-2</v>
      </c>
      <c r="H1947" t="str">
        <f t="shared" ca="1" si="123"/>
        <v>competitive</v>
      </c>
    </row>
    <row r="1948" spans="1:8" x14ac:dyDescent="0.3">
      <c r="A1948" t="s">
        <v>2180</v>
      </c>
      <c r="B1948" t="s">
        <v>2181</v>
      </c>
      <c r="C1948">
        <v>14.9</v>
      </c>
      <c r="D1948">
        <v>14.1</v>
      </c>
      <c r="E1948">
        <f t="shared" ca="1" si="120"/>
        <v>13.987814748667185</v>
      </c>
      <c r="F1948">
        <f t="shared" ca="1" si="121"/>
        <v>0.91218525133281503</v>
      </c>
      <c r="G1948">
        <f t="shared" ca="1" si="122"/>
        <v>6.5212849020589991E-2</v>
      </c>
      <c r="H1948" t="str">
        <f t="shared" ca="1" si="123"/>
        <v>overpriced</v>
      </c>
    </row>
    <row r="1949" spans="1:8" x14ac:dyDescent="0.3">
      <c r="A1949" t="s">
        <v>826</v>
      </c>
      <c r="B1949" t="s">
        <v>49</v>
      </c>
      <c r="C1949">
        <v>29</v>
      </c>
      <c r="D1949">
        <v>14.1</v>
      </c>
      <c r="E1949">
        <f t="shared" ca="1" si="120"/>
        <v>30.311399174850212</v>
      </c>
      <c r="F1949">
        <f t="shared" ca="1" si="121"/>
        <v>-1.3113991748502123</v>
      </c>
      <c r="G1949">
        <f t="shared" ca="1" si="122"/>
        <v>-4.3264224369368547E-2</v>
      </c>
      <c r="H1949" t="str">
        <f t="shared" ca="1" si="123"/>
        <v>competitive</v>
      </c>
    </row>
    <row r="1950" spans="1:8" x14ac:dyDescent="0.3">
      <c r="A1950" t="s">
        <v>1824</v>
      </c>
      <c r="B1950" t="s">
        <v>49</v>
      </c>
      <c r="C1950">
        <v>89</v>
      </c>
      <c r="D1950">
        <v>19.53</v>
      </c>
      <c r="E1950">
        <f t="shared" ca="1" si="120"/>
        <v>92.85030280125271</v>
      </c>
      <c r="F1950">
        <f t="shared" ca="1" si="121"/>
        <v>-3.8503028012527096</v>
      </c>
      <c r="G1950">
        <f t="shared" ca="1" si="122"/>
        <v>-4.146785400898835E-2</v>
      </c>
      <c r="H1950" t="str">
        <f t="shared" ca="1" si="123"/>
        <v>competitive</v>
      </c>
    </row>
    <row r="1951" spans="1:8" x14ac:dyDescent="0.3">
      <c r="A1951" t="s">
        <v>2182</v>
      </c>
      <c r="B1951" t="s">
        <v>1230</v>
      </c>
      <c r="C1951">
        <v>39.99</v>
      </c>
      <c r="D1951">
        <v>8.2899999999999991</v>
      </c>
      <c r="E1951">
        <f t="shared" ca="1" si="120"/>
        <v>36.368330275204627</v>
      </c>
      <c r="F1951">
        <f t="shared" ca="1" si="121"/>
        <v>3.6216697247953746</v>
      </c>
      <c r="G1951">
        <f t="shared" ca="1" si="122"/>
        <v>9.9583062994359511E-2</v>
      </c>
      <c r="H1951" t="str">
        <f t="shared" ca="1" si="123"/>
        <v>overpriced</v>
      </c>
    </row>
    <row r="1952" spans="1:8" x14ac:dyDescent="0.3">
      <c r="A1952" t="s">
        <v>2183</v>
      </c>
      <c r="B1952" t="s">
        <v>2184</v>
      </c>
      <c r="C1952">
        <v>59.89</v>
      </c>
      <c r="D1952">
        <v>9.17</v>
      </c>
      <c r="E1952">
        <f t="shared" ca="1" si="120"/>
        <v>56.176528270662089</v>
      </c>
      <c r="F1952">
        <f t="shared" ca="1" si="121"/>
        <v>3.7134717293379111</v>
      </c>
      <c r="G1952">
        <f t="shared" ca="1" si="122"/>
        <v>6.610361735859091E-2</v>
      </c>
      <c r="H1952" t="str">
        <f t="shared" ca="1" si="123"/>
        <v>overpriced</v>
      </c>
    </row>
    <row r="1953" spans="1:8" x14ac:dyDescent="0.3">
      <c r="A1953" t="s">
        <v>2185</v>
      </c>
      <c r="B1953" t="s">
        <v>2186</v>
      </c>
      <c r="C1953">
        <v>115</v>
      </c>
      <c r="D1953">
        <v>34.61</v>
      </c>
      <c r="E1953">
        <f t="shared" ca="1" si="120"/>
        <v>105.04471969457168</v>
      </c>
      <c r="F1953">
        <f t="shared" ca="1" si="121"/>
        <v>9.9552803054283174</v>
      </c>
      <c r="G1953">
        <f t="shared" ca="1" si="122"/>
        <v>9.4771829887064465E-2</v>
      </c>
      <c r="H1953" t="str">
        <f t="shared" ca="1" si="123"/>
        <v>overpriced</v>
      </c>
    </row>
    <row r="1954" spans="1:8" x14ac:dyDescent="0.3">
      <c r="A1954" t="s">
        <v>599</v>
      </c>
      <c r="B1954" t="s">
        <v>111</v>
      </c>
      <c r="C1954">
        <v>45</v>
      </c>
      <c r="D1954">
        <v>15.11</v>
      </c>
      <c r="E1954">
        <f t="shared" ca="1" si="120"/>
        <v>45.617029848022348</v>
      </c>
      <c r="F1954">
        <f t="shared" ca="1" si="121"/>
        <v>-0.61702984802234795</v>
      </c>
      <c r="G1954">
        <f t="shared" ca="1" si="122"/>
        <v>-1.3526304761139512E-2</v>
      </c>
      <c r="H1954" t="str">
        <f t="shared" ca="1" si="123"/>
        <v>competitive</v>
      </c>
    </row>
    <row r="1955" spans="1:8" x14ac:dyDescent="0.3">
      <c r="A1955" t="s">
        <v>599</v>
      </c>
      <c r="B1955" t="s">
        <v>111</v>
      </c>
      <c r="C1955">
        <v>45</v>
      </c>
      <c r="D1955">
        <v>15.11</v>
      </c>
      <c r="E1955">
        <f t="shared" ca="1" si="120"/>
        <v>40.877282991312505</v>
      </c>
      <c r="F1955">
        <f t="shared" ca="1" si="121"/>
        <v>4.1227170086874949</v>
      </c>
      <c r="G1955">
        <f t="shared" ca="1" si="122"/>
        <v>0.10085594508724272</v>
      </c>
      <c r="H1955" t="str">
        <f t="shared" ca="1" si="123"/>
        <v>overpriced</v>
      </c>
    </row>
    <row r="1956" spans="1:8" x14ac:dyDescent="0.3">
      <c r="A1956" t="s">
        <v>1904</v>
      </c>
      <c r="B1956" t="s">
        <v>1905</v>
      </c>
      <c r="C1956">
        <v>34.9</v>
      </c>
      <c r="D1956">
        <v>16.600000000000001</v>
      </c>
      <c r="E1956">
        <f t="shared" ca="1" si="120"/>
        <v>35.174488918878836</v>
      </c>
      <c r="F1956">
        <f t="shared" ca="1" si="121"/>
        <v>-0.27448891887883775</v>
      </c>
      <c r="G1956">
        <f t="shared" ca="1" si="122"/>
        <v>-7.8036363090271989E-3</v>
      </c>
      <c r="H1956" t="str">
        <f t="shared" ca="1" si="123"/>
        <v>competitive</v>
      </c>
    </row>
    <row r="1957" spans="1:8" x14ac:dyDescent="0.3">
      <c r="A1957" t="s">
        <v>2187</v>
      </c>
      <c r="B1957" t="s">
        <v>157</v>
      </c>
      <c r="C1957">
        <v>84.9</v>
      </c>
      <c r="D1957">
        <v>14.32</v>
      </c>
      <c r="E1957">
        <f t="shared" ca="1" si="120"/>
        <v>92.182030287656744</v>
      </c>
      <c r="F1957">
        <f t="shared" ca="1" si="121"/>
        <v>-7.2820302876567382</v>
      </c>
      <c r="G1957">
        <f t="shared" ca="1" si="122"/>
        <v>-7.8996202024764997E-2</v>
      </c>
      <c r="H1957" t="str">
        <f t="shared" ca="1" si="123"/>
        <v>underprived</v>
      </c>
    </row>
    <row r="1958" spans="1:8" x14ac:dyDescent="0.3">
      <c r="A1958" t="s">
        <v>2188</v>
      </c>
      <c r="B1958" t="s">
        <v>101</v>
      </c>
      <c r="C1958">
        <v>34.9</v>
      </c>
      <c r="D1958">
        <v>8.4</v>
      </c>
      <c r="E1958">
        <f t="shared" ca="1" si="120"/>
        <v>35.63318283098392</v>
      </c>
      <c r="F1958">
        <f t="shared" ca="1" si="121"/>
        <v>-0.73318283098392101</v>
      </c>
      <c r="G1958">
        <f t="shared" ca="1" si="122"/>
        <v>-2.0575844556507052E-2</v>
      </c>
      <c r="H1958" t="str">
        <f t="shared" ca="1" si="123"/>
        <v>competitive</v>
      </c>
    </row>
    <row r="1959" spans="1:8" x14ac:dyDescent="0.3">
      <c r="A1959" t="s">
        <v>2189</v>
      </c>
      <c r="B1959" t="s">
        <v>198</v>
      </c>
      <c r="C1959">
        <v>599</v>
      </c>
      <c r="D1959">
        <v>17.940000000000001</v>
      </c>
      <c r="E1959">
        <f t="shared" ca="1" si="120"/>
        <v>554.98685510021892</v>
      </c>
      <c r="F1959">
        <f t="shared" ca="1" si="121"/>
        <v>44.013144899781082</v>
      </c>
      <c r="G1959">
        <f t="shared" ca="1" si="122"/>
        <v>7.9304842079247512E-2</v>
      </c>
      <c r="H1959" t="str">
        <f t="shared" ca="1" si="123"/>
        <v>overpriced</v>
      </c>
    </row>
    <row r="1960" spans="1:8" x14ac:dyDescent="0.3">
      <c r="A1960" t="s">
        <v>2190</v>
      </c>
      <c r="B1960" t="s">
        <v>143</v>
      </c>
      <c r="C1960">
        <v>69.989999999999995</v>
      </c>
      <c r="D1960">
        <v>15.24</v>
      </c>
      <c r="E1960">
        <f t="shared" ca="1" si="120"/>
        <v>71.090560205914855</v>
      </c>
      <c r="F1960">
        <f t="shared" ca="1" si="121"/>
        <v>-1.10056020591486</v>
      </c>
      <c r="G1960">
        <f t="shared" ca="1" si="122"/>
        <v>-1.5481101889295445E-2</v>
      </c>
      <c r="H1960" t="str">
        <f t="shared" ca="1" si="123"/>
        <v>competitive</v>
      </c>
    </row>
    <row r="1961" spans="1:8" x14ac:dyDescent="0.3">
      <c r="A1961" t="s">
        <v>2191</v>
      </c>
      <c r="B1961" t="s">
        <v>2192</v>
      </c>
      <c r="C1961">
        <v>214</v>
      </c>
      <c r="D1961">
        <v>18.43</v>
      </c>
      <c r="E1961">
        <f t="shared" ca="1" si="120"/>
        <v>203.00063072986643</v>
      </c>
      <c r="F1961">
        <f t="shared" ca="1" si="121"/>
        <v>10.99936927013357</v>
      </c>
      <c r="G1961">
        <f t="shared" ca="1" si="122"/>
        <v>5.4183916722753758E-2</v>
      </c>
      <c r="H1961" t="str">
        <f t="shared" ca="1" si="123"/>
        <v>overpriced</v>
      </c>
    </row>
    <row r="1962" spans="1:8" x14ac:dyDescent="0.3">
      <c r="A1962" t="s">
        <v>2193</v>
      </c>
      <c r="B1962" t="s">
        <v>2194</v>
      </c>
      <c r="C1962">
        <v>149</v>
      </c>
      <c r="D1962">
        <v>26.41</v>
      </c>
      <c r="E1962">
        <f t="shared" ca="1" si="120"/>
        <v>137.70553398431704</v>
      </c>
      <c r="F1962">
        <f t="shared" ca="1" si="121"/>
        <v>11.294466015682957</v>
      </c>
      <c r="G1962">
        <f t="shared" ca="1" si="122"/>
        <v>8.2018969673137876E-2</v>
      </c>
      <c r="H1962" t="str">
        <f t="shared" ca="1" si="123"/>
        <v>overpriced</v>
      </c>
    </row>
    <row r="1963" spans="1:8" x14ac:dyDescent="0.3">
      <c r="A1963" t="s">
        <v>2195</v>
      </c>
      <c r="B1963" t="s">
        <v>2196</v>
      </c>
      <c r="C1963">
        <v>49.9</v>
      </c>
      <c r="D1963">
        <v>13.69</v>
      </c>
      <c r="E1963">
        <f t="shared" ca="1" si="120"/>
        <v>45.384305299827503</v>
      </c>
      <c r="F1963">
        <f t="shared" ca="1" si="121"/>
        <v>4.5156947001724959</v>
      </c>
      <c r="G1963">
        <f t="shared" ca="1" si="122"/>
        <v>9.9499037615315422E-2</v>
      </c>
      <c r="H1963" t="str">
        <f t="shared" ca="1" si="123"/>
        <v>overpriced</v>
      </c>
    </row>
    <row r="1964" spans="1:8" x14ac:dyDescent="0.3">
      <c r="A1964" t="s">
        <v>2197</v>
      </c>
      <c r="B1964" t="s">
        <v>227</v>
      </c>
      <c r="C1964">
        <v>159.9</v>
      </c>
      <c r="D1964">
        <v>9.86</v>
      </c>
      <c r="E1964">
        <f t="shared" ca="1" si="120"/>
        <v>164.76768536063739</v>
      </c>
      <c r="F1964">
        <f t="shared" ca="1" si="121"/>
        <v>-4.8676853606373811</v>
      </c>
      <c r="G1964">
        <f t="shared" ca="1" si="122"/>
        <v>-2.9542718585766209E-2</v>
      </c>
      <c r="H1964" t="str">
        <f t="shared" ca="1" si="123"/>
        <v>competitive</v>
      </c>
    </row>
    <row r="1965" spans="1:8" x14ac:dyDescent="0.3">
      <c r="A1965" t="s">
        <v>2198</v>
      </c>
      <c r="B1965" t="s">
        <v>113</v>
      </c>
      <c r="C1965">
        <v>99</v>
      </c>
      <c r="D1965">
        <v>17.43</v>
      </c>
      <c r="E1965">
        <f t="shared" ca="1" si="120"/>
        <v>95.79697763073797</v>
      </c>
      <c r="F1965">
        <f t="shared" ca="1" si="121"/>
        <v>3.2030223692620297</v>
      </c>
      <c r="G1965">
        <f t="shared" ca="1" si="122"/>
        <v>3.3435526344145219E-2</v>
      </c>
      <c r="H1965" t="str">
        <f t="shared" ca="1" si="123"/>
        <v>competitive</v>
      </c>
    </row>
    <row r="1966" spans="1:8" x14ac:dyDescent="0.3">
      <c r="A1966" t="s">
        <v>2199</v>
      </c>
      <c r="B1966" t="s">
        <v>176</v>
      </c>
      <c r="C1966">
        <v>279.99</v>
      </c>
      <c r="D1966">
        <v>19.399999999999999</v>
      </c>
      <c r="E1966">
        <f t="shared" ca="1" si="120"/>
        <v>291.4033568470964</v>
      </c>
      <c r="F1966">
        <f t="shared" ca="1" si="121"/>
        <v>-11.413356847096395</v>
      </c>
      <c r="G1966">
        <f t="shared" ca="1" si="122"/>
        <v>-3.9166868119110756E-2</v>
      </c>
      <c r="H1966" t="str">
        <f t="shared" ca="1" si="123"/>
        <v>competitive</v>
      </c>
    </row>
    <row r="1967" spans="1:8" x14ac:dyDescent="0.3">
      <c r="A1967" t="s">
        <v>2200</v>
      </c>
      <c r="B1967" t="s">
        <v>45</v>
      </c>
      <c r="C1967">
        <v>27.99</v>
      </c>
      <c r="D1967">
        <v>15.23</v>
      </c>
      <c r="E1967">
        <f t="shared" ca="1" si="120"/>
        <v>25.992880150542625</v>
      </c>
      <c r="F1967">
        <f t="shared" ca="1" si="121"/>
        <v>1.9971198494573734</v>
      </c>
      <c r="G1967">
        <f t="shared" ca="1" si="122"/>
        <v>7.6833341972520189E-2</v>
      </c>
      <c r="H1967" t="str">
        <f t="shared" ca="1" si="123"/>
        <v>overpriced</v>
      </c>
    </row>
    <row r="1968" spans="1:8" x14ac:dyDescent="0.3">
      <c r="A1968" t="s">
        <v>809</v>
      </c>
      <c r="B1968" t="s">
        <v>45</v>
      </c>
      <c r="C1968">
        <v>37.99</v>
      </c>
      <c r="D1968">
        <v>15.23</v>
      </c>
      <c r="E1968">
        <f t="shared" ca="1" si="120"/>
        <v>35.649805764521759</v>
      </c>
      <c r="F1968">
        <f t="shared" ca="1" si="121"/>
        <v>2.3401942354782435</v>
      </c>
      <c r="G1968">
        <f t="shared" ca="1" si="122"/>
        <v>6.5643954722669914E-2</v>
      </c>
      <c r="H1968" t="str">
        <f t="shared" ca="1" si="123"/>
        <v>overpriced</v>
      </c>
    </row>
    <row r="1969" spans="1:8" x14ac:dyDescent="0.3">
      <c r="A1969" t="s">
        <v>2201</v>
      </c>
      <c r="B1969" t="s">
        <v>2202</v>
      </c>
      <c r="C1969">
        <v>63.99</v>
      </c>
      <c r="D1969">
        <v>9.06</v>
      </c>
      <c r="E1969">
        <f t="shared" ca="1" si="120"/>
        <v>66.672418679787654</v>
      </c>
      <c r="F1969">
        <f t="shared" ca="1" si="121"/>
        <v>-2.6824186797876521</v>
      </c>
      <c r="G1969">
        <f t="shared" ca="1" si="122"/>
        <v>-4.0232808902144292E-2</v>
      </c>
      <c r="H1969" t="str">
        <f t="shared" ca="1" si="123"/>
        <v>competitive</v>
      </c>
    </row>
    <row r="1970" spans="1:8" x14ac:dyDescent="0.3">
      <c r="A1970" t="s">
        <v>1498</v>
      </c>
      <c r="B1970" t="s">
        <v>1499</v>
      </c>
      <c r="C1970">
        <v>135</v>
      </c>
      <c r="D1970">
        <v>16.05</v>
      </c>
      <c r="E1970">
        <f t="shared" ca="1" si="120"/>
        <v>148.1432871948019</v>
      </c>
      <c r="F1970">
        <f t="shared" ca="1" si="121"/>
        <v>-13.1432871948019</v>
      </c>
      <c r="G1970">
        <f t="shared" ca="1" si="122"/>
        <v>-8.8720099598701738E-2</v>
      </c>
      <c r="H1970" t="str">
        <f t="shared" ca="1" si="123"/>
        <v>underprived</v>
      </c>
    </row>
    <row r="1971" spans="1:8" x14ac:dyDescent="0.3">
      <c r="A1971" t="s">
        <v>578</v>
      </c>
      <c r="B1971" t="s">
        <v>31</v>
      </c>
      <c r="C1971">
        <v>49.9</v>
      </c>
      <c r="D1971">
        <v>13.37</v>
      </c>
      <c r="E1971">
        <f t="shared" ca="1" si="120"/>
        <v>45.521594101977605</v>
      </c>
      <c r="F1971">
        <f t="shared" ca="1" si="121"/>
        <v>4.3784058980223932</v>
      </c>
      <c r="G1971">
        <f t="shared" ca="1" si="122"/>
        <v>9.618305299708696E-2</v>
      </c>
      <c r="H1971" t="str">
        <f t="shared" ca="1" si="123"/>
        <v>overpriced</v>
      </c>
    </row>
    <row r="1972" spans="1:8" x14ac:dyDescent="0.3">
      <c r="A1972" t="s">
        <v>221</v>
      </c>
      <c r="B1972" t="s">
        <v>31</v>
      </c>
      <c r="C1972">
        <v>49.9</v>
      </c>
      <c r="D1972">
        <v>13.37</v>
      </c>
      <c r="E1972">
        <f t="shared" ca="1" si="120"/>
        <v>45.448213601820022</v>
      </c>
      <c r="F1972">
        <f t="shared" ca="1" si="121"/>
        <v>4.4517863981799763</v>
      </c>
      <c r="G1972">
        <f t="shared" ca="1" si="122"/>
        <v>9.7952945679732936E-2</v>
      </c>
      <c r="H1972" t="str">
        <f t="shared" ca="1" si="123"/>
        <v>overpriced</v>
      </c>
    </row>
    <row r="1973" spans="1:8" x14ac:dyDescent="0.3">
      <c r="A1973" t="s">
        <v>2203</v>
      </c>
      <c r="B1973" t="s">
        <v>2204</v>
      </c>
      <c r="C1973">
        <v>100</v>
      </c>
      <c r="D1973">
        <v>53.05</v>
      </c>
      <c r="E1973">
        <f t="shared" ca="1" si="120"/>
        <v>100.0593408149679</v>
      </c>
      <c r="F1973">
        <f t="shared" ca="1" si="121"/>
        <v>-5.9340814967896449E-2</v>
      </c>
      <c r="G1973">
        <f t="shared" ca="1" si="122"/>
        <v>-5.9305622528166453E-4</v>
      </c>
      <c r="H1973" t="str">
        <f t="shared" ca="1" si="123"/>
        <v>competitive</v>
      </c>
    </row>
    <row r="1974" spans="1:8" x14ac:dyDescent="0.3">
      <c r="A1974" t="s">
        <v>1549</v>
      </c>
      <c r="B1974" t="s">
        <v>1550</v>
      </c>
      <c r="C1974">
        <v>139</v>
      </c>
      <c r="D1974">
        <v>14.31</v>
      </c>
      <c r="E1974">
        <f t="shared" ca="1" si="120"/>
        <v>138.24343358581686</v>
      </c>
      <c r="F1974">
        <f t="shared" ca="1" si="121"/>
        <v>0.75656641418314052</v>
      </c>
      <c r="G1974">
        <f t="shared" ca="1" si="122"/>
        <v>5.4727113943787396E-3</v>
      </c>
      <c r="H1974" t="str">
        <f t="shared" ca="1" si="123"/>
        <v>competitive</v>
      </c>
    </row>
    <row r="1975" spans="1:8" x14ac:dyDescent="0.3">
      <c r="A1975" t="s">
        <v>417</v>
      </c>
      <c r="B1975" t="s">
        <v>111</v>
      </c>
      <c r="C1975">
        <v>69.900000000000006</v>
      </c>
      <c r="D1975">
        <v>24.71</v>
      </c>
      <c r="E1975">
        <f t="shared" ca="1" si="120"/>
        <v>70.98220426798386</v>
      </c>
      <c r="F1975">
        <f t="shared" ca="1" si="121"/>
        <v>-1.0822042679838546</v>
      </c>
      <c r="G1975">
        <f t="shared" ca="1" si="122"/>
        <v>-1.5246134987554578E-2</v>
      </c>
      <c r="H1975" t="str">
        <f t="shared" ca="1" si="123"/>
        <v>competitive</v>
      </c>
    </row>
    <row r="1976" spans="1:8" x14ac:dyDescent="0.3">
      <c r="A1976" t="s">
        <v>199</v>
      </c>
      <c r="B1976" t="s">
        <v>190</v>
      </c>
      <c r="C1976">
        <v>134.9</v>
      </c>
      <c r="D1976">
        <v>12.44</v>
      </c>
      <c r="E1976">
        <f t="shared" ca="1" si="120"/>
        <v>146.27860321642876</v>
      </c>
      <c r="F1976">
        <f t="shared" ca="1" si="121"/>
        <v>-11.378603216428758</v>
      </c>
      <c r="G1976">
        <f t="shared" ca="1" si="122"/>
        <v>-7.7787201724871344E-2</v>
      </c>
      <c r="H1976" t="str">
        <f t="shared" ca="1" si="123"/>
        <v>underprived</v>
      </c>
    </row>
    <row r="1977" spans="1:8" x14ac:dyDescent="0.3">
      <c r="A1977" t="s">
        <v>2205</v>
      </c>
      <c r="B1977" t="s">
        <v>1990</v>
      </c>
      <c r="C1977">
        <v>109.97</v>
      </c>
      <c r="D1977">
        <v>61.51</v>
      </c>
      <c r="E1977">
        <f t="shared" ca="1" si="120"/>
        <v>110.76235986255342</v>
      </c>
      <c r="F1977">
        <f t="shared" ca="1" si="121"/>
        <v>-0.79235986255342539</v>
      </c>
      <c r="G1977">
        <f t="shared" ca="1" si="122"/>
        <v>-7.1536924956878481E-3</v>
      </c>
      <c r="H1977" t="str">
        <f t="shared" ca="1" si="123"/>
        <v>competitive</v>
      </c>
    </row>
    <row r="1978" spans="1:8" x14ac:dyDescent="0.3">
      <c r="A1978" t="s">
        <v>2004</v>
      </c>
      <c r="B1978" t="s">
        <v>1482</v>
      </c>
      <c r="C1978">
        <v>49.9</v>
      </c>
      <c r="D1978">
        <v>8.7200000000000006</v>
      </c>
      <c r="E1978">
        <f t="shared" ca="1" si="120"/>
        <v>46.073387550583675</v>
      </c>
      <c r="F1978">
        <f t="shared" ca="1" si="121"/>
        <v>3.8266124494163236</v>
      </c>
      <c r="G1978">
        <f t="shared" ca="1" si="122"/>
        <v>8.3054723189500898E-2</v>
      </c>
      <c r="H1978" t="str">
        <f t="shared" ca="1" si="123"/>
        <v>overpriced</v>
      </c>
    </row>
    <row r="1979" spans="1:8" x14ac:dyDescent="0.3">
      <c r="A1979" t="s">
        <v>545</v>
      </c>
      <c r="B1979" t="s">
        <v>339</v>
      </c>
      <c r="C1979">
        <v>25.52</v>
      </c>
      <c r="D1979">
        <v>16.5</v>
      </c>
      <c r="E1979">
        <f t="shared" ca="1" si="120"/>
        <v>27.733013955704287</v>
      </c>
      <c r="F1979">
        <f t="shared" ca="1" si="121"/>
        <v>-2.2130139557042874</v>
      </c>
      <c r="G1979">
        <f t="shared" ca="1" si="122"/>
        <v>-7.9797095232381043E-2</v>
      </c>
      <c r="H1979" t="str">
        <f t="shared" ca="1" si="123"/>
        <v>underprived</v>
      </c>
    </row>
    <row r="1980" spans="1:8" x14ac:dyDescent="0.3">
      <c r="A1980" t="s">
        <v>1036</v>
      </c>
      <c r="B1980" t="s">
        <v>69</v>
      </c>
      <c r="C1980">
        <v>13.77</v>
      </c>
      <c r="D1980">
        <v>17.61</v>
      </c>
      <c r="E1980">
        <f t="shared" ca="1" si="120"/>
        <v>12.985824498322032</v>
      </c>
      <c r="F1980">
        <f t="shared" ca="1" si="121"/>
        <v>0.7841755016779679</v>
      </c>
      <c r="G1980">
        <f t="shared" ca="1" si="122"/>
        <v>6.0387039866378563E-2</v>
      </c>
      <c r="H1980" t="str">
        <f t="shared" ca="1" si="123"/>
        <v>overpriced</v>
      </c>
    </row>
    <row r="1981" spans="1:8" x14ac:dyDescent="0.3">
      <c r="A1981" t="s">
        <v>677</v>
      </c>
      <c r="B1981" t="s">
        <v>192</v>
      </c>
      <c r="C1981">
        <v>122.99</v>
      </c>
      <c r="D1981">
        <v>63.11</v>
      </c>
      <c r="E1981">
        <f t="shared" ca="1" si="120"/>
        <v>125.12606951003102</v>
      </c>
      <c r="F1981">
        <f t="shared" ca="1" si="121"/>
        <v>-2.136069510031021</v>
      </c>
      <c r="G1981">
        <f t="shared" ca="1" si="122"/>
        <v>-1.7071338677826672E-2</v>
      </c>
      <c r="H1981" t="str">
        <f t="shared" ca="1" si="123"/>
        <v>competitive</v>
      </c>
    </row>
    <row r="1982" spans="1:8" x14ac:dyDescent="0.3">
      <c r="A1982" t="s">
        <v>2206</v>
      </c>
      <c r="B1982" t="s">
        <v>2207</v>
      </c>
      <c r="C1982">
        <v>194.9</v>
      </c>
      <c r="D1982">
        <v>26.86</v>
      </c>
      <c r="E1982">
        <f t="shared" ca="1" si="120"/>
        <v>192.8091338071672</v>
      </c>
      <c r="F1982">
        <f t="shared" ca="1" si="121"/>
        <v>2.0908661928328058</v>
      </c>
      <c r="G1982">
        <f t="shared" ca="1" si="122"/>
        <v>1.0844227923994143E-2</v>
      </c>
      <c r="H1982" t="str">
        <f t="shared" ca="1" si="123"/>
        <v>competitive</v>
      </c>
    </row>
    <row r="1983" spans="1:8" x14ac:dyDescent="0.3">
      <c r="A1983" t="s">
        <v>2208</v>
      </c>
      <c r="B1983" t="s">
        <v>1101</v>
      </c>
      <c r="C1983">
        <v>169.99</v>
      </c>
      <c r="D1983">
        <v>15.94</v>
      </c>
      <c r="E1983">
        <f t="shared" ca="1" si="120"/>
        <v>171.85554505361</v>
      </c>
      <c r="F1983">
        <f t="shared" ca="1" si="121"/>
        <v>-1.865545053609992</v>
      </c>
      <c r="G1983">
        <f t="shared" ca="1" si="122"/>
        <v>-1.0855309050563594E-2</v>
      </c>
      <c r="H1983" t="str">
        <f t="shared" ca="1" si="123"/>
        <v>competitive</v>
      </c>
    </row>
    <row r="1984" spans="1:8" x14ac:dyDescent="0.3">
      <c r="A1984" t="s">
        <v>2209</v>
      </c>
      <c r="B1984" t="s">
        <v>2210</v>
      </c>
      <c r="C1984">
        <v>443</v>
      </c>
      <c r="D1984">
        <v>18.989999999999998</v>
      </c>
      <c r="E1984">
        <f t="shared" ca="1" si="120"/>
        <v>402.33549873035156</v>
      </c>
      <c r="F1984">
        <f t="shared" ca="1" si="121"/>
        <v>40.66450126964844</v>
      </c>
      <c r="G1984">
        <f t="shared" ca="1" si="122"/>
        <v>0.10107112446695167</v>
      </c>
      <c r="H1984" t="str">
        <f t="shared" ca="1" si="123"/>
        <v>overpriced</v>
      </c>
    </row>
    <row r="1985" spans="1:8" x14ac:dyDescent="0.3">
      <c r="A1985" t="s">
        <v>2211</v>
      </c>
      <c r="B1985" t="s">
        <v>2212</v>
      </c>
      <c r="C1985">
        <v>25</v>
      </c>
      <c r="D1985">
        <v>13.71</v>
      </c>
      <c r="E1985">
        <f t="shared" ca="1" si="120"/>
        <v>25.986452486175772</v>
      </c>
      <c r="F1985">
        <f t="shared" ca="1" si="121"/>
        <v>-0.98645248617577153</v>
      </c>
      <c r="G1985">
        <f t="shared" ca="1" si="122"/>
        <v>-3.7960259743054302E-2</v>
      </c>
      <c r="H1985" t="str">
        <f t="shared" ca="1" si="123"/>
        <v>competitive</v>
      </c>
    </row>
    <row r="1986" spans="1:8" x14ac:dyDescent="0.3">
      <c r="A1986" t="s">
        <v>2211</v>
      </c>
      <c r="B1986" t="s">
        <v>2212</v>
      </c>
      <c r="C1986">
        <v>25</v>
      </c>
      <c r="D1986">
        <v>13.71</v>
      </c>
      <c r="E1986">
        <f t="shared" ca="1" si="120"/>
        <v>22.910820955643032</v>
      </c>
      <c r="F1986">
        <f t="shared" ca="1" si="121"/>
        <v>2.0891790443569676</v>
      </c>
      <c r="G1986">
        <f t="shared" ca="1" si="122"/>
        <v>9.1187437080572795E-2</v>
      </c>
      <c r="H1986" t="str">
        <f t="shared" ca="1" si="123"/>
        <v>overpriced</v>
      </c>
    </row>
    <row r="1987" spans="1:8" x14ac:dyDescent="0.3">
      <c r="A1987" t="s">
        <v>2211</v>
      </c>
      <c r="B1987" t="s">
        <v>2212</v>
      </c>
      <c r="C1987">
        <v>25</v>
      </c>
      <c r="D1987">
        <v>13.71</v>
      </c>
      <c r="E1987">
        <f t="shared" ref="E1987:E2001" ca="1" si="124">C1987*(1+RAND()*0.2-0.1)</f>
        <v>24.116012780354914</v>
      </c>
      <c r="F1987">
        <f t="shared" ref="F1987:F2001" ca="1" si="125">C1987-E1987</f>
        <v>0.88398721964508553</v>
      </c>
      <c r="G1987">
        <f t="shared" ref="G1987:G2001" ca="1" si="126">(C1987-E1987)/E1987</f>
        <v>3.665561250511478E-2</v>
      </c>
      <c r="H1987" t="str">
        <f t="shared" ref="H1987:H2001" ca="1" si="127">IF(E1987="","competitive",IF(ABS(C1987-E1987)/E1987&lt;=0.05,"competitive",IF(C1987&gt;E1987,"overpriced","underprived")))</f>
        <v>competitive</v>
      </c>
    </row>
    <row r="1988" spans="1:8" x14ac:dyDescent="0.3">
      <c r="A1988" t="s">
        <v>2211</v>
      </c>
      <c r="B1988" t="s">
        <v>2212</v>
      </c>
      <c r="C1988">
        <v>25</v>
      </c>
      <c r="D1988">
        <v>13.71</v>
      </c>
      <c r="E1988">
        <f t="shared" ca="1" si="124"/>
        <v>22.892534445785493</v>
      </c>
      <c r="F1988">
        <f t="shared" ca="1" si="125"/>
        <v>2.1074655542145067</v>
      </c>
      <c r="G1988">
        <f t="shared" ca="1" si="126"/>
        <v>9.2059075381340755E-2</v>
      </c>
      <c r="H1988" t="str">
        <f t="shared" ca="1" si="127"/>
        <v>overpriced</v>
      </c>
    </row>
    <row r="1989" spans="1:8" x14ac:dyDescent="0.3">
      <c r="A1989" t="s">
        <v>2211</v>
      </c>
      <c r="B1989" t="s">
        <v>2212</v>
      </c>
      <c r="C1989">
        <v>25</v>
      </c>
      <c r="D1989">
        <v>13.71</v>
      </c>
      <c r="E1989">
        <f t="shared" ca="1" si="124"/>
        <v>24.138775487002675</v>
      </c>
      <c r="F1989">
        <f t="shared" ca="1" si="125"/>
        <v>0.86122451299732461</v>
      </c>
      <c r="G1989">
        <f t="shared" ca="1" si="126"/>
        <v>3.5678053075270694E-2</v>
      </c>
      <c r="H1989" t="str">
        <f t="shared" ca="1" si="127"/>
        <v>competitive</v>
      </c>
    </row>
    <row r="1990" spans="1:8" x14ac:dyDescent="0.3">
      <c r="A1990" t="s">
        <v>1288</v>
      </c>
      <c r="B1990" t="s">
        <v>141</v>
      </c>
      <c r="C1990">
        <v>56.99</v>
      </c>
      <c r="D1990">
        <v>12.74</v>
      </c>
      <c r="E1990">
        <f t="shared" ca="1" si="124"/>
        <v>57.168915699464428</v>
      </c>
      <c r="F1990">
        <f t="shared" ca="1" si="125"/>
        <v>-0.17891569946442587</v>
      </c>
      <c r="G1990">
        <f t="shared" ca="1" si="126"/>
        <v>-3.1295975667088257E-3</v>
      </c>
      <c r="H1990" t="str">
        <f t="shared" ca="1" si="127"/>
        <v>competitive</v>
      </c>
    </row>
    <row r="1991" spans="1:8" x14ac:dyDescent="0.3">
      <c r="A1991" t="s">
        <v>2213</v>
      </c>
      <c r="B1991" t="s">
        <v>2214</v>
      </c>
      <c r="C1991">
        <v>99.99</v>
      </c>
      <c r="D1991">
        <v>58.78</v>
      </c>
      <c r="E1991">
        <f t="shared" ca="1" si="124"/>
        <v>103.38116284771915</v>
      </c>
      <c r="F1991">
        <f t="shared" ca="1" si="125"/>
        <v>-3.3911628477191584</v>
      </c>
      <c r="G1991">
        <f t="shared" ca="1" si="126"/>
        <v>-3.2802521797073943E-2</v>
      </c>
      <c r="H1991" t="str">
        <f t="shared" ca="1" si="127"/>
        <v>competitive</v>
      </c>
    </row>
    <row r="1992" spans="1:8" x14ac:dyDescent="0.3">
      <c r="A1992" t="s">
        <v>263</v>
      </c>
      <c r="B1992" t="s">
        <v>190</v>
      </c>
      <c r="C1992">
        <v>668</v>
      </c>
      <c r="D1992">
        <v>17.7</v>
      </c>
      <c r="E1992">
        <f t="shared" ca="1" si="124"/>
        <v>715.03393923738543</v>
      </c>
      <c r="F1992">
        <f t="shared" ca="1" si="125"/>
        <v>-47.033939237385425</v>
      </c>
      <c r="G1992">
        <f t="shared" ca="1" si="126"/>
        <v>-6.5778610855240172E-2</v>
      </c>
      <c r="H1992" t="str">
        <f t="shared" ca="1" si="127"/>
        <v>underprived</v>
      </c>
    </row>
    <row r="1993" spans="1:8" x14ac:dyDescent="0.3">
      <c r="A1993" t="s">
        <v>2215</v>
      </c>
      <c r="B1993" t="s">
        <v>2216</v>
      </c>
      <c r="C1993">
        <v>329.9</v>
      </c>
      <c r="D1993">
        <v>47.17</v>
      </c>
      <c r="E1993">
        <f t="shared" ca="1" si="124"/>
        <v>362.42673493297065</v>
      </c>
      <c r="F1993">
        <f t="shared" ca="1" si="125"/>
        <v>-32.526734932970669</v>
      </c>
      <c r="G1993">
        <f t="shared" ca="1" si="126"/>
        <v>-8.9747062779423153E-2</v>
      </c>
      <c r="H1993" t="str">
        <f t="shared" ca="1" si="127"/>
        <v>underprived</v>
      </c>
    </row>
    <row r="1994" spans="1:8" x14ac:dyDescent="0.3">
      <c r="A1994" t="s">
        <v>2217</v>
      </c>
      <c r="B1994" t="s">
        <v>2218</v>
      </c>
      <c r="C1994">
        <v>137</v>
      </c>
      <c r="D1994">
        <v>21.6</v>
      </c>
      <c r="E1994">
        <f t="shared" ca="1" si="124"/>
        <v>126.44807937715932</v>
      </c>
      <c r="F1994">
        <f t="shared" ca="1" si="125"/>
        <v>10.551920622840683</v>
      </c>
      <c r="G1994">
        <f t="shared" ca="1" si="126"/>
        <v>8.3448642911904181E-2</v>
      </c>
      <c r="H1994" t="str">
        <f t="shared" ca="1" si="127"/>
        <v>overpriced</v>
      </c>
    </row>
    <row r="1995" spans="1:8" x14ac:dyDescent="0.3">
      <c r="A1995" t="s">
        <v>2219</v>
      </c>
      <c r="B1995" t="s">
        <v>1118</v>
      </c>
      <c r="C1995">
        <v>28.28</v>
      </c>
      <c r="D1995">
        <v>13.78</v>
      </c>
      <c r="E1995">
        <f t="shared" ca="1" si="124"/>
        <v>28.797155534169733</v>
      </c>
      <c r="F1995">
        <f t="shared" ca="1" si="125"/>
        <v>-0.51715553416973137</v>
      </c>
      <c r="G1995">
        <f t="shared" ca="1" si="126"/>
        <v>-1.7958563079471235E-2</v>
      </c>
      <c r="H1995" t="str">
        <f t="shared" ca="1" si="127"/>
        <v>competitive</v>
      </c>
    </row>
    <row r="1996" spans="1:8" x14ac:dyDescent="0.3">
      <c r="A1996" t="s">
        <v>2220</v>
      </c>
      <c r="B1996" t="s">
        <v>1818</v>
      </c>
      <c r="C1996">
        <v>94.9</v>
      </c>
      <c r="D1996">
        <v>13.22</v>
      </c>
      <c r="E1996">
        <f t="shared" ca="1" si="124"/>
        <v>98.445982831798673</v>
      </c>
      <c r="F1996">
        <f t="shared" ca="1" si="125"/>
        <v>-3.5459828317986677</v>
      </c>
      <c r="G1996">
        <f t="shared" ca="1" si="126"/>
        <v>-3.6019578755765065E-2</v>
      </c>
      <c r="H1996" t="str">
        <f t="shared" ca="1" si="127"/>
        <v>competitive</v>
      </c>
    </row>
    <row r="1997" spans="1:8" x14ac:dyDescent="0.3">
      <c r="A1997" t="s">
        <v>2221</v>
      </c>
      <c r="B1997" t="s">
        <v>59</v>
      </c>
      <c r="C1997">
        <v>28</v>
      </c>
      <c r="D1997">
        <v>7.87</v>
      </c>
      <c r="E1997">
        <f t="shared" ca="1" si="124"/>
        <v>25.601688098866113</v>
      </c>
      <c r="F1997">
        <f t="shared" ca="1" si="125"/>
        <v>2.3983119011338871</v>
      </c>
      <c r="G1997">
        <f t="shared" ca="1" si="126"/>
        <v>9.3677881390958256E-2</v>
      </c>
      <c r="H1997" t="str">
        <f t="shared" ca="1" si="127"/>
        <v>overpriced</v>
      </c>
    </row>
    <row r="1998" spans="1:8" x14ac:dyDescent="0.3">
      <c r="A1998" t="s">
        <v>2222</v>
      </c>
      <c r="B1998" t="s">
        <v>1344</v>
      </c>
      <c r="C1998">
        <v>149.9</v>
      </c>
      <c r="D1998">
        <v>8.7899999999999991</v>
      </c>
      <c r="E1998">
        <f t="shared" ca="1" si="124"/>
        <v>164.7463233533542</v>
      </c>
      <c r="F1998">
        <f t="shared" ca="1" si="125"/>
        <v>-14.846323353354194</v>
      </c>
      <c r="G1998">
        <f t="shared" ca="1" si="126"/>
        <v>-9.0116265123023315E-2</v>
      </c>
      <c r="H1998" t="str">
        <f t="shared" ca="1" si="127"/>
        <v>underprived</v>
      </c>
    </row>
    <row r="1999" spans="1:8" x14ac:dyDescent="0.3">
      <c r="A1999" t="s">
        <v>2004</v>
      </c>
      <c r="B1999" t="s">
        <v>1482</v>
      </c>
      <c r="C1999">
        <v>55.91</v>
      </c>
      <c r="D1999">
        <v>15.14</v>
      </c>
      <c r="E1999">
        <f t="shared" ca="1" si="124"/>
        <v>56.214253881733185</v>
      </c>
      <c r="F1999">
        <f t="shared" ca="1" si="125"/>
        <v>-0.30425388173318879</v>
      </c>
      <c r="G1999">
        <f t="shared" ca="1" si="126"/>
        <v>-5.4123974032154864E-3</v>
      </c>
      <c r="H1999" t="str">
        <f t="shared" ca="1" si="127"/>
        <v>competitive</v>
      </c>
    </row>
    <row r="2000" spans="1:8" x14ac:dyDescent="0.3">
      <c r="A2000" t="s">
        <v>2223</v>
      </c>
      <c r="B2000" t="s">
        <v>190</v>
      </c>
      <c r="C2000">
        <v>735</v>
      </c>
      <c r="D2000">
        <v>55.65</v>
      </c>
      <c r="E2000">
        <f t="shared" ca="1" si="124"/>
        <v>735.80258574905338</v>
      </c>
      <c r="F2000">
        <f t="shared" ca="1" si="125"/>
        <v>-0.80258574905337809</v>
      </c>
      <c r="G2000">
        <f t="shared" ca="1" si="126"/>
        <v>-1.0907623384285052E-3</v>
      </c>
      <c r="H2000" t="str">
        <f t="shared" ca="1" si="127"/>
        <v>competitive</v>
      </c>
    </row>
    <row r="2001" spans="1:8" x14ac:dyDescent="0.3">
      <c r="A2001" t="s">
        <v>2224</v>
      </c>
      <c r="B2001" t="s">
        <v>2225</v>
      </c>
      <c r="C2001">
        <v>81.400000000000006</v>
      </c>
      <c r="D2001">
        <v>23.5</v>
      </c>
      <c r="E2001">
        <f t="shared" ca="1" si="124"/>
        <v>83.913357840182726</v>
      </c>
      <c r="F2001">
        <f t="shared" ca="1" si="125"/>
        <v>-2.5133578401827208</v>
      </c>
      <c r="G2001">
        <f t="shared" ca="1" si="126"/>
        <v>-2.9951820602502156E-2</v>
      </c>
      <c r="H2001" t="str">
        <f t="shared" ca="1" si="127"/>
        <v>competitive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Akarshithakishore Kandru</dc:creator>
  <cp:lastModifiedBy>Akarshithakishore Kandru</cp:lastModifiedBy>
  <dcterms:created xsi:type="dcterms:W3CDTF">2026-03-14T19:38:36Z</dcterms:created>
  <dcterms:modified xsi:type="dcterms:W3CDTF">2026-03-14T21:34:08Z</dcterms:modified>
</cp:coreProperties>
</file>